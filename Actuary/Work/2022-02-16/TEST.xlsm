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N\Desktop\"/>
    </mc:Choice>
  </mc:AlternateContent>
  <xr:revisionPtr revIDLastSave="0" documentId="13_ncr:1_{82D6B4A8-F95A-4415-8A86-A0215B0D4D61}" xr6:coauthVersionLast="47" xr6:coauthVersionMax="47" xr10:uidLastSave="{00000000-0000-0000-0000-000000000000}"/>
  <bookViews>
    <workbookView xWindow="-276" yWindow="0" windowWidth="12396" windowHeight="12216" activeTab="1" xr2:uid="{363CAF0C-4061-4A2C-8E58-70F0B420443A}"/>
  </bookViews>
  <sheets>
    <sheet name="Qx" sheetId="1" r:id="rId1"/>
    <sheet name="Code" sheetId="2" r:id="rId2"/>
    <sheet name="Comb" sheetId="3" r:id="rId3"/>
    <sheet name="Expense" sheetId="4" r:id="rId4"/>
    <sheet name="Remark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" i="2" l="1"/>
  <c r="K1" i="2" s="1"/>
  <c r="K7" i="2"/>
  <c r="K8" i="2"/>
  <c r="K9" i="2"/>
  <c r="K10" i="2"/>
  <c r="K11" i="2"/>
  <c r="K12" i="2"/>
  <c r="J8" i="1" a="1"/>
  <c r="J8" i="1" s="1"/>
  <c r="J9" i="1" a="1"/>
  <c r="J9" i="1" s="1"/>
  <c r="J10" i="1" a="1"/>
  <c r="J10" i="1" s="1"/>
  <c r="J11" i="1" a="1"/>
  <c r="J11" i="1" s="1"/>
  <c r="J12" i="1" a="1"/>
  <c r="J12" i="1" s="1"/>
  <c r="J13" i="1" a="1"/>
  <c r="J13" i="1" s="1"/>
  <c r="J14" i="1" a="1"/>
  <c r="J14" i="1" s="1"/>
  <c r="J15" i="1" a="1"/>
  <c r="J15" i="1" s="1"/>
  <c r="C8" i="1"/>
  <c r="C9" i="1"/>
  <c r="C10" i="1"/>
  <c r="C11" i="1"/>
  <c r="C12" i="1"/>
  <c r="C13" i="1"/>
  <c r="C14" i="1"/>
  <c r="C15" i="1"/>
  <c r="J7" i="4"/>
  <c r="J8" i="4"/>
  <c r="C1" i="4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L7" i="3"/>
  <c r="L8" i="3"/>
  <c r="L9" i="3"/>
  <c r="L10" i="3"/>
  <c r="L11" i="3"/>
  <c r="L12" i="3"/>
  <c r="L13" i="3"/>
  <c r="L14" i="3"/>
  <c r="L15" i="3"/>
  <c r="C1" i="3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AK1" i="3" s="1"/>
  <c r="C1" i="2"/>
  <c r="D1" i="2" s="1"/>
  <c r="E1" i="2" s="1"/>
  <c r="F1" i="2" s="1"/>
  <c r="C1" i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BV1" i="1" s="1"/>
  <c r="BW1" i="1" s="1"/>
  <c r="BX1" i="1" s="1"/>
  <c r="BY1" i="1" s="1"/>
  <c r="BZ1" i="1" s="1"/>
  <c r="CA1" i="1" s="1"/>
  <c r="CB1" i="1" s="1"/>
  <c r="CC1" i="1" s="1"/>
  <c r="CD1" i="1" s="1"/>
  <c r="CE1" i="1" s="1"/>
  <c r="CF1" i="1" s="1"/>
  <c r="CG1" i="1" s="1"/>
  <c r="CH1" i="1" s="1"/>
  <c r="CI1" i="1" s="1"/>
  <c r="CJ1" i="1" s="1"/>
  <c r="CK1" i="1" s="1"/>
  <c r="CL1" i="1" s="1"/>
  <c r="CM1" i="1" s="1"/>
  <c r="CN1" i="1" s="1"/>
  <c r="CO1" i="1" s="1"/>
  <c r="CP1" i="1" s="1"/>
  <c r="CQ1" i="1" s="1"/>
  <c r="CR1" i="1" s="1"/>
  <c r="CS1" i="1" s="1"/>
  <c r="CT1" i="1" s="1"/>
  <c r="CU1" i="1" s="1"/>
  <c r="CV1" i="1" s="1"/>
  <c r="CW1" i="1" s="1"/>
  <c r="CX1" i="1" s="1"/>
  <c r="CY1" i="1" s="1"/>
  <c r="CZ1" i="1" s="1"/>
  <c r="DA1" i="1" s="1"/>
  <c r="DB1" i="1" s="1"/>
  <c r="DC1" i="1" s="1"/>
  <c r="DD1" i="1" s="1"/>
  <c r="DE1" i="1" s="1"/>
  <c r="DF1" i="1" s="1"/>
  <c r="DG1" i="1" s="1"/>
  <c r="DH1" i="1" s="1"/>
  <c r="DI1" i="1" s="1"/>
  <c r="DJ1" i="1" s="1"/>
  <c r="DK1" i="1" s="1"/>
  <c r="DL1" i="1" s="1"/>
  <c r="DM1" i="1" s="1"/>
  <c r="DN1" i="1" s="1"/>
  <c r="DO1" i="1" s="1"/>
  <c r="DP1" i="1" s="1"/>
  <c r="DQ1" i="1" s="1"/>
  <c r="DR1" i="1" s="1"/>
  <c r="DS1" i="1" s="1"/>
  <c r="DT1" i="1" s="1"/>
  <c r="DU1" i="1" s="1"/>
  <c r="DV1" i="1" s="1"/>
  <c r="DW1" i="1" s="1"/>
  <c r="DX1" i="1" s="1"/>
  <c r="DY1" i="1" s="1"/>
  <c r="DZ1" i="1" s="1"/>
  <c r="EA1" i="1" s="1"/>
  <c r="G1" i="2" l="1"/>
  <c r="H1" i="2" s="1"/>
  <c r="I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<sst xmlns="http://schemas.openxmlformats.org/spreadsheetml/2006/main" count="267" uniqueCount="227">
  <si>
    <t>위험률코드</t>
    <phoneticPr fontId="1" type="noConversion"/>
  </si>
  <si>
    <t>qx(0)</t>
    <phoneticPr fontId="1" type="noConversion"/>
  </si>
  <si>
    <t>qx(1)</t>
  </si>
  <si>
    <t>qx(2)</t>
  </si>
  <si>
    <t>qx(3)</t>
  </si>
  <si>
    <t>qx(4)</t>
  </si>
  <si>
    <t>qx(5)</t>
  </si>
  <si>
    <t>qx(6)</t>
  </si>
  <si>
    <t>qx(7)</t>
  </si>
  <si>
    <t>qx(8)</t>
  </si>
  <si>
    <t>qx(9)</t>
  </si>
  <si>
    <t>qx(10)</t>
  </si>
  <si>
    <t>qx(11)</t>
  </si>
  <si>
    <t>qx(12)</t>
  </si>
  <si>
    <t>qx(13)</t>
  </si>
  <si>
    <t>qx(14)</t>
  </si>
  <si>
    <t>qx(15)</t>
  </si>
  <si>
    <t>qx(16)</t>
  </si>
  <si>
    <t>qx(17)</t>
  </si>
  <si>
    <t>qx(18)</t>
  </si>
  <si>
    <t>qx(19)</t>
  </si>
  <si>
    <t>qx(20)</t>
  </si>
  <si>
    <t>qx(21)</t>
  </si>
  <si>
    <t>qx(22)</t>
  </si>
  <si>
    <t>qx(23)</t>
  </si>
  <si>
    <t>qx(24)</t>
  </si>
  <si>
    <t>qx(25)</t>
  </si>
  <si>
    <t>qx(26)</t>
  </si>
  <si>
    <t>qx(27)</t>
  </si>
  <si>
    <t>qx(28)</t>
  </si>
  <si>
    <t>qx(29)</t>
  </si>
  <si>
    <t>qx(30)</t>
  </si>
  <si>
    <t>qx(31)</t>
  </si>
  <si>
    <t>qx(32)</t>
  </si>
  <si>
    <t>qx(33)</t>
  </si>
  <si>
    <t>qx(34)</t>
  </si>
  <si>
    <t>qx(35)</t>
  </si>
  <si>
    <t>qx(36)</t>
  </si>
  <si>
    <t>qx(37)</t>
  </si>
  <si>
    <t>qx(38)</t>
  </si>
  <si>
    <t>qx(39)</t>
  </si>
  <si>
    <t>qx(40)</t>
  </si>
  <si>
    <t>qx(41)</t>
  </si>
  <si>
    <t>qx(42)</t>
  </si>
  <si>
    <t>qx(43)</t>
  </si>
  <si>
    <t>qx(44)</t>
  </si>
  <si>
    <t>qx(45)</t>
  </si>
  <si>
    <t>qx(46)</t>
  </si>
  <si>
    <t>qx(47)</t>
  </si>
  <si>
    <t>qx(48)</t>
  </si>
  <si>
    <t>qx(49)</t>
  </si>
  <si>
    <t>qx(50)</t>
  </si>
  <si>
    <t>qx(51)</t>
  </si>
  <si>
    <t>qx(52)</t>
  </si>
  <si>
    <t>qx(53)</t>
  </si>
  <si>
    <t>qx(54)</t>
  </si>
  <si>
    <t>qx(55)</t>
  </si>
  <si>
    <t>qx(56)</t>
  </si>
  <si>
    <t>qx(57)</t>
  </si>
  <si>
    <t>qx(58)</t>
  </si>
  <si>
    <t>qx(59)</t>
  </si>
  <si>
    <t>qx(60)</t>
  </si>
  <si>
    <t>qx(61)</t>
  </si>
  <si>
    <t>qx(62)</t>
  </si>
  <si>
    <t>qx(63)</t>
  </si>
  <si>
    <t>qx(64)</t>
  </si>
  <si>
    <t>qx(65)</t>
  </si>
  <si>
    <t>qx(66)</t>
  </si>
  <si>
    <t>qx(67)</t>
  </si>
  <si>
    <t>qx(68)</t>
  </si>
  <si>
    <t>qx(69)</t>
  </si>
  <si>
    <t>qx(70)</t>
  </si>
  <si>
    <t>qx(71)</t>
  </si>
  <si>
    <t>qx(72)</t>
  </si>
  <si>
    <t>qx(73)</t>
  </si>
  <si>
    <t>qx(74)</t>
  </si>
  <si>
    <t>qx(75)</t>
  </si>
  <si>
    <t>qx(76)</t>
  </si>
  <si>
    <t>qx(77)</t>
  </si>
  <si>
    <t>qx(78)</t>
  </si>
  <si>
    <t>qx(79)</t>
  </si>
  <si>
    <t>qx(80)</t>
  </si>
  <si>
    <t>qx(81)</t>
  </si>
  <si>
    <t>qx(82)</t>
  </si>
  <si>
    <t>qx(83)</t>
  </si>
  <si>
    <t>qx(84)</t>
  </si>
  <si>
    <t>qx(85)</t>
  </si>
  <si>
    <t>qx(86)</t>
  </si>
  <si>
    <t>qx(87)</t>
  </si>
  <si>
    <t>qx(88)</t>
  </si>
  <si>
    <t>qx(89)</t>
  </si>
  <si>
    <t>qx(90)</t>
  </si>
  <si>
    <t>qx(91)</t>
  </si>
  <si>
    <t>qx(92)</t>
  </si>
  <si>
    <t>qx(93)</t>
  </si>
  <si>
    <t>qx(94)</t>
  </si>
  <si>
    <t>qx(95)</t>
  </si>
  <si>
    <t>qx(96)</t>
  </si>
  <si>
    <t>qx(97)</t>
  </si>
  <si>
    <t>qx(98)</t>
  </si>
  <si>
    <t>qx(99)</t>
  </si>
  <si>
    <t>qx(100)</t>
  </si>
  <si>
    <t>qx(101)</t>
  </si>
  <si>
    <t>qx(102)</t>
  </si>
  <si>
    <t>qx(103)</t>
  </si>
  <si>
    <t>qx(104)</t>
  </si>
  <si>
    <t>qx(105)</t>
  </si>
  <si>
    <t>qx(106)</t>
  </si>
  <si>
    <t>qx(107)</t>
  </si>
  <si>
    <t>qx(108)</t>
  </si>
  <si>
    <t>qx(109)</t>
  </si>
  <si>
    <t>qx(110)</t>
  </si>
  <si>
    <t>qx(111)</t>
  </si>
  <si>
    <t>qx(112)</t>
  </si>
  <si>
    <t>qx(113)</t>
  </si>
  <si>
    <t>qx(114)</t>
  </si>
  <si>
    <t>qx(115)</t>
  </si>
  <si>
    <t>qx(116)</t>
  </si>
  <si>
    <t>qx(117)</t>
  </si>
  <si>
    <t>qx(118)</t>
  </si>
  <si>
    <t>qx(119)</t>
  </si>
  <si>
    <t>qx(120)</t>
  </si>
  <si>
    <t>성별</t>
    <phoneticPr fontId="1" type="noConversion"/>
  </si>
  <si>
    <t>Layout</t>
    <phoneticPr fontId="1" type="noConversion"/>
  </si>
  <si>
    <t>형</t>
    <phoneticPr fontId="1" type="noConversion"/>
  </si>
  <si>
    <t>종</t>
    <phoneticPr fontId="1" type="noConversion"/>
  </si>
  <si>
    <t>담보키</t>
    <phoneticPr fontId="1" type="noConversion"/>
  </si>
  <si>
    <t>담보명</t>
    <phoneticPr fontId="1" type="noConversion"/>
  </si>
  <si>
    <t>R001</t>
  </si>
  <si>
    <t>R001</t>
    <phoneticPr fontId="1" type="noConversion"/>
  </si>
  <si>
    <t>R002</t>
    <phoneticPr fontId="1" type="noConversion"/>
  </si>
  <si>
    <t>위험률명</t>
    <phoneticPr fontId="1" type="noConversion"/>
  </si>
  <si>
    <t>물건급수</t>
    <phoneticPr fontId="1" type="noConversion"/>
  </si>
  <si>
    <t>TAB_Qx</t>
    <phoneticPr fontId="1" type="noConversion"/>
  </si>
  <si>
    <t>담보코드</t>
    <phoneticPr fontId="1" type="noConversion"/>
  </si>
  <si>
    <t>sub1</t>
    <phoneticPr fontId="1" type="noConversion"/>
  </si>
  <si>
    <t>sub2</t>
    <phoneticPr fontId="1" type="noConversion"/>
  </si>
  <si>
    <t>sub3</t>
    <phoneticPr fontId="1" type="noConversion"/>
  </si>
  <si>
    <t>탈퇴위험률코드</t>
    <phoneticPr fontId="1" type="noConversion"/>
  </si>
  <si>
    <t>부담보기간</t>
    <phoneticPr fontId="1" type="noConversion"/>
  </si>
  <si>
    <t>급부위험률코드</t>
    <phoneticPr fontId="1" type="noConversion"/>
  </si>
  <si>
    <t>지급률</t>
    <phoneticPr fontId="1" type="noConversion"/>
  </si>
  <si>
    <t>감액률</t>
    <phoneticPr fontId="1" type="noConversion"/>
  </si>
  <si>
    <t>감액기간</t>
    <phoneticPr fontId="1" type="noConversion"/>
  </si>
  <si>
    <t>납면위험률코드</t>
    <phoneticPr fontId="1" type="noConversion"/>
  </si>
  <si>
    <t>무효해지기간</t>
    <phoneticPr fontId="1" type="noConversion"/>
  </si>
  <si>
    <t>TAB_Code</t>
    <phoneticPr fontId="1" type="noConversion"/>
  </si>
  <si>
    <t>ExCode</t>
    <phoneticPr fontId="1" type="noConversion"/>
  </si>
  <si>
    <t>NonCov</t>
    <phoneticPr fontId="1" type="noConversion"/>
  </si>
  <si>
    <t>BxCode</t>
    <phoneticPr fontId="1" type="noConversion"/>
  </si>
  <si>
    <t>PayRate</t>
    <phoneticPr fontId="1" type="noConversion"/>
  </si>
  <si>
    <t>ReduceRate</t>
    <phoneticPr fontId="1" type="noConversion"/>
  </si>
  <si>
    <t>ReducePeriod</t>
    <phoneticPr fontId="1" type="noConversion"/>
  </si>
  <si>
    <t>GxCode</t>
    <phoneticPr fontId="1" type="noConversion"/>
  </si>
  <si>
    <t>InvalidPeriod</t>
    <phoneticPr fontId="1" type="noConversion"/>
  </si>
  <si>
    <t>CoverageKey</t>
    <phoneticPr fontId="1" type="noConversion"/>
  </si>
  <si>
    <t>Karma001</t>
    <phoneticPr fontId="1" type="noConversion"/>
  </si>
  <si>
    <t>급부번호</t>
    <phoneticPr fontId="1" type="noConversion"/>
  </si>
  <si>
    <t>Bnum</t>
    <phoneticPr fontId="1" type="noConversion"/>
  </si>
  <si>
    <t>탈퇴위험률명</t>
    <phoneticPr fontId="1" type="noConversion"/>
  </si>
  <si>
    <t>급부위험률명</t>
    <phoneticPr fontId="1" type="noConversion"/>
  </si>
  <si>
    <t>납면위험률명</t>
    <phoneticPr fontId="1" type="noConversion"/>
  </si>
  <si>
    <t>결합위험률코드</t>
    <phoneticPr fontId="1" type="noConversion"/>
  </si>
  <si>
    <t>k(1)</t>
    <phoneticPr fontId="1" type="noConversion"/>
  </si>
  <si>
    <t>k(2)</t>
  </si>
  <si>
    <t>Oper</t>
    <phoneticPr fontId="1" type="noConversion"/>
  </si>
  <si>
    <t>QxCode(1)</t>
    <phoneticPr fontId="1" type="noConversion"/>
  </si>
  <si>
    <t>NumQx</t>
    <phoneticPr fontId="1" type="noConversion"/>
  </si>
  <si>
    <t>QxType(1)</t>
    <phoneticPr fontId="1" type="noConversion"/>
  </si>
  <si>
    <t>QxType(2)</t>
    <phoneticPr fontId="1" type="noConversion"/>
  </si>
  <si>
    <t>QxCode(2)</t>
    <phoneticPr fontId="1" type="noConversion"/>
  </si>
  <si>
    <t>QxCode(3)</t>
    <phoneticPr fontId="1" type="noConversion"/>
  </si>
  <si>
    <t>QxType(3)</t>
    <phoneticPr fontId="1" type="noConversion"/>
  </si>
  <si>
    <t>k(3)</t>
    <phoneticPr fontId="1" type="noConversion"/>
  </si>
  <si>
    <t>QxCode(4)</t>
    <phoneticPr fontId="1" type="noConversion"/>
  </si>
  <si>
    <t>QxType(4)</t>
    <phoneticPr fontId="1" type="noConversion"/>
  </si>
  <si>
    <t>k(4)</t>
    <phoneticPr fontId="1" type="noConversion"/>
  </si>
  <si>
    <t>QxCode(5)</t>
    <phoneticPr fontId="1" type="noConversion"/>
  </si>
  <si>
    <t>QxType(6)</t>
    <phoneticPr fontId="1" type="noConversion"/>
  </si>
  <si>
    <t>k(6)</t>
    <phoneticPr fontId="1" type="noConversion"/>
  </si>
  <si>
    <t>QxType(5)</t>
    <phoneticPr fontId="1" type="noConversion"/>
  </si>
  <si>
    <t>k(5)</t>
    <phoneticPr fontId="1" type="noConversion"/>
  </si>
  <si>
    <t>QxCode(6)</t>
    <phoneticPr fontId="1" type="noConversion"/>
  </si>
  <si>
    <t>QxCode(7)</t>
    <phoneticPr fontId="1" type="noConversion"/>
  </si>
  <si>
    <t>QxType(7)</t>
    <phoneticPr fontId="1" type="noConversion"/>
  </si>
  <si>
    <t>k(7)</t>
    <phoneticPr fontId="1" type="noConversion"/>
  </si>
  <si>
    <t>QxCode(8)</t>
    <phoneticPr fontId="1" type="noConversion"/>
  </si>
  <si>
    <t>QxType(8)</t>
    <phoneticPr fontId="1" type="noConversion"/>
  </si>
  <si>
    <t>k(8)</t>
    <phoneticPr fontId="1" type="noConversion"/>
  </si>
  <si>
    <t>1 : SUM
2 : PROUDCT</t>
    <phoneticPr fontId="1" type="noConversion"/>
  </si>
  <si>
    <t>가입금액</t>
    <phoneticPr fontId="1" type="noConversion"/>
  </si>
  <si>
    <t>담보코드</t>
  </si>
  <si>
    <t>담보명</t>
  </si>
  <si>
    <t>형</t>
  </si>
  <si>
    <t>종</t>
  </si>
  <si>
    <t>sub2</t>
  </si>
  <si>
    <t>sub3</t>
  </si>
  <si>
    <t>담보키</t>
  </si>
  <si>
    <r>
      <t>α</t>
    </r>
    <r>
      <rPr>
        <sz val="11"/>
        <color theme="1"/>
        <rFont val="맑은 고딕"/>
        <family val="3"/>
        <charset val="129"/>
      </rPr>
      <t>1</t>
    </r>
    <phoneticPr fontId="1" type="noConversion"/>
  </si>
  <si>
    <r>
      <t>α</t>
    </r>
    <r>
      <rPr>
        <sz val="11"/>
        <color theme="1"/>
        <rFont val="맑은 고딕"/>
        <family val="3"/>
        <charset val="129"/>
      </rPr>
      <t>2</t>
    </r>
    <phoneticPr fontId="1" type="noConversion"/>
  </si>
  <si>
    <r>
      <t>α</t>
    </r>
    <r>
      <rPr>
        <sz val="11"/>
        <color theme="1"/>
        <rFont val="맑은 고딕"/>
        <family val="3"/>
        <charset val="129"/>
      </rPr>
      <t>3</t>
    </r>
    <phoneticPr fontId="1" type="noConversion"/>
  </si>
  <si>
    <r>
      <t>β</t>
    </r>
    <r>
      <rPr>
        <sz val="11"/>
        <color theme="1"/>
        <rFont val="맑은 고딕"/>
        <family val="3"/>
        <charset val="129"/>
      </rPr>
      <t>1</t>
    </r>
    <phoneticPr fontId="1" type="noConversion"/>
  </si>
  <si>
    <r>
      <t>β</t>
    </r>
    <r>
      <rPr>
        <sz val="11"/>
        <color theme="1"/>
        <rFont val="맑은 고딕"/>
        <family val="3"/>
        <charset val="129"/>
      </rPr>
      <t>2</t>
    </r>
    <phoneticPr fontId="1" type="noConversion"/>
  </si>
  <si>
    <r>
      <t>β</t>
    </r>
    <r>
      <rPr>
        <sz val="11"/>
        <color theme="1"/>
        <rFont val="맑은 고딕"/>
        <family val="3"/>
        <charset val="129"/>
      </rPr>
      <t>5</t>
    </r>
    <phoneticPr fontId="1" type="noConversion"/>
  </si>
  <si>
    <t>γ</t>
    <phoneticPr fontId="1" type="noConversion"/>
  </si>
  <si>
    <t>ce</t>
    <phoneticPr fontId="1" type="noConversion"/>
  </si>
  <si>
    <t>TAB_Expense</t>
    <phoneticPr fontId="1" type="noConversion"/>
  </si>
  <si>
    <t>TAB_Comb</t>
    <phoneticPr fontId="1" type="noConversion"/>
  </si>
  <si>
    <t>상해급수</t>
  </si>
  <si>
    <t>운전자급수</t>
  </si>
  <si>
    <t>최초가입연령</t>
  </si>
  <si>
    <t>변호사급수</t>
  </si>
  <si>
    <t>물건급수</t>
  </si>
  <si>
    <t>구분자</t>
    <phoneticPr fontId="1" type="noConversion"/>
  </si>
  <si>
    <t>Y</t>
    <phoneticPr fontId="1" type="noConversion"/>
  </si>
  <si>
    <t>사망</t>
    <phoneticPr fontId="1" type="noConversion"/>
  </si>
  <si>
    <t>일반상해입원비</t>
    <phoneticPr fontId="1" type="noConversion"/>
  </si>
  <si>
    <t>1~3</t>
    <phoneticPr fontId="1" type="noConversion"/>
  </si>
  <si>
    <t>0~120</t>
    <phoneticPr fontId="1" type="noConversion"/>
  </si>
  <si>
    <t>1~10</t>
    <phoneticPr fontId="1" type="noConversion"/>
  </si>
  <si>
    <t>Karma001</t>
  </si>
  <si>
    <t>Karma002</t>
    <phoneticPr fontId="1" type="noConversion"/>
  </si>
  <si>
    <t>신규/갱신</t>
    <phoneticPr fontId="1" type="noConversion"/>
  </si>
  <si>
    <t>신규/갱신</t>
    <phoneticPr fontId="1" type="noConversion"/>
  </si>
  <si>
    <t>sub1</t>
    <phoneticPr fontId="1" type="noConversion"/>
  </si>
  <si>
    <t>Karma002</t>
    <phoneticPr fontId="1" type="noConversion"/>
  </si>
  <si>
    <t>Memo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</si>
</sst>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 tint="-0.499984740745262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1"/>
      <color theme="1"/>
      <name val="Calibri"/>
      <family val="3"/>
      <charset val="161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5" fillId="8" borderId="2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7" fillId="0" borderId="3" xfId="0" applyFont="1" applyBorder="1">
      <alignment vertical="center"/>
    </xf>
    <xf numFmtId="0" fontId="6" fillId="0" borderId="4" xfId="0" applyFont="1" applyBorder="1">
      <alignment vertical="center"/>
    </xf>
    <xf numFmtId="0" fontId="5" fillId="0" borderId="0" xfId="0" applyFont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8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8" xfId="0" applyBorder="1" applyAlignment="1">
      <alignment horizontal="center" vertical="center"/>
    </xf>
  </cellXfs>
  <cellStyles count="1">
    <cellStyle name="표준" xfId="0" builtinId="0"/>
  </cellStyles>
  <dxfs count="222"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/>
        <right/>
        <top/>
        <bottom/>
      </border>
    </dxf>
    <dxf>
      <border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3"/>
        <charset val="161"/>
        <scheme val="none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/>
        <right/>
        <top/>
        <bottom/>
      </border>
    </dxf>
    <dxf>
      <border>
        <bottom style="thin">
          <color auto="1"/>
        </bottom>
      </border>
    </dxf>
    <dxf>
      <font>
        <b/>
        <family val="3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/>
        <right/>
        <top/>
        <bottom/>
      </border>
    </dxf>
    <dxf>
      <border>
        <bottom style="thin">
          <color auto="1"/>
        </bottom>
      </border>
    </dxf>
    <dxf>
      <font>
        <b/>
        <family val="3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/>
        <right/>
        <top/>
        <bottom/>
      </border>
    </dxf>
    <dxf>
      <border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ACB0D3-2688-4176-8CEC-221C718BF703}" name="TAB_Qx" displayName="TAB_Qx" ref="B7:EA15" totalsRowShown="0" headerRowDxfId="6" headerRowBorderDxfId="221" tableBorderDxfId="220" totalsRowBorderDxfId="219">
  <autoFilter ref="B7:EA15" xr:uid="{0FACB0D3-2688-4176-8CEC-221C718BF703}"/>
  <tableColumns count="130">
    <tableColumn id="2" xr3:uid="{B05B78DD-21B8-497A-BE85-5AF036AD8124}" name="위험률코드" dataDxfId="218"/>
    <tableColumn id="3" xr3:uid="{5AE3584E-CF24-4E40-BFC5-F05FBA895FB3}" name="위험률명" dataDxfId="5">
      <calculatedColumnFormula>VLOOKUP(TAB_Qx[[#This Row],[위험률코드]], Remark!$A$3:$B$5,2,FALSE)</calculatedColumnFormula>
    </tableColumn>
    <tableColumn id="133" xr3:uid="{A0483CBF-ABE5-4269-B366-32234256D9C0}" name="성별" dataDxfId="4"/>
    <tableColumn id="1" xr3:uid="{6525B827-A96B-432B-827D-25909A3C73DD}" name="상해급수" dataDxfId="7"/>
    <tableColumn id="4" xr3:uid="{551C68F0-4DEB-49DE-9631-8222AA200C32}" name="운전자급수" dataDxfId="217"/>
    <tableColumn id="5" xr3:uid="{1957502F-9EC4-41DB-B343-F8332D477DC2}" name="최초가입연령" dataDxfId="216"/>
    <tableColumn id="6" xr3:uid="{FED7D93C-0588-404E-A7B5-38D4DE6489EF}" name="변호사급수" dataDxfId="2"/>
    <tableColumn id="7" xr3:uid="{07778DDD-2BD7-4D69-9D1F-0973CA4636E2}" name="물건급수" dataDxfId="215"/>
    <tableColumn id="132" xr3:uid="{B0A33F1D-8856-43E3-BBFA-800CD6227EF5}" name="구분자" dataDxfId="3">
      <calculatedColumnFormula array="1" xml:space="preserve">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</calculatedColumnFormula>
    </tableColumn>
    <tableColumn id="10" xr3:uid="{470FBAE1-D21F-4EEC-A5E1-A3B9E28867F4}" name="qx(0)" dataDxfId="214"/>
    <tableColumn id="11" xr3:uid="{3AD0FC32-2FC6-4C2E-A427-23700554A2E5}" name="qx(1)" dataDxfId="213"/>
    <tableColumn id="12" xr3:uid="{7FCD659C-01B9-43DF-B4D7-36DDA672B5AC}" name="qx(2)" dataDxfId="212"/>
    <tableColumn id="13" xr3:uid="{076EB53A-6463-451E-A951-6DD4F89F935F}" name="qx(3)" dataDxfId="211"/>
    <tableColumn id="14" xr3:uid="{642A74EB-70B7-4888-87A2-5CD3AC685D8D}" name="qx(4)" dataDxfId="210"/>
    <tableColumn id="15" xr3:uid="{DF462A55-51D8-49EE-A1FB-64F5BAE249A8}" name="qx(5)" dataDxfId="209"/>
    <tableColumn id="16" xr3:uid="{B839B335-1332-40EF-9640-BABB0A8F1E12}" name="qx(6)" dataDxfId="208"/>
    <tableColumn id="17" xr3:uid="{4DB4986A-CAC4-4431-884F-DCD40227708C}" name="qx(7)" dataDxfId="207"/>
    <tableColumn id="18" xr3:uid="{D518FC58-6B49-4826-8258-F1C37D02C49B}" name="qx(8)" dataDxfId="206"/>
    <tableColumn id="19" xr3:uid="{E269C6F8-92EA-4212-AEC0-1F93BE07A06D}" name="qx(9)" dataDxfId="205"/>
    <tableColumn id="20" xr3:uid="{206AFEF8-F27C-4B55-A9D9-55BDAD347DD8}" name="qx(10)" dataDxfId="204"/>
    <tableColumn id="21" xr3:uid="{81C364B3-363A-4F27-ACE9-DB62A585C48B}" name="qx(11)" dataDxfId="203"/>
    <tableColumn id="22" xr3:uid="{1A7A5F48-8DD3-4548-9D8E-DA37DAD85CE8}" name="qx(12)" dataDxfId="202"/>
    <tableColumn id="23" xr3:uid="{4E1FBA25-35FF-4E9A-AD61-E76F64510A67}" name="qx(13)" dataDxfId="201"/>
    <tableColumn id="24" xr3:uid="{FE901274-B81C-46DE-96A3-91190707BCF6}" name="qx(14)" dataDxfId="200"/>
    <tableColumn id="25" xr3:uid="{666163A0-F4C6-491D-A41E-FB9DC1862E3C}" name="qx(15)" dataDxfId="199"/>
    <tableColumn id="26" xr3:uid="{960082AF-3C7D-48B4-B4E0-BC89EAF9BBA3}" name="qx(16)" dataDxfId="198"/>
    <tableColumn id="27" xr3:uid="{650B3E53-9B0A-4399-8B82-B94EE2B00D5F}" name="qx(17)" dataDxfId="197"/>
    <tableColumn id="28" xr3:uid="{C866ABE1-21FF-4920-B87E-5E61FEC2D136}" name="qx(18)" dataDxfId="196"/>
    <tableColumn id="29" xr3:uid="{4CF7D066-48F8-40C2-86BF-226158FD10E9}" name="qx(19)" dataDxfId="195"/>
    <tableColumn id="30" xr3:uid="{707BB909-07F4-45BB-9E22-1C83FF897579}" name="qx(20)" dataDxfId="194"/>
    <tableColumn id="31" xr3:uid="{2798FDAF-FE7B-414F-AB48-4F08216E843E}" name="qx(21)" dataDxfId="193"/>
    <tableColumn id="32" xr3:uid="{FE806250-1D5C-41B6-B158-A526817ECD41}" name="qx(22)" dataDxfId="192"/>
    <tableColumn id="33" xr3:uid="{56D5BE50-938E-4DAF-B969-29EE711A1AFC}" name="qx(23)" dataDxfId="191"/>
    <tableColumn id="34" xr3:uid="{77C40F2A-6907-4F8B-B5BE-D5D4AFB6A8F8}" name="qx(24)" dataDxfId="190"/>
    <tableColumn id="35" xr3:uid="{10BBBA80-27C3-4D6E-9E01-99C35BA96E25}" name="qx(25)" dataDxfId="189"/>
    <tableColumn id="36" xr3:uid="{97F0AE81-D99E-4B61-B5D4-54B0842ACC4D}" name="qx(26)" dataDxfId="188"/>
    <tableColumn id="37" xr3:uid="{956066D6-A1C7-4C47-A0B6-F71FA572F980}" name="qx(27)" dataDxfId="187"/>
    <tableColumn id="38" xr3:uid="{201229F3-F616-481D-815F-E763FCA9A90E}" name="qx(28)" dataDxfId="186"/>
    <tableColumn id="39" xr3:uid="{483FD0AA-A111-461F-81CB-9BF29ADB88B2}" name="qx(29)" dataDxfId="185"/>
    <tableColumn id="40" xr3:uid="{4FBF9644-2E97-4E49-A183-961574A7FE2B}" name="qx(30)" dataDxfId="184"/>
    <tableColumn id="41" xr3:uid="{924B141F-313F-49A4-8058-20A84FF2B269}" name="qx(31)" dataDxfId="183"/>
    <tableColumn id="42" xr3:uid="{075723E6-5FDA-413C-8CED-C70F689A9771}" name="qx(32)" dataDxfId="182"/>
    <tableColumn id="43" xr3:uid="{219BB954-97A3-44F9-91A2-0D7D5C2FE690}" name="qx(33)" dataDxfId="181"/>
    <tableColumn id="44" xr3:uid="{3B5DA2CF-379D-49FE-B9AF-6078F7F20BA9}" name="qx(34)" dataDxfId="180"/>
    <tableColumn id="45" xr3:uid="{7AAF4D88-5B1C-4FB0-9A50-93B1050FD7F8}" name="qx(35)" dataDxfId="179"/>
    <tableColumn id="46" xr3:uid="{9D0983C2-B1E7-45A4-BF1B-1D02B97D7FDA}" name="qx(36)" dataDxfId="178"/>
    <tableColumn id="47" xr3:uid="{D0132953-DE82-469F-BB19-1443DEE7274E}" name="qx(37)" dataDxfId="177"/>
    <tableColumn id="48" xr3:uid="{AF1CC5F4-F18B-4F4A-9E9B-41C374F161E9}" name="qx(38)" dataDxfId="176"/>
    <tableColumn id="49" xr3:uid="{F502D5DA-D32F-45F6-9029-671D4436B082}" name="qx(39)" dataDxfId="175"/>
    <tableColumn id="50" xr3:uid="{9AF5BD69-43F5-457C-BBE7-6BC31E92B7C6}" name="qx(40)" dataDxfId="174"/>
    <tableColumn id="51" xr3:uid="{2DC330CB-F3FC-4319-958A-CB43EF77EB5E}" name="qx(41)" dataDxfId="173"/>
    <tableColumn id="52" xr3:uid="{F468D8E9-CB5E-4B49-85CB-0FFA7A248127}" name="qx(42)" dataDxfId="172"/>
    <tableColumn id="53" xr3:uid="{388E2AE1-5864-4AAB-AF0E-032F83637F22}" name="qx(43)" dataDxfId="171"/>
    <tableColumn id="54" xr3:uid="{B2034A5B-664E-4BC5-8D6C-8D6C5554E840}" name="qx(44)" dataDxfId="170"/>
    <tableColumn id="55" xr3:uid="{8DF216CD-F1D4-4F31-B091-D7441A75225C}" name="qx(45)" dataDxfId="169"/>
    <tableColumn id="56" xr3:uid="{A5A20DB3-9F7F-48C2-9B17-8AE3DB61F70D}" name="qx(46)" dataDxfId="168"/>
    <tableColumn id="57" xr3:uid="{ADDA403D-53E6-4721-9E24-78A97A41F1BF}" name="qx(47)" dataDxfId="167"/>
    <tableColumn id="58" xr3:uid="{510447DD-2A79-4623-A8CD-2F68BB01A1A5}" name="qx(48)" dataDxfId="166"/>
    <tableColumn id="59" xr3:uid="{7BC9FDE4-2CDD-4D4A-B448-CED75F076DB4}" name="qx(49)" dataDxfId="165"/>
    <tableColumn id="60" xr3:uid="{DCFCC4ED-BADE-4B2A-BB0F-1D404326BF69}" name="qx(50)" dataDxfId="164"/>
    <tableColumn id="61" xr3:uid="{FFE7631A-0C6C-4897-A0BB-742F5CE6952E}" name="qx(51)" dataDxfId="163"/>
    <tableColumn id="62" xr3:uid="{C8404A0B-3B6D-4CEE-A4CD-61FFBB1CEB88}" name="qx(52)" dataDxfId="162"/>
    <tableColumn id="63" xr3:uid="{1866B12C-2F20-4F76-B6C4-AC4026274372}" name="qx(53)" dataDxfId="161"/>
    <tableColumn id="64" xr3:uid="{CBF421F5-F79F-44D2-BF2A-C8656F5B4ED5}" name="qx(54)" dataDxfId="160"/>
    <tableColumn id="65" xr3:uid="{A5188AE5-741E-422A-A43C-53C2BA18EFD5}" name="qx(55)" dataDxfId="159"/>
    <tableColumn id="66" xr3:uid="{85DA41C9-C422-417A-971F-9DB575D6605F}" name="qx(56)" dataDxfId="158"/>
    <tableColumn id="67" xr3:uid="{C6182B97-CE36-4092-8FF1-00BF3C7DB1C2}" name="qx(57)" dataDxfId="157"/>
    <tableColumn id="68" xr3:uid="{5E1E8516-92F7-4A26-BB93-6F6881F85204}" name="qx(58)" dataDxfId="156"/>
    <tableColumn id="69" xr3:uid="{494869FC-03A1-4223-A8A4-BB76FA0BB866}" name="qx(59)" dataDxfId="155"/>
    <tableColumn id="70" xr3:uid="{2375C800-09FE-4007-A3F4-E699AD94E971}" name="qx(60)" dataDxfId="154"/>
    <tableColumn id="71" xr3:uid="{1D5D7E6A-8C56-4CCD-B41E-EF230E2D0998}" name="qx(61)" dataDxfId="153"/>
    <tableColumn id="72" xr3:uid="{1FDB5BEC-8BC3-49A3-955F-448A6E8A5C27}" name="qx(62)" dataDxfId="152"/>
    <tableColumn id="73" xr3:uid="{A291652F-DE4F-44BC-BADB-41B36E1DF812}" name="qx(63)" dataDxfId="151"/>
    <tableColumn id="74" xr3:uid="{F8FE10B7-FA60-4C07-B10B-4B30E29DFAF1}" name="qx(64)" dataDxfId="150"/>
    <tableColumn id="75" xr3:uid="{BCF99C23-FEEF-46D8-8F9A-A6145A55C77B}" name="qx(65)" dataDxfId="149"/>
    <tableColumn id="76" xr3:uid="{27CF4F32-3F99-4044-A356-032A2DC7344D}" name="qx(66)" dataDxfId="148"/>
    <tableColumn id="77" xr3:uid="{8C1BC349-19E8-4F95-A456-4E218647E3B5}" name="qx(67)" dataDxfId="147"/>
    <tableColumn id="78" xr3:uid="{32499AF1-6B7E-4260-8A5B-4597CB3A969B}" name="qx(68)" dataDxfId="146"/>
    <tableColumn id="79" xr3:uid="{11641E54-1EA1-4AC8-9EB9-C97A92752C29}" name="qx(69)" dataDxfId="145"/>
    <tableColumn id="80" xr3:uid="{E41F78C1-A8DB-412D-A169-8DFF34697492}" name="qx(70)" dataDxfId="144"/>
    <tableColumn id="81" xr3:uid="{0A5E10E4-F341-41CC-B53B-B8835FA5223D}" name="qx(71)" dataDxfId="143"/>
    <tableColumn id="82" xr3:uid="{BCF274DD-C810-4391-872F-D53BE8C5EDE2}" name="qx(72)" dataDxfId="142"/>
    <tableColumn id="83" xr3:uid="{0482B087-5D08-4B4E-A393-1C695367A784}" name="qx(73)" dataDxfId="141"/>
    <tableColumn id="84" xr3:uid="{E3A6AC2D-995C-4FC5-B1EB-CFB2521921D1}" name="qx(74)" dataDxfId="140"/>
    <tableColumn id="85" xr3:uid="{5330BB15-0ACA-41E1-A505-A6AB3E5D35DB}" name="qx(75)" dataDxfId="139"/>
    <tableColumn id="86" xr3:uid="{A6356605-C226-467D-9CD7-FE49A16ADA81}" name="qx(76)" dataDxfId="138"/>
    <tableColumn id="87" xr3:uid="{C46021B0-5697-48E2-ABB9-0D218C974B35}" name="qx(77)" dataDxfId="137"/>
    <tableColumn id="88" xr3:uid="{7CE3DC3B-5C63-4D97-B9FA-B070C9ED586D}" name="qx(78)" dataDxfId="136"/>
    <tableColumn id="89" xr3:uid="{E0C9663E-4C09-4F09-B8C4-C7A705142C35}" name="qx(79)" dataDxfId="135"/>
    <tableColumn id="90" xr3:uid="{D523ECD0-EA03-4192-ADC4-0133E463E13C}" name="qx(80)" dataDxfId="134"/>
    <tableColumn id="91" xr3:uid="{1E2C0D26-B347-403F-8A65-FA8B72CE78C1}" name="qx(81)" dataDxfId="133"/>
    <tableColumn id="92" xr3:uid="{6DABA211-1F70-4016-B99B-D16963C66AC0}" name="qx(82)" dataDxfId="132"/>
    <tableColumn id="93" xr3:uid="{0470080A-CDC1-4A70-B1B5-69A484ECE74F}" name="qx(83)" dataDxfId="131"/>
    <tableColumn id="94" xr3:uid="{C51D7C95-E166-4EBB-B33A-C2C63E1CC8FE}" name="qx(84)" dataDxfId="130"/>
    <tableColumn id="95" xr3:uid="{51675D95-5EB9-4D3C-AB01-7F10D859CE6D}" name="qx(85)" dataDxfId="129"/>
    <tableColumn id="96" xr3:uid="{E6FCBEA1-7455-4EF5-9BFF-A761DA533A64}" name="qx(86)" dataDxfId="128"/>
    <tableColumn id="97" xr3:uid="{6041DFDD-CD91-4945-9F48-9B4EC5BAE9E4}" name="qx(87)" dataDxfId="127"/>
    <tableColumn id="98" xr3:uid="{59795CCA-1E3E-4EB9-B533-E57FD7879AA3}" name="qx(88)" dataDxfId="126"/>
    <tableColumn id="99" xr3:uid="{0FE8EE03-BA01-4A18-9848-0249A706C21F}" name="qx(89)" dataDxfId="125"/>
    <tableColumn id="100" xr3:uid="{A251F11B-4972-4224-BF51-AD82E61320A0}" name="qx(90)" dataDxfId="124"/>
    <tableColumn id="101" xr3:uid="{1745E8E2-D1DD-4109-A88B-72ECA7E269B6}" name="qx(91)" dataDxfId="123"/>
    <tableColumn id="102" xr3:uid="{E7109F13-578B-432C-B4C6-2878E5D9A339}" name="qx(92)" dataDxfId="122"/>
    <tableColumn id="103" xr3:uid="{3301820A-3AE3-4045-9581-5FF36B08A879}" name="qx(93)" dataDxfId="121"/>
    <tableColumn id="104" xr3:uid="{DF0B5CD3-FAE7-46B3-B261-689FAC411E92}" name="qx(94)" dataDxfId="120"/>
    <tableColumn id="105" xr3:uid="{A86FA52F-6013-4907-9C03-E5C24E87E966}" name="qx(95)" dataDxfId="119"/>
    <tableColumn id="106" xr3:uid="{34C2256C-75B7-4D49-98ED-B2E30EBA4FE5}" name="qx(96)" dataDxfId="118"/>
    <tableColumn id="107" xr3:uid="{C00C39A2-3071-497E-ABDE-684CCFEB0EEF}" name="qx(97)" dataDxfId="117"/>
    <tableColumn id="108" xr3:uid="{D802818B-BD59-4F64-95DE-4D6ADC14923F}" name="qx(98)" dataDxfId="116"/>
    <tableColumn id="109" xr3:uid="{2FD3D7A6-E711-46F7-8312-45533EECB740}" name="qx(99)" dataDxfId="115"/>
    <tableColumn id="110" xr3:uid="{6E0114F3-563D-4133-8553-5866DC71CA32}" name="qx(100)" dataDxfId="114"/>
    <tableColumn id="111" xr3:uid="{C8825AFB-ED49-4476-A190-BC399253AF34}" name="qx(101)" dataDxfId="113"/>
    <tableColumn id="112" xr3:uid="{DE528C2F-2571-4FCE-B740-D83AC0CC5E17}" name="qx(102)" dataDxfId="112"/>
    <tableColumn id="113" xr3:uid="{E5C42A81-54A4-43CC-AC23-1D7807599AB4}" name="qx(103)" dataDxfId="111"/>
    <tableColumn id="114" xr3:uid="{2471477F-7854-4F1F-BE70-83A7019E72A6}" name="qx(104)" dataDxfId="110"/>
    <tableColumn id="115" xr3:uid="{5D192F0B-55D2-4700-B75B-8FBBDDC8C060}" name="qx(105)" dataDxfId="109"/>
    <tableColumn id="116" xr3:uid="{80D34A72-8CB8-4719-9D97-805D2E2BDAA3}" name="qx(106)" dataDxfId="108"/>
    <tableColumn id="117" xr3:uid="{C5544E73-7B10-4C9E-AF6D-361D0ACEDCE9}" name="qx(107)" dataDxfId="107"/>
    <tableColumn id="118" xr3:uid="{D44A43DB-0BE0-4560-9AB7-4877FEF493A4}" name="qx(108)" dataDxfId="106"/>
    <tableColumn id="119" xr3:uid="{8D54C13B-2B79-4BB6-B50B-E1D7C8F2FA31}" name="qx(109)" dataDxfId="105"/>
    <tableColumn id="120" xr3:uid="{14A610E8-2692-4E50-A4FF-C8883D5E8126}" name="qx(110)" dataDxfId="104"/>
    <tableColumn id="121" xr3:uid="{4D86FB1F-DF5A-4230-8CAF-B49544810485}" name="qx(111)" dataDxfId="103"/>
    <tableColumn id="122" xr3:uid="{4A803F90-552C-45DD-96A1-04BF1357FE8C}" name="qx(112)" dataDxfId="102"/>
    <tableColumn id="123" xr3:uid="{D812BC49-CA34-4A5F-ADD9-231290E5C685}" name="qx(113)" dataDxfId="101"/>
    <tableColumn id="124" xr3:uid="{69F30F06-4588-4DE7-B045-C1027D870E10}" name="qx(114)" dataDxfId="100"/>
    <tableColumn id="125" xr3:uid="{718AAAFB-233C-43D2-AB1F-A3DD7CE7DB18}" name="qx(115)" dataDxfId="99"/>
    <tableColumn id="126" xr3:uid="{BBAA2CB2-27AA-4944-A926-1E4B45C9F0D2}" name="qx(116)" dataDxfId="98"/>
    <tableColumn id="127" xr3:uid="{C93D4BB6-9291-458F-BB64-69D8F2A38325}" name="qx(117)" dataDxfId="97"/>
    <tableColumn id="128" xr3:uid="{431FDA38-59F8-46DB-AC06-EB34C8BA409E}" name="qx(118)" dataDxfId="96"/>
    <tableColumn id="129" xr3:uid="{99DF9004-35F9-442A-83A9-CF6624D44871}" name="qx(119)" dataDxfId="95"/>
    <tableColumn id="130" xr3:uid="{1ED1E82D-95BA-4D38-9D3A-F7E59BCBA08C}" name="qx(120)" dataDxfId="9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1A8848-C302-4403-B996-151CA8F3BCCA}" name="TAB_Code" displayName="TAB_Code" ref="B6:W12" totalsRowShown="0" headerRowDxfId="93" headerRowBorderDxfId="92" tableBorderDxfId="91" totalsRowBorderDxfId="90">
  <autoFilter ref="B6:W12" xr:uid="{0B1A8848-C302-4403-B996-151CA8F3BCCA}"/>
  <tableColumns count="22">
    <tableColumn id="1" xr3:uid="{6251A4D7-4174-4948-835A-66BC7E805DEB}" name="담보코드" dataDxfId="89"/>
    <tableColumn id="2" xr3:uid="{905A7105-E805-4A7C-8CD9-5B139D11190F}" name="담보명" dataDxfId="88"/>
    <tableColumn id="3" xr3:uid="{140D7925-A8AD-478F-97E7-97D95383EC53}" name="형" dataDxfId="87"/>
    <tableColumn id="4" xr3:uid="{9858F6EB-8E06-4943-B871-6BD33D6BC274}" name="종" dataDxfId="86"/>
    <tableColumn id="5" xr3:uid="{79B3ABFD-6F28-480F-8F48-0DFF696D190F}" name="신규/갱신" dataDxfId="85"/>
    <tableColumn id="6" xr3:uid="{177E22AF-BD0F-4BA6-A570-BECECC3DFA39}" name="sub1" dataDxfId="84"/>
    <tableColumn id="7" xr3:uid="{5C364D33-5754-4BF1-8AFD-8427EF1D0775}" name="sub2" dataDxfId="83"/>
    <tableColumn id="21" xr3:uid="{7E47CB74-3FC7-4DB8-8845-3C3DC4F63D42}" name="sub3" dataDxfId="82"/>
    <tableColumn id="27" xr3:uid="{C38A9B4D-2A3A-451A-815F-55D46B3B7E21}" name="Memo" dataDxfId="0"/>
    <tableColumn id="8" xr3:uid="{A803C66A-C327-4F1A-80F3-BDA5551A9EF7}" name="담보키" dataDxfId="1">
      <calculatedColumnFormula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calculatedColumnFormula>
    </tableColumn>
    <tableColumn id="20" xr3:uid="{E6F2C742-BC63-43AD-A823-8066830360C6}" name="급부번호" dataDxfId="81"/>
    <tableColumn id="9" xr3:uid="{D5D2A163-1697-4F76-B385-4BB66B695237}" name="탈퇴위험률코드" dataDxfId="80"/>
    <tableColumn id="22" xr3:uid="{A4FE1950-44F6-4A9D-B6A5-D3418339D4B5}" name="탈퇴위험률명" dataDxfId="79"/>
    <tableColumn id="11" xr3:uid="{73CDBAF7-ED7F-4675-A4C9-F12F7CF4D224}" name="부담보기간" dataDxfId="78"/>
    <tableColumn id="12" xr3:uid="{08AD98AC-BB23-4C80-80DE-7E38E3A4782B}" name="급부위험률코드" dataDxfId="77"/>
    <tableColumn id="23" xr3:uid="{E6F287C7-47EA-45A9-8C84-C2C6529AC3DE}" name="급부위험률명" dataDxfId="76"/>
    <tableColumn id="14" xr3:uid="{9AF1416E-182C-44FD-8004-1AEC15D201B2}" name="지급률" dataDxfId="75"/>
    <tableColumn id="15" xr3:uid="{1CDA9723-85DF-420F-B6DF-2E76ACAE111A}" name="감액률" dataDxfId="74"/>
    <tableColumn id="16" xr3:uid="{2D75D3B4-EB87-4FE5-AB98-7498330C62BA}" name="감액기간" dataDxfId="73"/>
    <tableColumn id="17" xr3:uid="{6EF686CF-C4AA-49A4-AE48-944B8896495A}" name="납면위험률코드" dataDxfId="72"/>
    <tableColumn id="24" xr3:uid="{F5C44554-F2A1-42CF-B16D-35D2D4C83E4C}" name="납면위험률명" dataDxfId="71"/>
    <tableColumn id="19" xr3:uid="{4072D250-84B8-4ABF-88EC-6D048593EC80}" name="무효해지기간" dataDxfId="7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82C328-60AD-4835-96BC-2F7CAEF44DC6}" name="TAB_Comb" displayName="TAB_Comb" ref="B6:AK15" totalsRowShown="0" headerRowDxfId="69" headerRowBorderDxfId="68" tableBorderDxfId="67" totalsRowBorderDxfId="66">
  <autoFilter ref="B6:AK15" xr:uid="{1782C328-60AD-4835-96BC-2F7CAEF44DC6}"/>
  <tableColumns count="36">
    <tableColumn id="1" xr3:uid="{91DC52DE-0019-460D-B100-77EB1C0C85A9}" name="담보코드" dataDxfId="65"/>
    <tableColumn id="2" xr3:uid="{7CE20F15-1C61-457A-86AB-B45424756AAD}" name="담보명" dataDxfId="64"/>
    <tableColumn id="34" xr3:uid="{ADE58620-CAB5-4A19-9616-768177B81A12}" name="형" dataDxfId="63"/>
    <tableColumn id="33" xr3:uid="{9F882959-5AE7-4E67-9B02-A260676486F0}" name="종" dataDxfId="62"/>
    <tableColumn id="32" xr3:uid="{7BA5D0D5-EDCC-48CB-BF40-55D0E7798C15}" name="신규/갱신" dataDxfId="61"/>
    <tableColumn id="35" xr3:uid="{674806F3-6514-43A1-A13A-D5FF1BA8DB2C}" name="sub1" dataDxfId="60"/>
    <tableColumn id="31" xr3:uid="{6CEC4CE0-D947-4D78-90CC-495D27795E24}" name="sub2" dataDxfId="59"/>
    <tableColumn id="30" xr3:uid="{651D0CC3-9B48-4B3C-80C6-5A81BA609F78}" name="sub3" dataDxfId="58"/>
    <tableColumn id="36" xr3:uid="{0F29D9F3-274B-442C-A266-E79F91FB5AF5}" name="담보키" dataDxfId="57"/>
    <tableColumn id="3" xr3:uid="{F0A1B4BC-CDE5-4A3C-BC90-AE4EEBBE4AA1}" name="결합위험률코드" dataDxfId="56"/>
    <tableColumn id="4" xr3:uid="{6E22D5FE-ADBD-440C-98CC-8A5774D1CC0A}" name="NumQx" dataDxfId="55">
      <calculatedColumnFormula>COUNTA(TAB_Comb[[#This Row],[QxCode(1)]],TAB_Comb[[#This Row],[QxCode(2)]],TAB_Comb[[#This Row],[QxCode(3)]],TAB_Comb[[#This Row],[QxCode(4)]],TAB_Comb[[#This Row],[QxCode(5)]],TAB_Comb[[#This Row],[QxCode(6)]],TAB_Comb[[#This Row],[QxCode(7)]],TAB_Comb[[#This Row],[QxCode(8)]])</calculatedColumnFormula>
    </tableColumn>
    <tableColumn id="5" xr3:uid="{C4A3F9A0-B8F0-49C3-8164-584E2AC4E0CD}" name="Oper" dataDxfId="54"/>
    <tableColumn id="6" xr3:uid="{7A2A7D60-C578-42DF-B27B-72B3C7835626}" name="QxCode(1)" dataDxfId="53"/>
    <tableColumn id="7" xr3:uid="{DC5A66DE-676A-435A-9008-E04FD7D1EE60}" name="QxType(1)" dataDxfId="52"/>
    <tableColumn id="8" xr3:uid="{A047581E-12D5-46C4-B95A-8613B1E4855B}" name="k(1)" dataDxfId="51"/>
    <tableColumn id="9" xr3:uid="{402A2429-8D59-4876-85DC-0BF22B2F0832}" name="QxCode(2)" dataDxfId="50"/>
    <tableColumn id="10" xr3:uid="{5DC5F768-5140-41FD-ADDB-BAEB0A97003E}" name="QxType(2)" dataDxfId="49"/>
    <tableColumn id="11" xr3:uid="{FAD8802B-E278-42CA-AF30-E3357E566F51}" name="k(2)" dataDxfId="48"/>
    <tableColumn id="12" xr3:uid="{1602BB99-6BB1-44EF-9203-F406B72AE10D}" name="QxCode(3)" dataDxfId="47"/>
    <tableColumn id="13" xr3:uid="{62BAFC56-1ADB-4F5B-A5DE-F0BF2F63DF71}" name="QxType(3)" dataDxfId="46"/>
    <tableColumn id="14" xr3:uid="{5AF6A91D-43A1-40C4-946B-BD2BC32824A1}" name="k(3)" dataDxfId="45"/>
    <tableColumn id="15" xr3:uid="{2129F68D-691E-4840-BFA2-719FD1BA0FF6}" name="QxCode(4)" dataDxfId="44"/>
    <tableColumn id="16" xr3:uid="{C8CEAA9A-133E-43F5-90D5-E8ECAC0DF625}" name="QxType(4)" dataDxfId="43"/>
    <tableColumn id="17" xr3:uid="{AD68D6B3-B82A-48C5-9AE4-1CF0EDBFCA58}" name="k(4)" dataDxfId="42"/>
    <tableColumn id="18" xr3:uid="{6DE4F1A8-D507-4FB4-9189-E6BE0CD5FA3E}" name="QxCode(5)" dataDxfId="41"/>
    <tableColumn id="19" xr3:uid="{1A49FBD1-D63C-41D5-9D42-BD0A2063458F}" name="QxType(5)" dataDxfId="40"/>
    <tableColumn id="20" xr3:uid="{0872403E-CB7B-40B9-9591-13BCD6712BB9}" name="k(5)" dataDxfId="39"/>
    <tableColumn id="21" xr3:uid="{60571EE0-E707-44A1-99C0-C82265B176B8}" name="QxCode(6)" dataDxfId="38"/>
    <tableColumn id="22" xr3:uid="{E8B440F6-8A11-4E70-BC6E-EC9C416368FE}" name="QxType(6)" dataDxfId="37"/>
    <tableColumn id="23" xr3:uid="{35170146-99AF-443E-AFFF-10EE4FB41139}" name="k(6)" dataDxfId="36"/>
    <tableColumn id="24" xr3:uid="{26466199-ADA4-40AB-9E67-686FA9B07DFD}" name="QxCode(7)" dataDxfId="35"/>
    <tableColumn id="25" xr3:uid="{A729B105-4A3C-41AE-9714-E53437E4EADB}" name="QxType(7)" dataDxfId="34"/>
    <tableColumn id="26" xr3:uid="{00BBEDEF-C9DC-4A85-B3FC-3DDE33B0E719}" name="k(7)" dataDxfId="33"/>
    <tableColumn id="27" xr3:uid="{89A666A2-7822-4577-BE70-30322073DB96}" name="QxCode(8)" dataDxfId="32"/>
    <tableColumn id="28" xr3:uid="{9025F67C-4805-4B9F-AA70-DBAD97EE3604}" name="QxType(8)" dataDxfId="31"/>
    <tableColumn id="29" xr3:uid="{CCA184AA-AE20-4044-A167-5C81FAA98D0D}" name="k(8)" dataDxfId="3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012877-5007-44F2-8C9B-525BD4F9A3D3}" name="TAB_Expense" displayName="TAB_Expense" ref="B6:S8" totalsRowShown="0" headerRowDxfId="29" headerRowBorderDxfId="28" tableBorderDxfId="27" totalsRowBorderDxfId="26">
  <autoFilter ref="B6:S8" xr:uid="{AE012877-5007-44F2-8C9B-525BD4F9A3D3}"/>
  <tableColumns count="18">
    <tableColumn id="1" xr3:uid="{DB97B744-3177-4AD6-82FA-99EAF73DD890}" name="담보코드" dataDxfId="25"/>
    <tableColumn id="2" xr3:uid="{253102D1-C1BF-4521-BA6B-11FD37704AF4}" name="담보명" dataDxfId="24"/>
    <tableColumn id="3" xr3:uid="{0A8EA1B8-958A-455D-B6A0-F03FA6E08F19}" name="형" dataDxfId="23"/>
    <tableColumn id="4" xr3:uid="{17CB15E4-63C5-4373-8406-BA66BC6F0F26}" name="종" dataDxfId="22"/>
    <tableColumn id="5" xr3:uid="{5A167B04-6D05-4F24-960D-A8F100367A85}" name="신규/갱신" dataDxfId="21"/>
    <tableColumn id="6" xr3:uid="{F79AEBB9-B229-41BA-B772-3426DEB086EC}" name="sub1" dataDxfId="20"/>
    <tableColumn id="7" xr3:uid="{0052A8D4-9C6E-4AD9-B7B3-CD208D488406}" name="sub2" dataDxfId="19"/>
    <tableColumn id="8" xr3:uid="{96871B7E-B944-4AB9-87A0-318919244040}" name="sub3" dataDxfId="18"/>
    <tableColumn id="9" xr3:uid="{4DCCBFBC-531A-4898-80FA-D5C550F4EC8B}" name="담보키" dataDxfId="17">
      <calculatedColumnFormula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calculatedColumnFormula>
    </tableColumn>
    <tableColumn id="10" xr3:uid="{DE043EE8-8391-445E-A378-74ECE2075F16}" name="가입금액" dataDxfId="16"/>
    <tableColumn id="11" xr3:uid="{66EF9DA9-A04C-4B9E-8C72-6E8D0E0AB89C}" name="α1" dataDxfId="15"/>
    <tableColumn id="12" xr3:uid="{D9557D6D-9A6B-4AD3-9350-C04FD7A03467}" name="α2" dataDxfId="14"/>
    <tableColumn id="13" xr3:uid="{535048A0-A771-43C9-BE1E-3EC719550C5A}" name="α3" dataDxfId="13"/>
    <tableColumn id="15" xr3:uid="{445BD787-1CC2-4CE1-A3A5-D76F9FC38653}" name="β1" dataDxfId="12"/>
    <tableColumn id="16" xr3:uid="{335CBB3E-217F-4359-BB32-E47C1D92CDA1}" name="β2" dataDxfId="11"/>
    <tableColumn id="17" xr3:uid="{8131AAA6-CC47-41B3-A99B-711AAA54444A}" name="β5" dataDxfId="10"/>
    <tableColumn id="18" xr3:uid="{EB3E9AEE-89CD-44DE-8251-654F9F6F308D}" name="γ" dataDxfId="9"/>
    <tableColumn id="19" xr3:uid="{05ED664D-4D68-46B6-9214-82ECB62B490F}" name="ce" dataDxfId="8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7A8AC-F575-47E6-AF0B-A8CA8A20FB0B}">
  <sheetPr codeName="Sheet1"/>
  <dimension ref="B1:EA15"/>
  <sheetViews>
    <sheetView showGridLines="0" workbookViewId="0">
      <pane xSplit="2" ySplit="7" topLeftCell="C8" activePane="bottomRight" state="frozen"/>
      <selection pane="topRight" activeCell="C1" sqref="C1"/>
      <selection pane="bottomLeft" activeCell="A7" sqref="A7"/>
      <selection pane="bottomRight" activeCell="H18" sqref="H18"/>
    </sheetView>
  </sheetViews>
  <sheetFormatPr defaultRowHeight="17.399999999999999"/>
  <cols>
    <col min="1" max="1" width="1.296875" customWidth="1"/>
    <col min="2" max="2" width="9" customWidth="1"/>
    <col min="3" max="3" width="14.3984375" bestFit="1" customWidth="1"/>
    <col min="4" max="4" width="9" bestFit="1" customWidth="1"/>
    <col min="5" max="5" width="8.59765625" bestFit="1" customWidth="1"/>
    <col min="6" max="6" width="10.3984375" bestFit="1" customWidth="1"/>
    <col min="7" max="7" width="12.3984375" bestFit="1" customWidth="1"/>
    <col min="8" max="8" width="10.3984375" bestFit="1" customWidth="1"/>
    <col min="9" max="9" width="8.59765625" bestFit="1" customWidth="1"/>
    <col min="10" max="10" width="10.796875" bestFit="1" customWidth="1"/>
    <col min="111" max="131" width="8.8984375" customWidth="1"/>
  </cols>
  <sheetData>
    <row r="1" spans="2:131" s="3" customFormat="1">
      <c r="B1" s="3">
        <v>1</v>
      </c>
      <c r="C1" s="3">
        <f t="shared" ref="C1:D1" si="0">B1+1</f>
        <v>2</v>
      </c>
      <c r="D1" s="3">
        <f t="shared" si="0"/>
        <v>3</v>
      </c>
      <c r="E1" s="3">
        <f t="shared" ref="E1" si="1">D1+1</f>
        <v>4</v>
      </c>
      <c r="F1" s="3">
        <f t="shared" ref="F1" si="2">E1+1</f>
        <v>5</v>
      </c>
      <c r="G1" s="3">
        <f t="shared" ref="G1" si="3">F1+1</f>
        <v>6</v>
      </c>
      <c r="H1" s="3">
        <f t="shared" ref="H1" si="4">G1+1</f>
        <v>7</v>
      </c>
      <c r="I1" s="3">
        <f>H1+1</f>
        <v>8</v>
      </c>
      <c r="J1" s="3">
        <f t="shared" ref="J1" si="5">I1+1</f>
        <v>9</v>
      </c>
      <c r="K1" s="3">
        <f t="shared" ref="K1" si="6">J1+1</f>
        <v>10</v>
      </c>
      <c r="L1" s="3">
        <f t="shared" ref="L1" si="7">K1+1</f>
        <v>11</v>
      </c>
      <c r="M1" s="3">
        <f t="shared" ref="M1" si="8">L1+1</f>
        <v>12</v>
      </c>
      <c r="N1" s="3">
        <f t="shared" ref="N1" si="9">M1+1</f>
        <v>13</v>
      </c>
      <c r="O1" s="3">
        <f t="shared" ref="O1" si="10">N1+1</f>
        <v>14</v>
      </c>
      <c r="P1" s="3">
        <f t="shared" ref="P1" si="11">O1+1</f>
        <v>15</v>
      </c>
      <c r="Q1" s="3">
        <f t="shared" ref="Q1" si="12">P1+1</f>
        <v>16</v>
      </c>
      <c r="R1" s="3">
        <f t="shared" ref="R1" si="13">Q1+1</f>
        <v>17</v>
      </c>
      <c r="S1" s="3">
        <f t="shared" ref="S1" si="14">R1+1</f>
        <v>18</v>
      </c>
      <c r="T1" s="3">
        <f t="shared" ref="T1" si="15">S1+1</f>
        <v>19</v>
      </c>
      <c r="U1" s="3">
        <f t="shared" ref="U1" si="16">T1+1</f>
        <v>20</v>
      </c>
      <c r="V1" s="3">
        <f t="shared" ref="V1" si="17">U1+1</f>
        <v>21</v>
      </c>
      <c r="W1" s="3">
        <f t="shared" ref="W1" si="18">V1+1</f>
        <v>22</v>
      </c>
      <c r="X1" s="3">
        <f t="shared" ref="X1" si="19">W1+1</f>
        <v>23</v>
      </c>
      <c r="Y1" s="3">
        <f t="shared" ref="Y1" si="20">X1+1</f>
        <v>24</v>
      </c>
      <c r="Z1" s="3">
        <f t="shared" ref="Z1" si="21">Y1+1</f>
        <v>25</v>
      </c>
      <c r="AA1" s="3">
        <f t="shared" ref="AA1" si="22">Z1+1</f>
        <v>26</v>
      </c>
      <c r="AB1" s="3">
        <f t="shared" ref="AB1" si="23">AA1+1</f>
        <v>27</v>
      </c>
      <c r="AC1" s="3">
        <f t="shared" ref="AC1" si="24">AB1+1</f>
        <v>28</v>
      </c>
      <c r="AD1" s="3">
        <f t="shared" ref="AD1" si="25">AC1+1</f>
        <v>29</v>
      </c>
      <c r="AE1" s="3">
        <f t="shared" ref="AE1" si="26">AD1+1</f>
        <v>30</v>
      </c>
      <c r="AF1" s="3">
        <f t="shared" ref="AF1" si="27">AE1+1</f>
        <v>31</v>
      </c>
      <c r="AG1" s="3">
        <f t="shared" ref="AG1" si="28">AF1+1</f>
        <v>32</v>
      </c>
      <c r="AH1" s="3">
        <f t="shared" ref="AH1" si="29">AG1+1</f>
        <v>33</v>
      </c>
      <c r="AI1" s="3">
        <f t="shared" ref="AI1" si="30">AH1+1</f>
        <v>34</v>
      </c>
      <c r="AJ1" s="3">
        <f t="shared" ref="AJ1" si="31">AI1+1</f>
        <v>35</v>
      </c>
      <c r="AK1" s="3">
        <f t="shared" ref="AK1" si="32">AJ1+1</f>
        <v>36</v>
      </c>
      <c r="AL1" s="3">
        <f t="shared" ref="AL1" si="33">AK1+1</f>
        <v>37</v>
      </c>
      <c r="AM1" s="3">
        <f t="shared" ref="AM1" si="34">AL1+1</f>
        <v>38</v>
      </c>
      <c r="AN1" s="3">
        <f t="shared" ref="AN1" si="35">AM1+1</f>
        <v>39</v>
      </c>
      <c r="AO1" s="3">
        <f t="shared" ref="AO1" si="36">AN1+1</f>
        <v>40</v>
      </c>
      <c r="AP1" s="3">
        <f t="shared" ref="AP1" si="37">AO1+1</f>
        <v>41</v>
      </c>
      <c r="AQ1" s="3">
        <f t="shared" ref="AQ1" si="38">AP1+1</f>
        <v>42</v>
      </c>
      <c r="AR1" s="3">
        <f t="shared" ref="AR1" si="39">AQ1+1</f>
        <v>43</v>
      </c>
      <c r="AS1" s="3">
        <f t="shared" ref="AS1" si="40">AR1+1</f>
        <v>44</v>
      </c>
      <c r="AT1" s="3">
        <f t="shared" ref="AT1" si="41">AS1+1</f>
        <v>45</v>
      </c>
      <c r="AU1" s="3">
        <f t="shared" ref="AU1" si="42">AT1+1</f>
        <v>46</v>
      </c>
      <c r="AV1" s="3">
        <f t="shared" ref="AV1" si="43">AU1+1</f>
        <v>47</v>
      </c>
      <c r="AW1" s="3">
        <f t="shared" ref="AW1" si="44">AV1+1</f>
        <v>48</v>
      </c>
      <c r="AX1" s="3">
        <f t="shared" ref="AX1" si="45">AW1+1</f>
        <v>49</v>
      </c>
      <c r="AY1" s="3">
        <f t="shared" ref="AY1" si="46">AX1+1</f>
        <v>50</v>
      </c>
      <c r="AZ1" s="3">
        <f t="shared" ref="AZ1" si="47">AY1+1</f>
        <v>51</v>
      </c>
      <c r="BA1" s="3">
        <f t="shared" ref="BA1" si="48">AZ1+1</f>
        <v>52</v>
      </c>
      <c r="BB1" s="3">
        <f t="shared" ref="BB1" si="49">BA1+1</f>
        <v>53</v>
      </c>
      <c r="BC1" s="3">
        <f t="shared" ref="BC1" si="50">BB1+1</f>
        <v>54</v>
      </c>
      <c r="BD1" s="3">
        <f t="shared" ref="BD1" si="51">BC1+1</f>
        <v>55</v>
      </c>
      <c r="BE1" s="3">
        <f t="shared" ref="BE1" si="52">BD1+1</f>
        <v>56</v>
      </c>
      <c r="BF1" s="3">
        <f t="shared" ref="BF1" si="53">BE1+1</f>
        <v>57</v>
      </c>
      <c r="BG1" s="3">
        <f t="shared" ref="BG1" si="54">BF1+1</f>
        <v>58</v>
      </c>
      <c r="BH1" s="3">
        <f t="shared" ref="BH1" si="55">BG1+1</f>
        <v>59</v>
      </c>
      <c r="BI1" s="3">
        <f t="shared" ref="BI1" si="56">BH1+1</f>
        <v>60</v>
      </c>
      <c r="BJ1" s="3">
        <f t="shared" ref="BJ1" si="57">BI1+1</f>
        <v>61</v>
      </c>
      <c r="BK1" s="3">
        <f t="shared" ref="BK1" si="58">BJ1+1</f>
        <v>62</v>
      </c>
      <c r="BL1" s="3">
        <f t="shared" ref="BL1" si="59">BK1+1</f>
        <v>63</v>
      </c>
      <c r="BM1" s="3">
        <f t="shared" ref="BM1" si="60">BL1+1</f>
        <v>64</v>
      </c>
      <c r="BN1" s="3">
        <f t="shared" ref="BN1" si="61">BM1+1</f>
        <v>65</v>
      </c>
      <c r="BO1" s="3">
        <f t="shared" ref="BO1" si="62">BN1+1</f>
        <v>66</v>
      </c>
      <c r="BP1" s="3">
        <f t="shared" ref="BP1" si="63">BO1+1</f>
        <v>67</v>
      </c>
      <c r="BQ1" s="3">
        <f t="shared" ref="BQ1" si="64">BP1+1</f>
        <v>68</v>
      </c>
      <c r="BR1" s="3">
        <f t="shared" ref="BR1" si="65">BQ1+1</f>
        <v>69</v>
      </c>
      <c r="BS1" s="3">
        <f t="shared" ref="BS1" si="66">BR1+1</f>
        <v>70</v>
      </c>
      <c r="BT1" s="3">
        <f t="shared" ref="BT1" si="67">BS1+1</f>
        <v>71</v>
      </c>
      <c r="BU1" s="3">
        <f t="shared" ref="BU1" si="68">BT1+1</f>
        <v>72</v>
      </c>
      <c r="BV1" s="3">
        <f t="shared" ref="BV1" si="69">BU1+1</f>
        <v>73</v>
      </c>
      <c r="BW1" s="3">
        <f t="shared" ref="BW1" si="70">BV1+1</f>
        <v>74</v>
      </c>
      <c r="BX1" s="3">
        <f t="shared" ref="BX1" si="71">BW1+1</f>
        <v>75</v>
      </c>
      <c r="BY1" s="3">
        <f t="shared" ref="BY1" si="72">BX1+1</f>
        <v>76</v>
      </c>
      <c r="BZ1" s="3">
        <f t="shared" ref="BZ1" si="73">BY1+1</f>
        <v>77</v>
      </c>
      <c r="CA1" s="3">
        <f t="shared" ref="CA1" si="74">BZ1+1</f>
        <v>78</v>
      </c>
      <c r="CB1" s="3">
        <f t="shared" ref="CB1" si="75">CA1+1</f>
        <v>79</v>
      </c>
      <c r="CC1" s="3">
        <f t="shared" ref="CC1" si="76">CB1+1</f>
        <v>80</v>
      </c>
      <c r="CD1" s="3">
        <f t="shared" ref="CD1" si="77">CC1+1</f>
        <v>81</v>
      </c>
      <c r="CE1" s="3">
        <f t="shared" ref="CE1" si="78">CD1+1</f>
        <v>82</v>
      </c>
      <c r="CF1" s="3">
        <f t="shared" ref="CF1" si="79">CE1+1</f>
        <v>83</v>
      </c>
      <c r="CG1" s="3">
        <f t="shared" ref="CG1" si="80">CF1+1</f>
        <v>84</v>
      </c>
      <c r="CH1" s="3">
        <f t="shared" ref="CH1" si="81">CG1+1</f>
        <v>85</v>
      </c>
      <c r="CI1" s="3">
        <f t="shared" ref="CI1" si="82">CH1+1</f>
        <v>86</v>
      </c>
      <c r="CJ1" s="3">
        <f t="shared" ref="CJ1" si="83">CI1+1</f>
        <v>87</v>
      </c>
      <c r="CK1" s="3">
        <f t="shared" ref="CK1" si="84">CJ1+1</f>
        <v>88</v>
      </c>
      <c r="CL1" s="3">
        <f t="shared" ref="CL1" si="85">CK1+1</f>
        <v>89</v>
      </c>
      <c r="CM1" s="3">
        <f t="shared" ref="CM1" si="86">CL1+1</f>
        <v>90</v>
      </c>
      <c r="CN1" s="3">
        <f t="shared" ref="CN1" si="87">CM1+1</f>
        <v>91</v>
      </c>
      <c r="CO1" s="3">
        <f t="shared" ref="CO1" si="88">CN1+1</f>
        <v>92</v>
      </c>
      <c r="CP1" s="3">
        <f t="shared" ref="CP1" si="89">CO1+1</f>
        <v>93</v>
      </c>
      <c r="CQ1" s="3">
        <f t="shared" ref="CQ1" si="90">CP1+1</f>
        <v>94</v>
      </c>
      <c r="CR1" s="3">
        <f t="shared" ref="CR1" si="91">CQ1+1</f>
        <v>95</v>
      </c>
      <c r="CS1" s="3">
        <f t="shared" ref="CS1" si="92">CR1+1</f>
        <v>96</v>
      </c>
      <c r="CT1" s="3">
        <f t="shared" ref="CT1" si="93">CS1+1</f>
        <v>97</v>
      </c>
      <c r="CU1" s="3">
        <f t="shared" ref="CU1" si="94">CT1+1</f>
        <v>98</v>
      </c>
      <c r="CV1" s="3">
        <f t="shared" ref="CV1" si="95">CU1+1</f>
        <v>99</v>
      </c>
      <c r="CW1" s="3">
        <f t="shared" ref="CW1" si="96">CV1+1</f>
        <v>100</v>
      </c>
      <c r="CX1" s="3">
        <f t="shared" ref="CX1" si="97">CW1+1</f>
        <v>101</v>
      </c>
      <c r="CY1" s="3">
        <f t="shared" ref="CY1" si="98">CX1+1</f>
        <v>102</v>
      </c>
      <c r="CZ1" s="3">
        <f t="shared" ref="CZ1" si="99">CY1+1</f>
        <v>103</v>
      </c>
      <c r="DA1" s="3">
        <f t="shared" ref="DA1" si="100">CZ1+1</f>
        <v>104</v>
      </c>
      <c r="DB1" s="3">
        <f t="shared" ref="DB1" si="101">DA1+1</f>
        <v>105</v>
      </c>
      <c r="DC1" s="3">
        <f t="shared" ref="DC1" si="102">DB1+1</f>
        <v>106</v>
      </c>
      <c r="DD1" s="3">
        <f t="shared" ref="DD1" si="103">DC1+1</f>
        <v>107</v>
      </c>
      <c r="DE1" s="3">
        <f t="shared" ref="DE1" si="104">DD1+1</f>
        <v>108</v>
      </c>
      <c r="DF1" s="3">
        <f t="shared" ref="DF1" si="105">DE1+1</f>
        <v>109</v>
      </c>
      <c r="DG1" s="3">
        <f t="shared" ref="DG1" si="106">DF1+1</f>
        <v>110</v>
      </c>
      <c r="DH1" s="3">
        <f t="shared" ref="DH1" si="107">DG1+1</f>
        <v>111</v>
      </c>
      <c r="DI1" s="3">
        <f t="shared" ref="DI1" si="108">DH1+1</f>
        <v>112</v>
      </c>
      <c r="DJ1" s="3">
        <f t="shared" ref="DJ1" si="109">DI1+1</f>
        <v>113</v>
      </c>
      <c r="DK1" s="3">
        <f t="shared" ref="DK1" si="110">DJ1+1</f>
        <v>114</v>
      </c>
      <c r="DL1" s="3">
        <f t="shared" ref="DL1" si="111">DK1+1</f>
        <v>115</v>
      </c>
      <c r="DM1" s="3">
        <f t="shared" ref="DM1" si="112">DL1+1</f>
        <v>116</v>
      </c>
      <c r="DN1" s="3">
        <f t="shared" ref="DN1" si="113">DM1+1</f>
        <v>117</v>
      </c>
      <c r="DO1" s="3">
        <f t="shared" ref="DO1" si="114">DN1+1</f>
        <v>118</v>
      </c>
      <c r="DP1" s="3">
        <f t="shared" ref="DP1" si="115">DO1+1</f>
        <v>119</v>
      </c>
      <c r="DQ1" s="3">
        <f t="shared" ref="DQ1" si="116">DP1+1</f>
        <v>120</v>
      </c>
      <c r="DR1" s="3">
        <f t="shared" ref="DR1" si="117">DQ1+1</f>
        <v>121</v>
      </c>
      <c r="DS1" s="3">
        <f t="shared" ref="DS1" si="118">DR1+1</f>
        <v>122</v>
      </c>
      <c r="DT1" s="3">
        <f t="shared" ref="DT1" si="119">DS1+1</f>
        <v>123</v>
      </c>
      <c r="DU1" s="3">
        <f t="shared" ref="DU1" si="120">DT1+1</f>
        <v>124</v>
      </c>
      <c r="DV1" s="3">
        <f t="shared" ref="DV1" si="121">DU1+1</f>
        <v>125</v>
      </c>
      <c r="DW1" s="3">
        <f t="shared" ref="DW1" si="122">DV1+1</f>
        <v>126</v>
      </c>
      <c r="DX1" s="3">
        <f t="shared" ref="DX1" si="123">DW1+1</f>
        <v>127</v>
      </c>
      <c r="DY1" s="3">
        <f t="shared" ref="DY1" si="124">DX1+1</f>
        <v>128</v>
      </c>
      <c r="DZ1" s="3">
        <f t="shared" ref="DZ1" si="125">DY1+1</f>
        <v>129</v>
      </c>
      <c r="EA1" s="3">
        <f t="shared" ref="EA1" si="126">DZ1+1</f>
        <v>130</v>
      </c>
    </row>
    <row r="3" spans="2:131">
      <c r="B3" s="4" t="s">
        <v>133</v>
      </c>
    </row>
    <row r="5" spans="2:131" s="2" customFormat="1">
      <c r="B5" s="2" t="s">
        <v>123</v>
      </c>
    </row>
    <row r="6" spans="2:131" s="2" customFormat="1">
      <c r="E6" s="2" t="s">
        <v>217</v>
      </c>
      <c r="F6" s="2" t="s">
        <v>217</v>
      </c>
      <c r="G6" s="2" t="s">
        <v>218</v>
      </c>
      <c r="H6" s="2" t="s">
        <v>217</v>
      </c>
      <c r="I6" s="2" t="s">
        <v>219</v>
      </c>
    </row>
    <row r="7" spans="2:131" s="1" customFormat="1">
      <c r="B7" s="27" t="s">
        <v>0</v>
      </c>
      <c r="C7" s="28" t="s">
        <v>131</v>
      </c>
      <c r="D7" s="30" t="s">
        <v>122</v>
      </c>
      <c r="E7" s="30" t="s">
        <v>208</v>
      </c>
      <c r="F7" s="30" t="s">
        <v>209</v>
      </c>
      <c r="G7" s="30" t="s">
        <v>210</v>
      </c>
      <c r="H7" s="30" t="s">
        <v>211</v>
      </c>
      <c r="I7" s="30" t="s">
        <v>212</v>
      </c>
      <c r="J7" s="29" t="s">
        <v>213</v>
      </c>
      <c r="K7" s="31" t="s">
        <v>1</v>
      </c>
      <c r="L7" s="31" t="s">
        <v>2</v>
      </c>
      <c r="M7" s="31" t="s">
        <v>3</v>
      </c>
      <c r="N7" s="31" t="s">
        <v>4</v>
      </c>
      <c r="O7" s="31" t="s">
        <v>5</v>
      </c>
      <c r="P7" s="31" t="s">
        <v>6</v>
      </c>
      <c r="Q7" s="31" t="s">
        <v>7</v>
      </c>
      <c r="R7" s="31" t="s">
        <v>8</v>
      </c>
      <c r="S7" s="31" t="s">
        <v>9</v>
      </c>
      <c r="T7" s="31" t="s">
        <v>10</v>
      </c>
      <c r="U7" s="31" t="s">
        <v>11</v>
      </c>
      <c r="V7" s="31" t="s">
        <v>12</v>
      </c>
      <c r="W7" s="31" t="s">
        <v>13</v>
      </c>
      <c r="X7" s="31" t="s">
        <v>14</v>
      </c>
      <c r="Y7" s="31" t="s">
        <v>15</v>
      </c>
      <c r="Z7" s="31" t="s">
        <v>16</v>
      </c>
      <c r="AA7" s="31" t="s">
        <v>17</v>
      </c>
      <c r="AB7" s="31" t="s">
        <v>18</v>
      </c>
      <c r="AC7" s="31" t="s">
        <v>19</v>
      </c>
      <c r="AD7" s="31" t="s">
        <v>20</v>
      </c>
      <c r="AE7" s="31" t="s">
        <v>21</v>
      </c>
      <c r="AF7" s="31" t="s">
        <v>22</v>
      </c>
      <c r="AG7" s="31" t="s">
        <v>23</v>
      </c>
      <c r="AH7" s="31" t="s">
        <v>24</v>
      </c>
      <c r="AI7" s="31" t="s">
        <v>25</v>
      </c>
      <c r="AJ7" s="31" t="s">
        <v>26</v>
      </c>
      <c r="AK7" s="31" t="s">
        <v>27</v>
      </c>
      <c r="AL7" s="31" t="s">
        <v>28</v>
      </c>
      <c r="AM7" s="31" t="s">
        <v>29</v>
      </c>
      <c r="AN7" s="31" t="s">
        <v>30</v>
      </c>
      <c r="AO7" s="31" t="s">
        <v>31</v>
      </c>
      <c r="AP7" s="31" t="s">
        <v>32</v>
      </c>
      <c r="AQ7" s="31" t="s">
        <v>33</v>
      </c>
      <c r="AR7" s="31" t="s">
        <v>34</v>
      </c>
      <c r="AS7" s="31" t="s">
        <v>35</v>
      </c>
      <c r="AT7" s="31" t="s">
        <v>36</v>
      </c>
      <c r="AU7" s="31" t="s">
        <v>37</v>
      </c>
      <c r="AV7" s="31" t="s">
        <v>38</v>
      </c>
      <c r="AW7" s="31" t="s">
        <v>39</v>
      </c>
      <c r="AX7" s="31" t="s">
        <v>40</v>
      </c>
      <c r="AY7" s="31" t="s">
        <v>41</v>
      </c>
      <c r="AZ7" s="31" t="s">
        <v>42</v>
      </c>
      <c r="BA7" s="31" t="s">
        <v>43</v>
      </c>
      <c r="BB7" s="31" t="s">
        <v>44</v>
      </c>
      <c r="BC7" s="31" t="s">
        <v>45</v>
      </c>
      <c r="BD7" s="31" t="s">
        <v>46</v>
      </c>
      <c r="BE7" s="31" t="s">
        <v>47</v>
      </c>
      <c r="BF7" s="31" t="s">
        <v>48</v>
      </c>
      <c r="BG7" s="31" t="s">
        <v>49</v>
      </c>
      <c r="BH7" s="31" t="s">
        <v>50</v>
      </c>
      <c r="BI7" s="31" t="s">
        <v>51</v>
      </c>
      <c r="BJ7" s="31" t="s">
        <v>52</v>
      </c>
      <c r="BK7" s="31" t="s">
        <v>53</v>
      </c>
      <c r="BL7" s="31" t="s">
        <v>54</v>
      </c>
      <c r="BM7" s="31" t="s">
        <v>55</v>
      </c>
      <c r="BN7" s="31" t="s">
        <v>56</v>
      </c>
      <c r="BO7" s="31" t="s">
        <v>57</v>
      </c>
      <c r="BP7" s="31" t="s">
        <v>58</v>
      </c>
      <c r="BQ7" s="31" t="s">
        <v>59</v>
      </c>
      <c r="BR7" s="31" t="s">
        <v>60</v>
      </c>
      <c r="BS7" s="31" t="s">
        <v>61</v>
      </c>
      <c r="BT7" s="31" t="s">
        <v>62</v>
      </c>
      <c r="BU7" s="31" t="s">
        <v>63</v>
      </c>
      <c r="BV7" s="31" t="s">
        <v>64</v>
      </c>
      <c r="BW7" s="31" t="s">
        <v>65</v>
      </c>
      <c r="BX7" s="31" t="s">
        <v>66</v>
      </c>
      <c r="BY7" s="31" t="s">
        <v>67</v>
      </c>
      <c r="BZ7" s="31" t="s">
        <v>68</v>
      </c>
      <c r="CA7" s="31" t="s">
        <v>69</v>
      </c>
      <c r="CB7" s="31" t="s">
        <v>70</v>
      </c>
      <c r="CC7" s="31" t="s">
        <v>71</v>
      </c>
      <c r="CD7" s="31" t="s">
        <v>72</v>
      </c>
      <c r="CE7" s="31" t="s">
        <v>73</v>
      </c>
      <c r="CF7" s="31" t="s">
        <v>74</v>
      </c>
      <c r="CG7" s="31" t="s">
        <v>75</v>
      </c>
      <c r="CH7" s="31" t="s">
        <v>76</v>
      </c>
      <c r="CI7" s="31" t="s">
        <v>77</v>
      </c>
      <c r="CJ7" s="31" t="s">
        <v>78</v>
      </c>
      <c r="CK7" s="31" t="s">
        <v>79</v>
      </c>
      <c r="CL7" s="31" t="s">
        <v>80</v>
      </c>
      <c r="CM7" s="31" t="s">
        <v>81</v>
      </c>
      <c r="CN7" s="31" t="s">
        <v>82</v>
      </c>
      <c r="CO7" s="31" t="s">
        <v>83</v>
      </c>
      <c r="CP7" s="31" t="s">
        <v>84</v>
      </c>
      <c r="CQ7" s="31" t="s">
        <v>85</v>
      </c>
      <c r="CR7" s="31" t="s">
        <v>86</v>
      </c>
      <c r="CS7" s="31" t="s">
        <v>87</v>
      </c>
      <c r="CT7" s="31" t="s">
        <v>88</v>
      </c>
      <c r="CU7" s="31" t="s">
        <v>89</v>
      </c>
      <c r="CV7" s="31" t="s">
        <v>90</v>
      </c>
      <c r="CW7" s="31" t="s">
        <v>91</v>
      </c>
      <c r="CX7" s="31" t="s">
        <v>92</v>
      </c>
      <c r="CY7" s="31" t="s">
        <v>93</v>
      </c>
      <c r="CZ7" s="31" t="s">
        <v>94</v>
      </c>
      <c r="DA7" s="31" t="s">
        <v>95</v>
      </c>
      <c r="DB7" s="31" t="s">
        <v>96</v>
      </c>
      <c r="DC7" s="31" t="s">
        <v>97</v>
      </c>
      <c r="DD7" s="31" t="s">
        <v>98</v>
      </c>
      <c r="DE7" s="31" t="s">
        <v>99</v>
      </c>
      <c r="DF7" s="31" t="s">
        <v>100</v>
      </c>
      <c r="DG7" s="31" t="s">
        <v>101</v>
      </c>
      <c r="DH7" s="31" t="s">
        <v>102</v>
      </c>
      <c r="DI7" s="31" t="s">
        <v>103</v>
      </c>
      <c r="DJ7" s="31" t="s">
        <v>104</v>
      </c>
      <c r="DK7" s="31" t="s">
        <v>105</v>
      </c>
      <c r="DL7" s="31" t="s">
        <v>106</v>
      </c>
      <c r="DM7" s="31" t="s">
        <v>107</v>
      </c>
      <c r="DN7" s="31" t="s">
        <v>108</v>
      </c>
      <c r="DO7" s="31" t="s">
        <v>109</v>
      </c>
      <c r="DP7" s="31" t="s">
        <v>110</v>
      </c>
      <c r="DQ7" s="31" t="s">
        <v>111</v>
      </c>
      <c r="DR7" s="31" t="s">
        <v>112</v>
      </c>
      <c r="DS7" s="31" t="s">
        <v>113</v>
      </c>
      <c r="DT7" s="31" t="s">
        <v>114</v>
      </c>
      <c r="DU7" s="31" t="s">
        <v>115</v>
      </c>
      <c r="DV7" s="31" t="s">
        <v>116</v>
      </c>
      <c r="DW7" s="31" t="s">
        <v>117</v>
      </c>
      <c r="DX7" s="31" t="s">
        <v>118</v>
      </c>
      <c r="DY7" s="31" t="s">
        <v>119</v>
      </c>
      <c r="DZ7" s="31" t="s">
        <v>120</v>
      </c>
      <c r="EA7" s="32" t="s">
        <v>121</v>
      </c>
    </row>
    <row r="8" spans="2:131">
      <c r="B8" s="5" t="s">
        <v>129</v>
      </c>
      <c r="C8" s="6" t="str">
        <f>VLOOKUP(TAB_Qx[[#This Row],[위험률코드]], Remark!$A$3:$B$5,2,FALSE)</f>
        <v>사망</v>
      </c>
      <c r="D8" s="6">
        <v>1</v>
      </c>
      <c r="E8" s="6"/>
      <c r="F8" s="6"/>
      <c r="G8" s="6"/>
      <c r="H8" s="6"/>
      <c r="I8" s="6"/>
      <c r="J8" s="34" t="str" cm="1">
        <f t="array" ref="J8" xml:space="preserve">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</f>
        <v/>
      </c>
      <c r="K8" s="6">
        <v>0.1</v>
      </c>
      <c r="L8" s="6">
        <v>0.1</v>
      </c>
      <c r="M8" s="6">
        <v>0.1</v>
      </c>
      <c r="N8" s="6">
        <v>0.1</v>
      </c>
      <c r="O8" s="6">
        <v>0.1</v>
      </c>
      <c r="P8" s="6">
        <v>0.1</v>
      </c>
      <c r="Q8" s="6">
        <v>0.1</v>
      </c>
      <c r="R8" s="6">
        <v>0.1</v>
      </c>
      <c r="S8" s="6">
        <v>0.1</v>
      </c>
      <c r="T8" s="6">
        <v>0.1</v>
      </c>
      <c r="U8" s="6">
        <v>0.1</v>
      </c>
      <c r="V8" s="6">
        <v>0.1</v>
      </c>
      <c r="W8" s="6">
        <v>0.1</v>
      </c>
      <c r="X8" s="6">
        <v>0.1</v>
      </c>
      <c r="Y8" s="6">
        <v>0.1</v>
      </c>
      <c r="Z8" s="6">
        <v>0.1</v>
      </c>
      <c r="AA8" s="6">
        <v>0.1</v>
      </c>
      <c r="AB8" s="6">
        <v>0.1</v>
      </c>
      <c r="AC8" s="6">
        <v>0.1</v>
      </c>
      <c r="AD8" s="6">
        <v>0.1</v>
      </c>
      <c r="AE8" s="6">
        <v>0.1</v>
      </c>
      <c r="AF8" s="6">
        <v>0.1</v>
      </c>
      <c r="AG8" s="6">
        <v>0.1</v>
      </c>
      <c r="AH8" s="6">
        <v>0.1</v>
      </c>
      <c r="AI8" s="6">
        <v>0.1</v>
      </c>
      <c r="AJ8" s="6">
        <v>0.1</v>
      </c>
      <c r="AK8" s="6">
        <v>0.1</v>
      </c>
      <c r="AL8" s="6">
        <v>0.1</v>
      </c>
      <c r="AM8" s="6">
        <v>0.1</v>
      </c>
      <c r="AN8" s="6">
        <v>0.1</v>
      </c>
      <c r="AO8" s="6">
        <v>0.1</v>
      </c>
      <c r="AP8" s="6">
        <v>0.1</v>
      </c>
      <c r="AQ8" s="6">
        <v>0.1</v>
      </c>
      <c r="AR8" s="6">
        <v>0.1</v>
      </c>
      <c r="AS8" s="6">
        <v>0.1</v>
      </c>
      <c r="AT8" s="6">
        <v>0.1</v>
      </c>
      <c r="AU8" s="6">
        <v>0.1</v>
      </c>
      <c r="AV8" s="6">
        <v>0.1</v>
      </c>
      <c r="AW8" s="6">
        <v>0.1</v>
      </c>
      <c r="AX8" s="6">
        <v>0.1</v>
      </c>
      <c r="AY8" s="6">
        <v>0.1</v>
      </c>
      <c r="AZ8" s="6">
        <v>0.1</v>
      </c>
      <c r="BA8" s="6">
        <v>0.1</v>
      </c>
      <c r="BB8" s="6">
        <v>0.1</v>
      </c>
      <c r="BC8" s="6">
        <v>0.1</v>
      </c>
      <c r="BD8" s="6">
        <v>0.1</v>
      </c>
      <c r="BE8" s="6">
        <v>0.1</v>
      </c>
      <c r="BF8" s="6">
        <v>0.1</v>
      </c>
      <c r="BG8" s="6">
        <v>0.1</v>
      </c>
      <c r="BH8" s="6">
        <v>0.1</v>
      </c>
      <c r="BI8" s="6">
        <v>0.1</v>
      </c>
      <c r="BJ8" s="6">
        <v>0.1</v>
      </c>
      <c r="BK8" s="6">
        <v>0.1</v>
      </c>
      <c r="BL8" s="6">
        <v>0.1</v>
      </c>
      <c r="BM8" s="6">
        <v>0.1</v>
      </c>
      <c r="BN8" s="6">
        <v>0.1</v>
      </c>
      <c r="BO8" s="6">
        <v>0.1</v>
      </c>
      <c r="BP8" s="6">
        <v>0.1</v>
      </c>
      <c r="BQ8" s="6">
        <v>0.1</v>
      </c>
      <c r="BR8" s="6">
        <v>0.1</v>
      </c>
      <c r="BS8" s="6">
        <v>0.1</v>
      </c>
      <c r="BT8" s="6">
        <v>0.1</v>
      </c>
      <c r="BU8" s="6">
        <v>0.1</v>
      </c>
      <c r="BV8" s="6">
        <v>0.1</v>
      </c>
      <c r="BW8" s="6">
        <v>0.1</v>
      </c>
      <c r="BX8" s="6">
        <v>0.1</v>
      </c>
      <c r="BY8" s="6">
        <v>0.1</v>
      </c>
      <c r="BZ8" s="6">
        <v>0.1</v>
      </c>
      <c r="CA8" s="6">
        <v>0.1</v>
      </c>
      <c r="CB8" s="6">
        <v>0.1</v>
      </c>
      <c r="CC8" s="6">
        <v>0.1</v>
      </c>
      <c r="CD8" s="6">
        <v>0.1</v>
      </c>
      <c r="CE8" s="6">
        <v>0.1</v>
      </c>
      <c r="CF8" s="6">
        <v>0.1</v>
      </c>
      <c r="CG8" s="6">
        <v>0.1</v>
      </c>
      <c r="CH8" s="6">
        <v>0.1</v>
      </c>
      <c r="CI8" s="6">
        <v>0.1</v>
      </c>
      <c r="CJ8" s="6">
        <v>0.1</v>
      </c>
      <c r="CK8" s="6">
        <v>0.1</v>
      </c>
      <c r="CL8" s="6">
        <v>0.1</v>
      </c>
      <c r="CM8" s="6">
        <v>0.1</v>
      </c>
      <c r="CN8" s="6">
        <v>0.1</v>
      </c>
      <c r="CO8" s="6">
        <v>0.1</v>
      </c>
      <c r="CP8" s="6">
        <v>0.1</v>
      </c>
      <c r="CQ8" s="6">
        <v>0.1</v>
      </c>
      <c r="CR8" s="6">
        <v>0.1</v>
      </c>
      <c r="CS8" s="6">
        <v>0.1</v>
      </c>
      <c r="CT8" s="6">
        <v>0.1</v>
      </c>
      <c r="CU8" s="6">
        <v>0.1</v>
      </c>
      <c r="CV8" s="6">
        <v>0.1</v>
      </c>
      <c r="CW8" s="6">
        <v>0.1</v>
      </c>
      <c r="CX8" s="6">
        <v>0.1</v>
      </c>
      <c r="CY8" s="6">
        <v>0.1</v>
      </c>
      <c r="CZ8" s="6">
        <v>0.1</v>
      </c>
      <c r="DA8" s="6">
        <v>0.1</v>
      </c>
      <c r="DB8" s="6">
        <v>0.1</v>
      </c>
      <c r="DC8" s="6">
        <v>0.1</v>
      </c>
      <c r="DD8" s="6">
        <v>0.1</v>
      </c>
      <c r="DE8" s="6">
        <v>0.1</v>
      </c>
      <c r="DF8" s="6">
        <v>0.1</v>
      </c>
      <c r="DG8" s="6">
        <v>0.1</v>
      </c>
      <c r="DH8" s="6">
        <v>0.1</v>
      </c>
      <c r="DI8" s="6">
        <v>0.1</v>
      </c>
      <c r="DJ8" s="6">
        <v>0.1</v>
      </c>
      <c r="DK8" s="6">
        <v>0.1</v>
      </c>
      <c r="DL8" s="6">
        <v>0.1</v>
      </c>
      <c r="DM8" s="6">
        <v>0.1</v>
      </c>
      <c r="DN8" s="6">
        <v>0.1</v>
      </c>
      <c r="DO8" s="6">
        <v>0.1</v>
      </c>
      <c r="DP8" s="6">
        <v>0.1</v>
      </c>
      <c r="DQ8" s="6">
        <v>0.1</v>
      </c>
      <c r="DR8" s="6">
        <v>0.1</v>
      </c>
      <c r="DS8" s="6">
        <v>0.1</v>
      </c>
      <c r="DT8" s="6">
        <v>0.1</v>
      </c>
      <c r="DU8" s="6">
        <v>0.1</v>
      </c>
      <c r="DV8" s="6">
        <v>0.1</v>
      </c>
      <c r="DW8" s="6">
        <v>0.1</v>
      </c>
      <c r="DX8" s="6">
        <v>0.1</v>
      </c>
      <c r="DY8" s="6">
        <v>0.1</v>
      </c>
      <c r="DZ8" s="6">
        <v>0.1</v>
      </c>
      <c r="EA8" s="7">
        <v>0.1</v>
      </c>
    </row>
    <row r="9" spans="2:131">
      <c r="B9" s="5" t="s">
        <v>129</v>
      </c>
      <c r="C9" s="6" t="str">
        <f>VLOOKUP(TAB_Qx[[#This Row],[위험률코드]], Remark!$A$3:$B$5,2,FALSE)</f>
        <v>사망</v>
      </c>
      <c r="D9" s="6">
        <v>2</v>
      </c>
      <c r="E9" s="6"/>
      <c r="F9" s="6"/>
      <c r="G9" s="6"/>
      <c r="H9" s="6"/>
      <c r="I9" s="6"/>
      <c r="J9" s="34" t="str" cm="1">
        <f t="array" ref="J9" xml:space="preserve">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</f>
        <v/>
      </c>
      <c r="K9" s="6">
        <v>0.2</v>
      </c>
      <c r="L9" s="6">
        <v>0.2</v>
      </c>
      <c r="M9" s="6">
        <v>0.2</v>
      </c>
      <c r="N9" s="6">
        <v>0.2</v>
      </c>
      <c r="O9" s="6">
        <v>0.2</v>
      </c>
      <c r="P9" s="6">
        <v>0.2</v>
      </c>
      <c r="Q9" s="6">
        <v>0.2</v>
      </c>
      <c r="R9" s="6">
        <v>0.2</v>
      </c>
      <c r="S9" s="6">
        <v>0.2</v>
      </c>
      <c r="T9" s="6">
        <v>0.2</v>
      </c>
      <c r="U9" s="6">
        <v>0.2</v>
      </c>
      <c r="V9" s="6">
        <v>0.2</v>
      </c>
      <c r="W9" s="6">
        <v>0.2</v>
      </c>
      <c r="X9" s="6">
        <v>0.2</v>
      </c>
      <c r="Y9" s="6">
        <v>0.2</v>
      </c>
      <c r="Z9" s="6">
        <v>0.2</v>
      </c>
      <c r="AA9" s="6">
        <v>0.2</v>
      </c>
      <c r="AB9" s="6">
        <v>0.2</v>
      </c>
      <c r="AC9" s="6">
        <v>0.2</v>
      </c>
      <c r="AD9" s="6">
        <v>0.2</v>
      </c>
      <c r="AE9" s="6">
        <v>0.2</v>
      </c>
      <c r="AF9" s="6">
        <v>0.2</v>
      </c>
      <c r="AG9" s="6">
        <v>0.2</v>
      </c>
      <c r="AH9" s="6">
        <v>0.2</v>
      </c>
      <c r="AI9" s="6">
        <v>0.2</v>
      </c>
      <c r="AJ9" s="6">
        <v>0.2</v>
      </c>
      <c r="AK9" s="6">
        <v>0.2</v>
      </c>
      <c r="AL9" s="6">
        <v>0.2</v>
      </c>
      <c r="AM9" s="6">
        <v>0.2</v>
      </c>
      <c r="AN9" s="6">
        <v>0.2</v>
      </c>
      <c r="AO9" s="6">
        <v>0.2</v>
      </c>
      <c r="AP9" s="6">
        <v>0.2</v>
      </c>
      <c r="AQ9" s="6">
        <v>0.2</v>
      </c>
      <c r="AR9" s="6">
        <v>0.2</v>
      </c>
      <c r="AS9" s="6">
        <v>0.2</v>
      </c>
      <c r="AT9" s="6">
        <v>0.2</v>
      </c>
      <c r="AU9" s="6">
        <v>0.2</v>
      </c>
      <c r="AV9" s="6">
        <v>0.2</v>
      </c>
      <c r="AW9" s="6">
        <v>0.2</v>
      </c>
      <c r="AX9" s="6">
        <v>0.2</v>
      </c>
      <c r="AY9" s="6">
        <v>0.2</v>
      </c>
      <c r="AZ9" s="6">
        <v>0.2</v>
      </c>
      <c r="BA9" s="6">
        <v>0.2</v>
      </c>
      <c r="BB9" s="6">
        <v>0.2</v>
      </c>
      <c r="BC9" s="6">
        <v>0.2</v>
      </c>
      <c r="BD9" s="6">
        <v>0.2</v>
      </c>
      <c r="BE9" s="6">
        <v>0.2</v>
      </c>
      <c r="BF9" s="6">
        <v>0.2</v>
      </c>
      <c r="BG9" s="6">
        <v>0.2</v>
      </c>
      <c r="BH9" s="6">
        <v>0.2</v>
      </c>
      <c r="BI9" s="6">
        <v>0.2</v>
      </c>
      <c r="BJ9" s="6">
        <v>0.2</v>
      </c>
      <c r="BK9" s="6">
        <v>0.2</v>
      </c>
      <c r="BL9" s="6">
        <v>0.2</v>
      </c>
      <c r="BM9" s="6">
        <v>0.2</v>
      </c>
      <c r="BN9" s="6">
        <v>0.2</v>
      </c>
      <c r="BO9" s="6">
        <v>0.2</v>
      </c>
      <c r="BP9" s="6">
        <v>0.2</v>
      </c>
      <c r="BQ9" s="6">
        <v>0.2</v>
      </c>
      <c r="BR9" s="6">
        <v>0.2</v>
      </c>
      <c r="BS9" s="6">
        <v>0.2</v>
      </c>
      <c r="BT9" s="6">
        <v>0.2</v>
      </c>
      <c r="BU9" s="6">
        <v>0.2</v>
      </c>
      <c r="BV9" s="6">
        <v>0.2</v>
      </c>
      <c r="BW9" s="6">
        <v>0.2</v>
      </c>
      <c r="BX9" s="6">
        <v>0.2</v>
      </c>
      <c r="BY9" s="6">
        <v>0.2</v>
      </c>
      <c r="BZ9" s="6">
        <v>0.2</v>
      </c>
      <c r="CA9" s="6">
        <v>0.2</v>
      </c>
      <c r="CB9" s="6">
        <v>0.2</v>
      </c>
      <c r="CC9" s="6">
        <v>0.2</v>
      </c>
      <c r="CD9" s="6">
        <v>0.2</v>
      </c>
      <c r="CE9" s="6">
        <v>0.2</v>
      </c>
      <c r="CF9" s="6">
        <v>0.2</v>
      </c>
      <c r="CG9" s="6">
        <v>0.2</v>
      </c>
      <c r="CH9" s="6">
        <v>0.2</v>
      </c>
      <c r="CI9" s="6">
        <v>0.2</v>
      </c>
      <c r="CJ9" s="6">
        <v>0.2</v>
      </c>
      <c r="CK9" s="6">
        <v>0.2</v>
      </c>
      <c r="CL9" s="6">
        <v>0.2</v>
      </c>
      <c r="CM9" s="6">
        <v>0.2</v>
      </c>
      <c r="CN9" s="6">
        <v>0.2</v>
      </c>
      <c r="CO9" s="6">
        <v>0.2</v>
      </c>
      <c r="CP9" s="6">
        <v>0.2</v>
      </c>
      <c r="CQ9" s="6">
        <v>0.2</v>
      </c>
      <c r="CR9" s="6">
        <v>0.2</v>
      </c>
      <c r="CS9" s="6">
        <v>0.2</v>
      </c>
      <c r="CT9" s="6">
        <v>0.2</v>
      </c>
      <c r="CU9" s="6">
        <v>0.2</v>
      </c>
      <c r="CV9" s="6">
        <v>0.2</v>
      </c>
      <c r="CW9" s="6">
        <v>0.2</v>
      </c>
      <c r="CX9" s="6">
        <v>0.2</v>
      </c>
      <c r="CY9" s="6">
        <v>0.2</v>
      </c>
      <c r="CZ9" s="6">
        <v>0.2</v>
      </c>
      <c r="DA9" s="6">
        <v>0.2</v>
      </c>
      <c r="DB9" s="6">
        <v>0.2</v>
      </c>
      <c r="DC9" s="6">
        <v>0.2</v>
      </c>
      <c r="DD9" s="6">
        <v>0.2</v>
      </c>
      <c r="DE9" s="6">
        <v>0.2</v>
      </c>
      <c r="DF9" s="6">
        <v>0.2</v>
      </c>
      <c r="DG9" s="6">
        <v>0.2</v>
      </c>
      <c r="DH9" s="6">
        <v>0.2</v>
      </c>
      <c r="DI9" s="6">
        <v>0.2</v>
      </c>
      <c r="DJ9" s="6">
        <v>0.2</v>
      </c>
      <c r="DK9" s="6">
        <v>0.2</v>
      </c>
      <c r="DL9" s="6">
        <v>0.2</v>
      </c>
      <c r="DM9" s="6">
        <v>0.2</v>
      </c>
      <c r="DN9" s="6">
        <v>0.2</v>
      </c>
      <c r="DO9" s="6">
        <v>0.2</v>
      </c>
      <c r="DP9" s="6">
        <v>0.2</v>
      </c>
      <c r="DQ9" s="6">
        <v>0.2</v>
      </c>
      <c r="DR9" s="6">
        <v>0.2</v>
      </c>
      <c r="DS9" s="6">
        <v>0.2</v>
      </c>
      <c r="DT9" s="6">
        <v>0.2</v>
      </c>
      <c r="DU9" s="6">
        <v>0.2</v>
      </c>
      <c r="DV9" s="6">
        <v>0.2</v>
      </c>
      <c r="DW9" s="6">
        <v>0.2</v>
      </c>
      <c r="DX9" s="6">
        <v>0.2</v>
      </c>
      <c r="DY9" s="6">
        <v>0.2</v>
      </c>
      <c r="DZ9" s="6">
        <v>0.2</v>
      </c>
      <c r="EA9" s="7">
        <v>0.2</v>
      </c>
    </row>
    <row r="10" spans="2:131">
      <c r="B10" s="5" t="s">
        <v>130</v>
      </c>
      <c r="C10" s="6" t="str">
        <f>VLOOKUP(TAB_Qx[[#This Row],[위험률코드]], Remark!$A$3:$B$5,2,FALSE)</f>
        <v>일반상해입원비</v>
      </c>
      <c r="D10" s="6">
        <v>1</v>
      </c>
      <c r="E10" s="6">
        <v>1</v>
      </c>
      <c r="F10" s="6"/>
      <c r="G10" s="6"/>
      <c r="H10" s="6"/>
      <c r="I10" s="6"/>
      <c r="J10" s="34" t="str" cm="1">
        <f t="array" ref="J10" xml:space="preserve">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</f>
        <v>I</v>
      </c>
      <c r="K10" s="6">
        <v>0.3</v>
      </c>
      <c r="L10" s="6">
        <v>0.3</v>
      </c>
      <c r="M10" s="6">
        <v>0.3</v>
      </c>
      <c r="N10" s="6">
        <v>0.3</v>
      </c>
      <c r="O10" s="6">
        <v>0.3</v>
      </c>
      <c r="P10" s="6">
        <v>0.3</v>
      </c>
      <c r="Q10" s="6">
        <v>0.3</v>
      </c>
      <c r="R10" s="6">
        <v>0.3</v>
      </c>
      <c r="S10" s="6">
        <v>0.3</v>
      </c>
      <c r="T10" s="6">
        <v>0.3</v>
      </c>
      <c r="U10" s="6">
        <v>0.3</v>
      </c>
      <c r="V10" s="6">
        <v>0.3</v>
      </c>
      <c r="W10" s="6">
        <v>0.3</v>
      </c>
      <c r="X10" s="6">
        <v>0.3</v>
      </c>
      <c r="Y10" s="6">
        <v>0.3</v>
      </c>
      <c r="Z10" s="6">
        <v>0.3</v>
      </c>
      <c r="AA10" s="6">
        <v>0.3</v>
      </c>
      <c r="AB10" s="6">
        <v>0.3</v>
      </c>
      <c r="AC10" s="6">
        <v>0.3</v>
      </c>
      <c r="AD10" s="6">
        <v>0.3</v>
      </c>
      <c r="AE10" s="6">
        <v>0.3</v>
      </c>
      <c r="AF10" s="6">
        <v>0.3</v>
      </c>
      <c r="AG10" s="6">
        <v>0.3</v>
      </c>
      <c r="AH10" s="6">
        <v>0.3</v>
      </c>
      <c r="AI10" s="6">
        <v>0.3</v>
      </c>
      <c r="AJ10" s="6">
        <v>0.3</v>
      </c>
      <c r="AK10" s="6">
        <v>0.3</v>
      </c>
      <c r="AL10" s="6">
        <v>0.3</v>
      </c>
      <c r="AM10" s="6">
        <v>0.3</v>
      </c>
      <c r="AN10" s="6">
        <v>0.3</v>
      </c>
      <c r="AO10" s="6">
        <v>0.3</v>
      </c>
      <c r="AP10" s="6">
        <v>0.3</v>
      </c>
      <c r="AQ10" s="6">
        <v>0.3</v>
      </c>
      <c r="AR10" s="6">
        <v>0.3</v>
      </c>
      <c r="AS10" s="6">
        <v>0.3</v>
      </c>
      <c r="AT10" s="6">
        <v>0.3</v>
      </c>
      <c r="AU10" s="6">
        <v>0.3</v>
      </c>
      <c r="AV10" s="6">
        <v>0.3</v>
      </c>
      <c r="AW10" s="6">
        <v>0.3</v>
      </c>
      <c r="AX10" s="6">
        <v>0.3</v>
      </c>
      <c r="AY10" s="6">
        <v>0.3</v>
      </c>
      <c r="AZ10" s="6">
        <v>0.3</v>
      </c>
      <c r="BA10" s="6">
        <v>0.3</v>
      </c>
      <c r="BB10" s="6">
        <v>0.3</v>
      </c>
      <c r="BC10" s="6">
        <v>0.3</v>
      </c>
      <c r="BD10" s="6">
        <v>0.3</v>
      </c>
      <c r="BE10" s="6">
        <v>0.3</v>
      </c>
      <c r="BF10" s="6">
        <v>0.3</v>
      </c>
      <c r="BG10" s="6">
        <v>0.3</v>
      </c>
      <c r="BH10" s="6">
        <v>0.3</v>
      </c>
      <c r="BI10" s="6">
        <v>0.3</v>
      </c>
      <c r="BJ10" s="6">
        <v>0.3</v>
      </c>
      <c r="BK10" s="6">
        <v>0.3</v>
      </c>
      <c r="BL10" s="6">
        <v>0.3</v>
      </c>
      <c r="BM10" s="6">
        <v>0.3</v>
      </c>
      <c r="BN10" s="6">
        <v>0.3</v>
      </c>
      <c r="BO10" s="6">
        <v>0.3</v>
      </c>
      <c r="BP10" s="6">
        <v>0.3</v>
      </c>
      <c r="BQ10" s="6">
        <v>0.3</v>
      </c>
      <c r="BR10" s="6">
        <v>0.3</v>
      </c>
      <c r="BS10" s="6">
        <v>0.3</v>
      </c>
      <c r="BT10" s="6">
        <v>0.3</v>
      </c>
      <c r="BU10" s="6">
        <v>0.3</v>
      </c>
      <c r="BV10" s="6">
        <v>0.3</v>
      </c>
      <c r="BW10" s="6">
        <v>0.3</v>
      </c>
      <c r="BX10" s="6">
        <v>0.3</v>
      </c>
      <c r="BY10" s="6">
        <v>0.3</v>
      </c>
      <c r="BZ10" s="6">
        <v>0.3</v>
      </c>
      <c r="CA10" s="6">
        <v>0.3</v>
      </c>
      <c r="CB10" s="6">
        <v>0.3</v>
      </c>
      <c r="CC10" s="6">
        <v>0.3</v>
      </c>
      <c r="CD10" s="6">
        <v>0.3</v>
      </c>
      <c r="CE10" s="6">
        <v>0.3</v>
      </c>
      <c r="CF10" s="6">
        <v>0.3</v>
      </c>
      <c r="CG10" s="6">
        <v>0.3</v>
      </c>
      <c r="CH10" s="6">
        <v>0.3</v>
      </c>
      <c r="CI10" s="6">
        <v>0.3</v>
      </c>
      <c r="CJ10" s="6">
        <v>0.3</v>
      </c>
      <c r="CK10" s="6">
        <v>0.3</v>
      </c>
      <c r="CL10" s="6">
        <v>0.3</v>
      </c>
      <c r="CM10" s="6">
        <v>0.3</v>
      </c>
      <c r="CN10" s="6">
        <v>0.3</v>
      </c>
      <c r="CO10" s="6">
        <v>0.3</v>
      </c>
      <c r="CP10" s="6">
        <v>0.3</v>
      </c>
      <c r="CQ10" s="6">
        <v>0.3</v>
      </c>
      <c r="CR10" s="6">
        <v>0.3</v>
      </c>
      <c r="CS10" s="6">
        <v>0.3</v>
      </c>
      <c r="CT10" s="6">
        <v>0.3</v>
      </c>
      <c r="CU10" s="6">
        <v>0.3</v>
      </c>
      <c r="CV10" s="6">
        <v>0.3</v>
      </c>
      <c r="CW10" s="6">
        <v>0.3</v>
      </c>
      <c r="CX10" s="6">
        <v>0.3</v>
      </c>
      <c r="CY10" s="6">
        <v>0.3</v>
      </c>
      <c r="CZ10" s="6">
        <v>0.3</v>
      </c>
      <c r="DA10" s="6">
        <v>0.3</v>
      </c>
      <c r="DB10" s="6">
        <v>0.3</v>
      </c>
      <c r="DC10" s="6">
        <v>0.3</v>
      </c>
      <c r="DD10" s="6">
        <v>0.3</v>
      </c>
      <c r="DE10" s="6">
        <v>0.3</v>
      </c>
      <c r="DF10" s="6">
        <v>0.3</v>
      </c>
      <c r="DG10" s="6">
        <v>0.3</v>
      </c>
      <c r="DH10" s="6">
        <v>0.3</v>
      </c>
      <c r="DI10" s="6">
        <v>0.3</v>
      </c>
      <c r="DJ10" s="6">
        <v>0.3</v>
      </c>
      <c r="DK10" s="6">
        <v>0.3</v>
      </c>
      <c r="DL10" s="6">
        <v>0.3</v>
      </c>
      <c r="DM10" s="6">
        <v>0.3</v>
      </c>
      <c r="DN10" s="6">
        <v>0.3</v>
      </c>
      <c r="DO10" s="6">
        <v>0.3</v>
      </c>
      <c r="DP10" s="6">
        <v>0.3</v>
      </c>
      <c r="DQ10" s="6">
        <v>0.3</v>
      </c>
      <c r="DR10" s="6">
        <v>0.3</v>
      </c>
      <c r="DS10" s="6">
        <v>0.3</v>
      </c>
      <c r="DT10" s="6">
        <v>0.3</v>
      </c>
      <c r="DU10" s="6">
        <v>0.3</v>
      </c>
      <c r="DV10" s="6">
        <v>0.3</v>
      </c>
      <c r="DW10" s="6">
        <v>0.3</v>
      </c>
      <c r="DX10" s="6">
        <v>0.3</v>
      </c>
      <c r="DY10" s="6">
        <v>0.3</v>
      </c>
      <c r="DZ10" s="6">
        <v>0.3</v>
      </c>
      <c r="EA10" s="7">
        <v>0.3</v>
      </c>
    </row>
    <row r="11" spans="2:131">
      <c r="B11" s="5" t="s">
        <v>130</v>
      </c>
      <c r="C11" s="9" t="str">
        <f>VLOOKUP(TAB_Qx[[#This Row],[위험률코드]], Remark!$A$3:$B$5,2,FALSE)</f>
        <v>일반상해입원비</v>
      </c>
      <c r="D11" s="9">
        <v>2</v>
      </c>
      <c r="E11" s="9">
        <v>1</v>
      </c>
      <c r="F11" s="9"/>
      <c r="G11" s="9"/>
      <c r="H11" s="9"/>
      <c r="I11" s="9"/>
      <c r="J11" s="36" t="str" cm="1">
        <f t="array" ref="J11" xml:space="preserve">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</f>
        <v>I</v>
      </c>
      <c r="K11" s="9">
        <v>0.4</v>
      </c>
      <c r="L11" s="9">
        <v>0.4</v>
      </c>
      <c r="M11" s="9">
        <v>0.4</v>
      </c>
      <c r="N11" s="9">
        <v>0.4</v>
      </c>
      <c r="O11" s="9">
        <v>0.4</v>
      </c>
      <c r="P11" s="9">
        <v>0.4</v>
      </c>
      <c r="Q11" s="9">
        <v>0.4</v>
      </c>
      <c r="R11" s="9">
        <v>0.4</v>
      </c>
      <c r="S11" s="9">
        <v>0.4</v>
      </c>
      <c r="T11" s="9">
        <v>0.4</v>
      </c>
      <c r="U11" s="9">
        <v>0.4</v>
      </c>
      <c r="V11" s="9">
        <v>0.4</v>
      </c>
      <c r="W11" s="9">
        <v>0.4</v>
      </c>
      <c r="X11" s="9">
        <v>0.4</v>
      </c>
      <c r="Y11" s="9">
        <v>0.4</v>
      </c>
      <c r="Z11" s="9">
        <v>0.4</v>
      </c>
      <c r="AA11" s="9">
        <v>0.4</v>
      </c>
      <c r="AB11" s="9">
        <v>0.4</v>
      </c>
      <c r="AC11" s="9">
        <v>0.4</v>
      </c>
      <c r="AD11" s="9">
        <v>0.4</v>
      </c>
      <c r="AE11" s="9">
        <v>0.4</v>
      </c>
      <c r="AF11" s="9">
        <v>0.4</v>
      </c>
      <c r="AG11" s="9">
        <v>0.4</v>
      </c>
      <c r="AH11" s="9">
        <v>0.4</v>
      </c>
      <c r="AI11" s="9">
        <v>0.4</v>
      </c>
      <c r="AJ11" s="9">
        <v>0.4</v>
      </c>
      <c r="AK11" s="9">
        <v>0.4</v>
      </c>
      <c r="AL11" s="9">
        <v>0.4</v>
      </c>
      <c r="AM11" s="9">
        <v>0.4</v>
      </c>
      <c r="AN11" s="9">
        <v>0.4</v>
      </c>
      <c r="AO11" s="9">
        <v>0.4</v>
      </c>
      <c r="AP11" s="9">
        <v>0.4</v>
      </c>
      <c r="AQ11" s="9">
        <v>0.4</v>
      </c>
      <c r="AR11" s="9">
        <v>0.4</v>
      </c>
      <c r="AS11" s="9">
        <v>0.4</v>
      </c>
      <c r="AT11" s="9">
        <v>0.4</v>
      </c>
      <c r="AU11" s="9">
        <v>0.4</v>
      </c>
      <c r="AV11" s="9">
        <v>0.4</v>
      </c>
      <c r="AW11" s="9">
        <v>0.4</v>
      </c>
      <c r="AX11" s="9">
        <v>0.4</v>
      </c>
      <c r="AY11" s="9">
        <v>0.4</v>
      </c>
      <c r="AZ11" s="9">
        <v>0.4</v>
      </c>
      <c r="BA11" s="9">
        <v>0.4</v>
      </c>
      <c r="BB11" s="9">
        <v>0.4</v>
      </c>
      <c r="BC11" s="9">
        <v>0.4</v>
      </c>
      <c r="BD11" s="9">
        <v>0.4</v>
      </c>
      <c r="BE11" s="9">
        <v>0.4</v>
      </c>
      <c r="BF11" s="9">
        <v>0.4</v>
      </c>
      <c r="BG11" s="9">
        <v>0.4</v>
      </c>
      <c r="BH11" s="9">
        <v>0.4</v>
      </c>
      <c r="BI11" s="9">
        <v>0.4</v>
      </c>
      <c r="BJ11" s="9">
        <v>0.4</v>
      </c>
      <c r="BK11" s="9">
        <v>0.4</v>
      </c>
      <c r="BL11" s="9">
        <v>0.4</v>
      </c>
      <c r="BM11" s="9">
        <v>0.4</v>
      </c>
      <c r="BN11" s="9">
        <v>0.4</v>
      </c>
      <c r="BO11" s="9">
        <v>0.4</v>
      </c>
      <c r="BP11" s="9">
        <v>0.4</v>
      </c>
      <c r="BQ11" s="9">
        <v>0.4</v>
      </c>
      <c r="BR11" s="9">
        <v>0.4</v>
      </c>
      <c r="BS11" s="9">
        <v>0.4</v>
      </c>
      <c r="BT11" s="9">
        <v>0.4</v>
      </c>
      <c r="BU11" s="9">
        <v>0.4</v>
      </c>
      <c r="BV11" s="9">
        <v>0.4</v>
      </c>
      <c r="BW11" s="9">
        <v>0.4</v>
      </c>
      <c r="BX11" s="9">
        <v>0.4</v>
      </c>
      <c r="BY11" s="9">
        <v>0.4</v>
      </c>
      <c r="BZ11" s="9">
        <v>0.4</v>
      </c>
      <c r="CA11" s="9">
        <v>0.4</v>
      </c>
      <c r="CB11" s="9">
        <v>0.4</v>
      </c>
      <c r="CC11" s="9">
        <v>0.4</v>
      </c>
      <c r="CD11" s="9">
        <v>0.4</v>
      </c>
      <c r="CE11" s="9">
        <v>0.4</v>
      </c>
      <c r="CF11" s="9">
        <v>0.4</v>
      </c>
      <c r="CG11" s="9">
        <v>0.4</v>
      </c>
      <c r="CH11" s="9">
        <v>0.4</v>
      </c>
      <c r="CI11" s="9">
        <v>0.4</v>
      </c>
      <c r="CJ11" s="9">
        <v>0.4</v>
      </c>
      <c r="CK11" s="9">
        <v>0.4</v>
      </c>
      <c r="CL11" s="9">
        <v>0.4</v>
      </c>
      <c r="CM11" s="9">
        <v>0.4</v>
      </c>
      <c r="CN11" s="9">
        <v>0.4</v>
      </c>
      <c r="CO11" s="9">
        <v>0.4</v>
      </c>
      <c r="CP11" s="9">
        <v>0.4</v>
      </c>
      <c r="CQ11" s="9">
        <v>0.4</v>
      </c>
      <c r="CR11" s="9">
        <v>0.4</v>
      </c>
      <c r="CS11" s="9">
        <v>0.4</v>
      </c>
      <c r="CT11" s="9">
        <v>0.4</v>
      </c>
      <c r="CU11" s="9">
        <v>0.4</v>
      </c>
      <c r="CV11" s="9">
        <v>0.4</v>
      </c>
      <c r="CW11" s="9">
        <v>0.4</v>
      </c>
      <c r="CX11" s="9">
        <v>0.4</v>
      </c>
      <c r="CY11" s="9">
        <v>0.4</v>
      </c>
      <c r="CZ11" s="9">
        <v>0.4</v>
      </c>
      <c r="DA11" s="9">
        <v>0.4</v>
      </c>
      <c r="DB11" s="9">
        <v>0.4</v>
      </c>
      <c r="DC11" s="9">
        <v>0.4</v>
      </c>
      <c r="DD11" s="9">
        <v>0.4</v>
      </c>
      <c r="DE11" s="9">
        <v>0.4</v>
      </c>
      <c r="DF11" s="9">
        <v>0.4</v>
      </c>
      <c r="DG11" s="9">
        <v>0.4</v>
      </c>
      <c r="DH11" s="9">
        <v>0.4</v>
      </c>
      <c r="DI11" s="9">
        <v>0.4</v>
      </c>
      <c r="DJ11" s="9">
        <v>0.4</v>
      </c>
      <c r="DK11" s="9">
        <v>0.4</v>
      </c>
      <c r="DL11" s="9">
        <v>0.4</v>
      </c>
      <c r="DM11" s="9">
        <v>0.4</v>
      </c>
      <c r="DN11" s="9">
        <v>0.4</v>
      </c>
      <c r="DO11" s="9">
        <v>0.4</v>
      </c>
      <c r="DP11" s="9">
        <v>0.4</v>
      </c>
      <c r="DQ11" s="9">
        <v>0.4</v>
      </c>
      <c r="DR11" s="9">
        <v>0.4</v>
      </c>
      <c r="DS11" s="9">
        <v>0.4</v>
      </c>
      <c r="DT11" s="9">
        <v>0.4</v>
      </c>
      <c r="DU11" s="9">
        <v>0.4</v>
      </c>
      <c r="DV11" s="9">
        <v>0.4</v>
      </c>
      <c r="DW11" s="9">
        <v>0.4</v>
      </c>
      <c r="DX11" s="9">
        <v>0.4</v>
      </c>
      <c r="DY11" s="9">
        <v>0.4</v>
      </c>
      <c r="DZ11" s="9">
        <v>0.4</v>
      </c>
      <c r="EA11" s="10">
        <v>0.4</v>
      </c>
    </row>
    <row r="12" spans="2:131">
      <c r="B12" s="5" t="s">
        <v>130</v>
      </c>
      <c r="C12" s="9" t="str">
        <f>VLOOKUP(TAB_Qx[[#This Row],[위험률코드]], Remark!$A$3:$B$5,2,FALSE)</f>
        <v>일반상해입원비</v>
      </c>
      <c r="D12" s="9">
        <v>1</v>
      </c>
      <c r="E12" s="9">
        <v>2</v>
      </c>
      <c r="F12" s="9"/>
      <c r="G12" s="9"/>
      <c r="H12" s="9"/>
      <c r="I12" s="9"/>
      <c r="J12" s="36" t="str" cm="1">
        <f t="array" ref="J12" xml:space="preserve">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</f>
        <v>I</v>
      </c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10"/>
    </row>
    <row r="13" spans="2:131">
      <c r="B13" s="5" t="s">
        <v>130</v>
      </c>
      <c r="C13" s="6" t="str">
        <f>VLOOKUP(TAB_Qx[[#This Row],[위험률코드]], Remark!$A$3:$B$5,2,FALSE)</f>
        <v>일반상해입원비</v>
      </c>
      <c r="D13" s="6">
        <v>2</v>
      </c>
      <c r="E13" s="6">
        <v>2</v>
      </c>
      <c r="F13" s="6"/>
      <c r="G13" s="6"/>
      <c r="H13" s="6"/>
      <c r="I13" s="6"/>
      <c r="J13" s="34" t="str" cm="1">
        <f t="array" ref="J13" xml:space="preserve">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</f>
        <v>I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7"/>
    </row>
    <row r="14" spans="2:131">
      <c r="B14" s="5" t="s">
        <v>130</v>
      </c>
      <c r="C14" s="9" t="str">
        <f>VLOOKUP(TAB_Qx[[#This Row],[위험률코드]], Remark!$A$3:$B$5,2,FALSE)</f>
        <v>일반상해입원비</v>
      </c>
      <c r="D14" s="9">
        <v>1</v>
      </c>
      <c r="E14" s="9">
        <v>3</v>
      </c>
      <c r="F14" s="9"/>
      <c r="G14" s="9"/>
      <c r="H14" s="9"/>
      <c r="I14" s="9"/>
      <c r="J14" s="36" t="str" cm="1">
        <f t="array" ref="J14" xml:space="preserve">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</f>
        <v>I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10"/>
    </row>
    <row r="15" spans="2:131">
      <c r="B15" s="5" t="s">
        <v>130</v>
      </c>
      <c r="C15" s="9" t="str">
        <f>VLOOKUP(TAB_Qx[[#This Row],[위험률코드]], Remark!$A$3:$B$5,2,FALSE)</f>
        <v>일반상해입원비</v>
      </c>
      <c r="D15" s="9">
        <v>2</v>
      </c>
      <c r="E15" s="9">
        <v>3</v>
      </c>
      <c r="F15" s="9"/>
      <c r="G15" s="9"/>
      <c r="H15" s="9"/>
      <c r="I15" s="9"/>
      <c r="J15" s="36" t="str" cm="1">
        <f t="array" ref="J15" xml:space="preserve"> _xlfn.SWITCH(IF(VALUE(TAB_Qx[[#This Row],[상해급수]])&lt;&gt;0, 1) + IF(VALUE(TAB_Qx[[#This Row],[운전자급수]])&lt;&gt;0, 2) + IF(VALUE(TAB_Qx[[#This Row],[최초가입연령]])&lt;&gt;0, 3)  +  IF(VALUE(TAB_Qx[[#This Row],[변호사급수]])&lt;&gt;0, 4) +  IF(VALUE(TAB_Qx[[#This Row],[물건급수]])&lt;&gt;0, 5), 0, "", 1, "I", 2, "D", 3, "F", 4, "L", 5, "G", "ERR")</f>
        <v>I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1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0857-44E4-4B0D-8D8A-A4BFE1D9858C}">
  <sheetPr codeName="Sheet2"/>
  <dimension ref="B1:W12"/>
  <sheetViews>
    <sheetView showGridLines="0" tabSelected="1" workbookViewId="0">
      <pane xSplit="12" ySplit="6" topLeftCell="M7" activePane="bottomRight" state="frozen"/>
      <selection pane="topRight" activeCell="L1" sqref="L1"/>
      <selection pane="bottomLeft" activeCell="A7" sqref="A7"/>
      <selection pane="bottomRight" activeCell="P2" sqref="P2"/>
    </sheetView>
  </sheetViews>
  <sheetFormatPr defaultRowHeight="17.399999999999999"/>
  <cols>
    <col min="1" max="1" width="1.796875" customWidth="1"/>
    <col min="2" max="2" width="9.796875" customWidth="1"/>
    <col min="3" max="3" width="10.796875" hidden="1" customWidth="1"/>
    <col min="4" max="5" width="7.19921875" hidden="1" customWidth="1"/>
    <col min="6" max="10" width="9.3984375" hidden="1" customWidth="1"/>
    <col min="11" max="11" width="16" bestFit="1" customWidth="1"/>
    <col min="12" max="12" width="12.59765625" bestFit="1" customWidth="1"/>
    <col min="13" max="13" width="15.19921875" customWidth="1"/>
    <col min="14" max="14" width="16.3984375" bestFit="1" customWidth="1"/>
    <col min="15" max="15" width="11.59765625" customWidth="1"/>
    <col min="16" max="17" width="15.19921875" customWidth="1"/>
    <col min="19" max="19" width="11.19921875" bestFit="1" customWidth="1"/>
    <col min="20" max="20" width="12.8984375" bestFit="1" customWidth="1"/>
    <col min="21" max="22" width="15.19921875" customWidth="1"/>
    <col min="23" max="23" width="13.3984375" customWidth="1"/>
  </cols>
  <sheetData>
    <row r="1" spans="2:23" s="2" customFormat="1">
      <c r="B1" s="2">
        <v>1</v>
      </c>
      <c r="C1" s="2">
        <f>B1+1</f>
        <v>2</v>
      </c>
      <c r="D1" s="2">
        <f t="shared" ref="D1:L1" si="0">C1+1</f>
        <v>3</v>
      </c>
      <c r="E1" s="2">
        <f t="shared" si="0"/>
        <v>4</v>
      </c>
      <c r="F1" s="2">
        <f>E1+1</f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ref="J1" si="1">I1+1</f>
        <v>9</v>
      </c>
      <c r="K1" s="2">
        <f t="shared" ref="K1" si="2">J1+1</f>
        <v>10</v>
      </c>
      <c r="L1" s="2">
        <f t="shared" si="0"/>
        <v>11</v>
      </c>
      <c r="M1" s="2">
        <f t="shared" ref="M1:N1" si="3">L1+1</f>
        <v>12</v>
      </c>
      <c r="N1" s="2">
        <f t="shared" si="3"/>
        <v>13</v>
      </c>
      <c r="O1" s="2">
        <f t="shared" ref="O1" si="4">N1+1</f>
        <v>14</v>
      </c>
      <c r="P1" s="2">
        <f t="shared" ref="P1" si="5">O1+1</f>
        <v>15</v>
      </c>
      <c r="Q1" s="2">
        <f t="shared" ref="Q1" si="6">P1+1</f>
        <v>16</v>
      </c>
      <c r="R1" s="2">
        <f t="shared" ref="R1" si="7">Q1+1</f>
        <v>17</v>
      </c>
      <c r="S1" s="2">
        <f t="shared" ref="S1" si="8">R1+1</f>
        <v>18</v>
      </c>
      <c r="T1" s="2">
        <f t="shared" ref="T1" si="9">S1+1</f>
        <v>19</v>
      </c>
      <c r="U1" s="2">
        <f t="shared" ref="U1" si="10">T1+1</f>
        <v>20</v>
      </c>
      <c r="V1" s="2">
        <f t="shared" ref="V1" si="11">U1+1</f>
        <v>21</v>
      </c>
      <c r="W1" s="2">
        <f t="shared" ref="W1" si="12">V1+1</f>
        <v>22</v>
      </c>
    </row>
    <row r="3" spans="2:23">
      <c r="B3" s="4" t="s">
        <v>146</v>
      </c>
    </row>
    <row r="4" spans="2:23">
      <c r="B4" s="4"/>
    </row>
    <row r="5" spans="2:23" s="2" customFormat="1">
      <c r="K5" s="2" t="s">
        <v>155</v>
      </c>
      <c r="L5" s="2" t="s">
        <v>158</v>
      </c>
      <c r="M5" s="2" t="s">
        <v>147</v>
      </c>
      <c r="O5" s="2" t="s">
        <v>148</v>
      </c>
      <c r="P5" s="2" t="s">
        <v>149</v>
      </c>
      <c r="R5" s="2" t="s">
        <v>150</v>
      </c>
      <c r="S5" s="2" t="s">
        <v>151</v>
      </c>
      <c r="T5" s="2" t="s">
        <v>152</v>
      </c>
      <c r="U5" s="2" t="s">
        <v>153</v>
      </c>
      <c r="W5" s="2" t="s">
        <v>154</v>
      </c>
    </row>
    <row r="6" spans="2:23">
      <c r="B6" s="11" t="s">
        <v>134</v>
      </c>
      <c r="C6" s="12" t="s">
        <v>127</v>
      </c>
      <c r="D6" s="12" t="s">
        <v>124</v>
      </c>
      <c r="E6" s="12" t="s">
        <v>125</v>
      </c>
      <c r="F6" s="12" t="s">
        <v>222</v>
      </c>
      <c r="G6" s="12" t="s">
        <v>135</v>
      </c>
      <c r="H6" s="12" t="s">
        <v>136</v>
      </c>
      <c r="I6" s="12" t="s">
        <v>137</v>
      </c>
      <c r="J6" s="12" t="s">
        <v>226</v>
      </c>
      <c r="K6" s="13" t="s">
        <v>126</v>
      </c>
      <c r="L6" s="16" t="s">
        <v>157</v>
      </c>
      <c r="M6" s="14" t="s">
        <v>138</v>
      </c>
      <c r="N6" s="14" t="s">
        <v>159</v>
      </c>
      <c r="O6" s="14" t="s">
        <v>139</v>
      </c>
      <c r="P6" s="15" t="s">
        <v>140</v>
      </c>
      <c r="Q6" s="15" t="s">
        <v>160</v>
      </c>
      <c r="R6" s="15" t="s">
        <v>141</v>
      </c>
      <c r="S6" s="15" t="s">
        <v>142</v>
      </c>
      <c r="T6" s="15" t="s">
        <v>143</v>
      </c>
      <c r="U6" s="16" t="s">
        <v>144</v>
      </c>
      <c r="V6" s="16" t="s">
        <v>161</v>
      </c>
      <c r="W6" s="17" t="s">
        <v>145</v>
      </c>
    </row>
    <row r="7" spans="2:23">
      <c r="B7" s="5" t="s">
        <v>156</v>
      </c>
      <c r="C7" s="6"/>
      <c r="D7" s="6"/>
      <c r="E7" s="6"/>
      <c r="F7" s="6"/>
      <c r="G7" s="6"/>
      <c r="H7" s="6"/>
      <c r="I7" s="6"/>
      <c r="J7" s="6"/>
      <c r="K7" s="6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Karma001000000</v>
      </c>
      <c r="L7" s="6">
        <v>0</v>
      </c>
      <c r="M7" s="6" t="s">
        <v>128</v>
      </c>
      <c r="N7" s="6"/>
      <c r="O7" s="6"/>
      <c r="P7" s="6"/>
      <c r="Q7" s="6"/>
      <c r="R7" s="6"/>
      <c r="S7" s="6"/>
      <c r="T7" s="6"/>
      <c r="U7" s="6"/>
      <c r="V7" s="6"/>
      <c r="W7" s="7"/>
    </row>
    <row r="8" spans="2:23">
      <c r="B8" s="5" t="s">
        <v>156</v>
      </c>
      <c r="C8" s="6"/>
      <c r="D8" s="6"/>
      <c r="E8" s="6"/>
      <c r="F8" s="6"/>
      <c r="G8" s="6"/>
      <c r="H8" s="6"/>
      <c r="I8" s="6"/>
      <c r="J8" s="6"/>
      <c r="K8" s="6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Karma001000000</v>
      </c>
      <c r="L8" s="6">
        <v>1</v>
      </c>
      <c r="M8" s="6" t="s">
        <v>128</v>
      </c>
      <c r="N8" s="6"/>
      <c r="O8" s="6"/>
      <c r="P8" s="6" t="s">
        <v>128</v>
      </c>
      <c r="Q8" s="6"/>
      <c r="R8" s="6">
        <v>1</v>
      </c>
      <c r="S8" s="6"/>
      <c r="T8" s="6"/>
      <c r="U8" s="6"/>
      <c r="V8" s="6"/>
      <c r="W8" s="7"/>
    </row>
    <row r="9" spans="2:23">
      <c r="B9" s="5" t="s">
        <v>156</v>
      </c>
      <c r="C9" s="6"/>
      <c r="D9" s="6"/>
      <c r="E9" s="6"/>
      <c r="F9" s="6"/>
      <c r="G9" s="6"/>
      <c r="H9" s="6"/>
      <c r="I9" s="6"/>
      <c r="J9" s="6"/>
      <c r="K9" s="6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Karma001000000</v>
      </c>
      <c r="L9" s="6">
        <v>99</v>
      </c>
      <c r="M9" s="6"/>
      <c r="N9" s="6"/>
      <c r="O9" s="6"/>
      <c r="P9" s="6"/>
      <c r="Q9" s="6"/>
      <c r="R9" s="6"/>
      <c r="S9" s="6"/>
      <c r="T9" s="6"/>
      <c r="U9" s="6" t="s">
        <v>128</v>
      </c>
      <c r="V9" s="6"/>
      <c r="W9" s="7"/>
    </row>
    <row r="10" spans="2:23">
      <c r="B10" s="8" t="s">
        <v>221</v>
      </c>
      <c r="C10" s="9"/>
      <c r="D10" s="9"/>
      <c r="E10" s="9"/>
      <c r="F10" s="9"/>
      <c r="G10" s="9"/>
      <c r="H10" s="9"/>
      <c r="I10" s="9"/>
      <c r="J10" s="9"/>
      <c r="K10" s="33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Karma002000000</v>
      </c>
      <c r="L10" s="9">
        <v>0</v>
      </c>
      <c r="M10" s="9" t="s">
        <v>130</v>
      </c>
      <c r="N10" s="9"/>
      <c r="O10" s="9"/>
      <c r="P10" s="9"/>
      <c r="Q10" s="9"/>
      <c r="R10" s="9"/>
      <c r="S10" s="9"/>
      <c r="T10" s="9"/>
      <c r="U10" s="9"/>
      <c r="V10" s="9"/>
      <c r="W10" s="10"/>
    </row>
    <row r="11" spans="2:23">
      <c r="B11" s="8" t="s">
        <v>221</v>
      </c>
      <c r="C11" s="9"/>
      <c r="D11" s="9"/>
      <c r="E11" s="9"/>
      <c r="F11" s="9"/>
      <c r="G11" s="9"/>
      <c r="H11" s="9"/>
      <c r="I11" s="9"/>
      <c r="J11" s="9"/>
      <c r="K11" s="33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Karma002000000</v>
      </c>
      <c r="L11" s="9">
        <v>1</v>
      </c>
      <c r="M11" s="9" t="s">
        <v>130</v>
      </c>
      <c r="N11" s="9"/>
      <c r="O11" s="9">
        <v>3</v>
      </c>
      <c r="P11" s="9" t="s">
        <v>130</v>
      </c>
      <c r="Q11" s="9"/>
      <c r="R11" s="9">
        <v>1</v>
      </c>
      <c r="S11" s="9"/>
      <c r="T11" s="9"/>
      <c r="U11" s="9"/>
      <c r="V11" s="9"/>
      <c r="W11" s="10"/>
    </row>
    <row r="12" spans="2:23">
      <c r="B12" s="8" t="s">
        <v>221</v>
      </c>
      <c r="C12" s="9"/>
      <c r="D12" s="9"/>
      <c r="E12" s="9"/>
      <c r="F12" s="9"/>
      <c r="G12" s="9"/>
      <c r="H12" s="9"/>
      <c r="I12" s="9"/>
      <c r="J12" s="9"/>
      <c r="K12" s="33" t="str">
        <f>TAB_Code[[#This Row],[담보코드]]&amp;VALUE(TAB_Code[[#This Row],[형]])&amp;VALUE(TAB_Code[[#This Row],[종]])&amp;VALUE(TAB_Code[[#This Row],[신규/갱신]])&amp;VALUE(TAB_Code[[#This Row],[sub1]])&amp;VALUE(TAB_Code[[#This Row],[sub2]])&amp;VALUE(TAB_Code[[#This Row],[sub3]])</f>
        <v>Karma002000000</v>
      </c>
      <c r="L12" s="9">
        <v>99</v>
      </c>
      <c r="M12" s="9"/>
      <c r="N12" s="9"/>
      <c r="O12" s="9"/>
      <c r="P12" s="9"/>
      <c r="Q12" s="9"/>
      <c r="R12" s="9"/>
      <c r="S12" s="9"/>
      <c r="T12" s="9"/>
      <c r="U12" s="9"/>
      <c r="V12" s="9"/>
      <c r="W12" s="10"/>
    </row>
  </sheetData>
  <phoneticPr fontId="1" type="noConversion"/>
  <pageMargins left="0.7" right="0.7" top="0.75" bottom="0.75" header="0.3" footer="0.3"/>
  <pageSetup paperSize="9" orientation="portrait" horizontalDpi="4294967292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84463-416D-4F4A-954A-6E08DD3EC669}">
  <sheetPr codeName="Sheet3"/>
  <dimension ref="B1:AK15"/>
  <sheetViews>
    <sheetView workbookViewId="0">
      <selection activeCell="J7" sqref="J7"/>
    </sheetView>
  </sheetViews>
  <sheetFormatPr defaultRowHeight="17.399999999999999"/>
  <cols>
    <col min="1" max="1" width="1.796875" customWidth="1"/>
    <col min="2" max="2" width="10.3984375" bestFit="1" customWidth="1"/>
    <col min="3" max="10" width="10.3984375" customWidth="1"/>
    <col min="11" max="11" width="15.19921875" customWidth="1"/>
    <col min="12" max="13" width="14.3984375" customWidth="1"/>
    <col min="14" max="14" width="11.5" customWidth="1"/>
    <col min="15" max="15" width="11.296875" customWidth="1"/>
    <col min="17" max="17" width="11.5" customWidth="1"/>
    <col min="18" max="18" width="11.296875" customWidth="1"/>
    <col min="20" max="20" width="11.5" customWidth="1"/>
    <col min="21" max="21" width="11.296875" customWidth="1"/>
    <col min="23" max="23" width="11.5" customWidth="1"/>
    <col min="24" max="24" width="11.296875" customWidth="1"/>
    <col min="26" max="26" width="11.5" customWidth="1"/>
    <col min="27" max="27" width="11.296875" customWidth="1"/>
    <col min="29" max="29" width="11.5" customWidth="1"/>
    <col min="30" max="30" width="11.296875" customWidth="1"/>
    <col min="32" max="32" width="11.5" customWidth="1"/>
    <col min="33" max="33" width="11.296875" customWidth="1"/>
    <col min="35" max="35" width="11.5" customWidth="1"/>
    <col min="36" max="36" width="11.296875" customWidth="1"/>
  </cols>
  <sheetData>
    <row r="1" spans="2:37" s="2" customFormat="1">
      <c r="B1" s="2">
        <v>1</v>
      </c>
      <c r="C1" s="2">
        <f>B1+1</f>
        <v>2</v>
      </c>
      <c r="D1" s="2">
        <f t="shared" ref="D1:AK1" si="0">C1+1</f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</row>
    <row r="2" spans="2:37" s="2" customFormat="1"/>
    <row r="3" spans="2:37" s="2" customFormat="1">
      <c r="B3" s="26" t="s">
        <v>207</v>
      </c>
    </row>
    <row r="4" spans="2:37" s="2" customFormat="1"/>
    <row r="5" spans="2:37" ht="34.799999999999997">
      <c r="M5" s="21" t="s">
        <v>189</v>
      </c>
    </row>
    <row r="6" spans="2:37">
      <c r="B6" s="18" t="s">
        <v>134</v>
      </c>
      <c r="C6" s="19" t="s">
        <v>192</v>
      </c>
      <c r="D6" s="19" t="s">
        <v>193</v>
      </c>
      <c r="E6" s="19" t="s">
        <v>194</v>
      </c>
      <c r="F6" s="19" t="s">
        <v>222</v>
      </c>
      <c r="G6" s="19" t="s">
        <v>135</v>
      </c>
      <c r="H6" s="19" t="s">
        <v>136</v>
      </c>
      <c r="I6" s="19" t="s">
        <v>196</v>
      </c>
      <c r="J6" s="19" t="s">
        <v>126</v>
      </c>
      <c r="K6" s="19" t="s">
        <v>162</v>
      </c>
      <c r="L6" s="19" t="s">
        <v>167</v>
      </c>
      <c r="M6" s="19" t="s">
        <v>165</v>
      </c>
      <c r="N6" s="19" t="s">
        <v>166</v>
      </c>
      <c r="O6" s="19" t="s">
        <v>168</v>
      </c>
      <c r="P6" s="19" t="s">
        <v>163</v>
      </c>
      <c r="Q6" s="19" t="s">
        <v>170</v>
      </c>
      <c r="R6" s="19" t="s">
        <v>169</v>
      </c>
      <c r="S6" s="19" t="s">
        <v>164</v>
      </c>
      <c r="T6" s="19" t="s">
        <v>171</v>
      </c>
      <c r="U6" s="19" t="s">
        <v>172</v>
      </c>
      <c r="V6" s="19" t="s">
        <v>173</v>
      </c>
      <c r="W6" s="19" t="s">
        <v>174</v>
      </c>
      <c r="X6" s="19" t="s">
        <v>175</v>
      </c>
      <c r="Y6" s="19" t="s">
        <v>176</v>
      </c>
      <c r="Z6" s="19" t="s">
        <v>177</v>
      </c>
      <c r="AA6" s="19" t="s">
        <v>180</v>
      </c>
      <c r="AB6" s="19" t="s">
        <v>181</v>
      </c>
      <c r="AC6" s="19" t="s">
        <v>182</v>
      </c>
      <c r="AD6" s="19" t="s">
        <v>178</v>
      </c>
      <c r="AE6" s="19" t="s">
        <v>179</v>
      </c>
      <c r="AF6" s="19" t="s">
        <v>183</v>
      </c>
      <c r="AG6" s="19" t="s">
        <v>184</v>
      </c>
      <c r="AH6" s="19" t="s">
        <v>185</v>
      </c>
      <c r="AI6" s="19" t="s">
        <v>186</v>
      </c>
      <c r="AJ6" s="19" t="s">
        <v>187</v>
      </c>
      <c r="AK6" s="20" t="s">
        <v>188</v>
      </c>
    </row>
    <row r="7" spans="2:37">
      <c r="B7" s="5" t="s">
        <v>220</v>
      </c>
      <c r="C7" s="6"/>
      <c r="D7" s="6"/>
      <c r="E7" s="6"/>
      <c r="F7" s="6"/>
      <c r="G7" s="6"/>
      <c r="H7" s="6"/>
      <c r="I7" s="6"/>
      <c r="J7" s="6"/>
      <c r="K7" s="6"/>
      <c r="L7" s="6">
        <f>COUNTA(TAB_Comb[[#This Row],[QxCode(1)]],TAB_Comb[[#This Row],[QxCode(2)]],TAB_Comb[[#This Row],[QxCode(3)]],TAB_Comb[[#This Row],[QxCode(4)]],TAB_Comb[[#This Row],[QxCode(5)]],TAB_Comb[[#This Row],[QxCode(6)]],TAB_Comb[[#This Row],[QxCode(7)]],TAB_Comb[[#This Row],[QxCode(8)]])</f>
        <v>0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7"/>
    </row>
    <row r="8" spans="2:37">
      <c r="B8" s="5"/>
      <c r="C8" s="6"/>
      <c r="D8" s="6"/>
      <c r="E8" s="6"/>
      <c r="F8" s="6"/>
      <c r="G8" s="6"/>
      <c r="H8" s="6"/>
      <c r="I8" s="6"/>
      <c r="J8" s="6"/>
      <c r="K8" s="6"/>
      <c r="L8" s="6">
        <f>COUNTA(TAB_Comb[[#This Row],[QxCode(1)]],TAB_Comb[[#This Row],[QxCode(2)]],TAB_Comb[[#This Row],[QxCode(3)]],TAB_Comb[[#This Row],[QxCode(4)]],TAB_Comb[[#This Row],[QxCode(5)]],TAB_Comb[[#This Row],[QxCode(6)]],TAB_Comb[[#This Row],[QxCode(7)]],TAB_Comb[[#This Row],[QxCode(8)]])</f>
        <v>0</v>
      </c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7"/>
    </row>
    <row r="9" spans="2:37">
      <c r="B9" s="5"/>
      <c r="C9" s="6"/>
      <c r="D9" s="6"/>
      <c r="E9" s="6"/>
      <c r="F9" s="6"/>
      <c r="G9" s="6"/>
      <c r="H9" s="6"/>
      <c r="I9" s="6"/>
      <c r="J9" s="6"/>
      <c r="K9" s="6"/>
      <c r="L9" s="6">
        <f>COUNTA(TAB_Comb[[#This Row],[QxCode(1)]],TAB_Comb[[#This Row],[QxCode(2)]],TAB_Comb[[#This Row],[QxCode(3)]],TAB_Comb[[#This Row],[QxCode(4)]],TAB_Comb[[#This Row],[QxCode(5)]],TAB_Comb[[#This Row],[QxCode(6)]],TAB_Comb[[#This Row],[QxCode(7)]],TAB_Comb[[#This Row],[QxCode(8)]])</f>
        <v>0</v>
      </c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7"/>
    </row>
    <row r="10" spans="2:37">
      <c r="B10" s="5"/>
      <c r="C10" s="6"/>
      <c r="D10" s="6"/>
      <c r="E10" s="6"/>
      <c r="F10" s="6"/>
      <c r="G10" s="6"/>
      <c r="H10" s="6"/>
      <c r="I10" s="6"/>
      <c r="J10" s="6"/>
      <c r="K10" s="6"/>
      <c r="L10" s="6">
        <f>COUNTA(TAB_Comb[[#This Row],[QxCode(1)]],TAB_Comb[[#This Row],[QxCode(2)]],TAB_Comb[[#This Row],[QxCode(3)]],TAB_Comb[[#This Row],[QxCode(4)]],TAB_Comb[[#This Row],[QxCode(5)]],TAB_Comb[[#This Row],[QxCode(6)]],TAB_Comb[[#This Row],[QxCode(7)]],TAB_Comb[[#This Row],[QxCode(8)]])</f>
        <v>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7"/>
    </row>
    <row r="11" spans="2:37">
      <c r="B11" s="5"/>
      <c r="C11" s="6"/>
      <c r="D11" s="6"/>
      <c r="E11" s="6"/>
      <c r="F11" s="6"/>
      <c r="G11" s="6"/>
      <c r="H11" s="6"/>
      <c r="I11" s="6"/>
      <c r="J11" s="6"/>
      <c r="K11" s="6"/>
      <c r="L11" s="6">
        <f>COUNTA(TAB_Comb[[#This Row],[QxCode(1)]],TAB_Comb[[#This Row],[QxCode(2)]],TAB_Comb[[#This Row],[QxCode(3)]],TAB_Comb[[#This Row],[QxCode(4)]],TAB_Comb[[#This Row],[QxCode(5)]],TAB_Comb[[#This Row],[QxCode(6)]],TAB_Comb[[#This Row],[QxCode(7)]],TAB_Comb[[#This Row],[QxCode(8)]])</f>
        <v>0</v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7"/>
    </row>
    <row r="12" spans="2:37">
      <c r="B12" s="5"/>
      <c r="C12" s="6"/>
      <c r="D12" s="6"/>
      <c r="E12" s="6"/>
      <c r="F12" s="6"/>
      <c r="G12" s="6"/>
      <c r="H12" s="6"/>
      <c r="I12" s="6"/>
      <c r="J12" s="6"/>
      <c r="K12" s="6"/>
      <c r="L12" s="6">
        <f>COUNTA(TAB_Comb[[#This Row],[QxCode(1)]],TAB_Comb[[#This Row],[QxCode(2)]],TAB_Comb[[#This Row],[QxCode(3)]],TAB_Comb[[#This Row],[QxCode(4)]],TAB_Comb[[#This Row],[QxCode(5)]],TAB_Comb[[#This Row],[QxCode(6)]],TAB_Comb[[#This Row],[QxCode(7)]],TAB_Comb[[#This Row],[QxCode(8)]])</f>
        <v>0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7"/>
    </row>
    <row r="13" spans="2:37">
      <c r="B13" s="5"/>
      <c r="C13" s="6"/>
      <c r="D13" s="6"/>
      <c r="E13" s="6"/>
      <c r="F13" s="6"/>
      <c r="G13" s="6"/>
      <c r="H13" s="6"/>
      <c r="I13" s="6"/>
      <c r="J13" s="6"/>
      <c r="K13" s="6"/>
      <c r="L13" s="6">
        <f>COUNTA(TAB_Comb[[#This Row],[QxCode(1)]],TAB_Comb[[#This Row],[QxCode(2)]],TAB_Comb[[#This Row],[QxCode(3)]],TAB_Comb[[#This Row],[QxCode(4)]],TAB_Comb[[#This Row],[QxCode(5)]],TAB_Comb[[#This Row],[QxCode(6)]],TAB_Comb[[#This Row],[QxCode(7)]],TAB_Comb[[#This Row],[QxCode(8)]])</f>
        <v>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7"/>
    </row>
    <row r="14" spans="2:37">
      <c r="B14" s="5"/>
      <c r="C14" s="6"/>
      <c r="D14" s="6"/>
      <c r="E14" s="6"/>
      <c r="F14" s="6"/>
      <c r="G14" s="6"/>
      <c r="H14" s="6"/>
      <c r="I14" s="6"/>
      <c r="J14" s="6"/>
      <c r="K14" s="6"/>
      <c r="L14" s="6">
        <f>COUNTA(TAB_Comb[[#This Row],[QxCode(1)]],TAB_Comb[[#This Row],[QxCode(2)]],TAB_Comb[[#This Row],[QxCode(3)]],TAB_Comb[[#This Row],[QxCode(4)]],TAB_Comb[[#This Row],[QxCode(5)]],TAB_Comb[[#This Row],[QxCode(6)]],TAB_Comb[[#This Row],[QxCode(7)]],TAB_Comb[[#This Row],[QxCode(8)]])</f>
        <v>0</v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7"/>
    </row>
    <row r="15" spans="2:37">
      <c r="B15" s="8"/>
      <c r="C15" s="9"/>
      <c r="D15" s="9"/>
      <c r="E15" s="9"/>
      <c r="F15" s="9"/>
      <c r="G15" s="9"/>
      <c r="H15" s="9"/>
      <c r="I15" s="9"/>
      <c r="J15" s="9"/>
      <c r="K15" s="9"/>
      <c r="L15" s="9">
        <f>COUNTA(TAB_Comb[[#This Row],[QxCode(1)]],TAB_Comb[[#This Row],[QxCode(2)]],TAB_Comb[[#This Row],[QxCode(3)]],TAB_Comb[[#This Row],[QxCode(4)]],TAB_Comb[[#This Row],[QxCode(5)]],TAB_Comb[[#This Row],[QxCode(6)]],TAB_Comb[[#This Row],[QxCode(7)]],TAB_Comb[[#This Row],[QxCode(8)]])</f>
        <v>0</v>
      </c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10"/>
    </row>
  </sheetData>
  <phoneticPr fontId="1" type="noConversion"/>
  <pageMargins left="0.7" right="0.7" top="0.75" bottom="0.75" header="0.3" footer="0.3"/>
  <pageSetup paperSize="9" orientation="portrait" horizontalDpi="4294967292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8DE1D-5206-46E6-96F0-CD9E26B4CEAB}">
  <sheetPr codeName="Sheet4"/>
  <dimension ref="B1:S8"/>
  <sheetViews>
    <sheetView workbookViewId="0">
      <selection activeCell="F11" sqref="F11"/>
    </sheetView>
  </sheetViews>
  <sheetFormatPr defaultRowHeight="17.399999999999999"/>
  <cols>
    <col min="2" max="2" width="9.796875" customWidth="1"/>
    <col min="10" max="10" width="16" bestFit="1" customWidth="1"/>
    <col min="11" max="11" width="9.796875" customWidth="1"/>
  </cols>
  <sheetData>
    <row r="1" spans="2:19">
      <c r="B1" s="2">
        <v>1</v>
      </c>
      <c r="C1" s="2">
        <f>B1+1</f>
        <v>2</v>
      </c>
      <c r="D1" s="2">
        <f t="shared" ref="D1:S1" si="0">C1+1</f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</row>
    <row r="3" spans="2:19">
      <c r="B3" t="s">
        <v>206</v>
      </c>
    </row>
    <row r="5" spans="2:19">
      <c r="K5">
        <v>1</v>
      </c>
      <c r="L5">
        <v>2</v>
      </c>
      <c r="M5">
        <v>3</v>
      </c>
      <c r="N5">
        <v>4</v>
      </c>
      <c r="O5">
        <v>5</v>
      </c>
      <c r="P5">
        <v>6</v>
      </c>
      <c r="Q5">
        <v>7</v>
      </c>
      <c r="R5">
        <v>8</v>
      </c>
      <c r="S5">
        <v>9</v>
      </c>
    </row>
    <row r="6" spans="2:19">
      <c r="B6" s="22" t="s">
        <v>191</v>
      </c>
      <c r="C6" s="23" t="s">
        <v>192</v>
      </c>
      <c r="D6" s="23" t="s">
        <v>193</v>
      </c>
      <c r="E6" s="23" t="s">
        <v>194</v>
      </c>
      <c r="F6" s="23" t="s">
        <v>223</v>
      </c>
      <c r="G6" s="23" t="s">
        <v>224</v>
      </c>
      <c r="H6" s="23" t="s">
        <v>195</v>
      </c>
      <c r="I6" s="23" t="s">
        <v>196</v>
      </c>
      <c r="J6" s="23" t="s">
        <v>197</v>
      </c>
      <c r="K6" s="23" t="s">
        <v>190</v>
      </c>
      <c r="L6" s="24" t="s">
        <v>198</v>
      </c>
      <c r="M6" s="24" t="s">
        <v>199</v>
      </c>
      <c r="N6" s="24" t="s">
        <v>200</v>
      </c>
      <c r="O6" s="24" t="s">
        <v>201</v>
      </c>
      <c r="P6" s="24" t="s">
        <v>202</v>
      </c>
      <c r="Q6" s="24" t="s">
        <v>203</v>
      </c>
      <c r="R6" s="24" t="s">
        <v>204</v>
      </c>
      <c r="S6" s="25" t="s">
        <v>205</v>
      </c>
    </row>
    <row r="7" spans="2:19">
      <c r="B7" s="5" t="s">
        <v>220</v>
      </c>
      <c r="C7" s="6"/>
      <c r="D7" s="6"/>
      <c r="E7" s="6"/>
      <c r="F7" s="6"/>
      <c r="G7" s="6"/>
      <c r="H7" s="6"/>
      <c r="I7" s="6"/>
      <c r="J7" s="6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Karma001000000</v>
      </c>
      <c r="K7" s="6">
        <v>100000</v>
      </c>
      <c r="L7" s="6"/>
      <c r="M7" s="6"/>
      <c r="N7" s="6"/>
      <c r="O7" s="6"/>
      <c r="P7" s="6"/>
      <c r="Q7" s="6"/>
      <c r="R7" s="6"/>
      <c r="S7" s="7"/>
    </row>
    <row r="8" spans="2:19">
      <c r="B8" s="5" t="s">
        <v>225</v>
      </c>
      <c r="C8" s="6"/>
      <c r="D8" s="6"/>
      <c r="E8" s="6"/>
      <c r="F8" s="6"/>
      <c r="G8" s="6"/>
      <c r="H8" s="6"/>
      <c r="I8" s="6"/>
      <c r="J8" s="6" t="str">
        <f>TAB_Expense[[#This Row],[담보코드]]&amp;VALUE(TAB_Expense[[#This Row],[형]])&amp;VALUE(TAB_Expense[[#This Row],[종]])&amp;VALUE(TAB_Expense[[#This Row],[신규/갱신]])&amp;VALUE(TAB_Expense[[#This Row],[sub1]])&amp;VALUE(TAB_Expense[[#This Row],[sub2]])&amp;VALUE(TAB_Expense[[#This Row],[sub3]])</f>
        <v>Karma002000000</v>
      </c>
      <c r="K8" s="6">
        <v>100000</v>
      </c>
      <c r="L8" s="6"/>
      <c r="M8" s="6"/>
      <c r="N8" s="6"/>
      <c r="O8" s="6"/>
      <c r="P8" s="6"/>
      <c r="Q8" s="6"/>
      <c r="R8" s="6"/>
      <c r="S8" s="7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49467-57CC-409A-A620-89A697565432}">
  <sheetPr codeName="Sheet5"/>
  <dimension ref="A2:H5"/>
  <sheetViews>
    <sheetView workbookViewId="0">
      <selection activeCell="A4" sqref="A4"/>
    </sheetView>
  </sheetViews>
  <sheetFormatPr defaultRowHeight="17.399999999999999"/>
  <cols>
    <col min="1" max="1" width="10.3984375" bestFit="1" customWidth="1"/>
    <col min="2" max="2" width="14.3984375" bestFit="1" customWidth="1"/>
    <col min="3" max="3" width="6.796875" bestFit="1" customWidth="1"/>
    <col min="4" max="4" width="8.59765625" bestFit="1" customWidth="1"/>
    <col min="5" max="5" width="10.3984375" bestFit="1" customWidth="1"/>
    <col min="6" max="6" width="12.3984375" bestFit="1" customWidth="1"/>
    <col min="7" max="7" width="10.3984375" bestFit="1" customWidth="1"/>
    <col min="8" max="8" width="8.59765625" bestFit="1" customWidth="1"/>
  </cols>
  <sheetData>
    <row r="2" spans="1:8">
      <c r="C2" s="7" t="s">
        <v>213</v>
      </c>
      <c r="D2" s="35"/>
      <c r="E2" s="35"/>
      <c r="F2" s="35"/>
      <c r="G2" s="35"/>
      <c r="H2" s="5"/>
    </row>
    <row r="3" spans="1:8">
      <c r="A3" s="6" t="s">
        <v>0</v>
      </c>
      <c r="B3" s="6" t="s">
        <v>131</v>
      </c>
      <c r="C3" s="6" t="s">
        <v>122</v>
      </c>
      <c r="D3" s="34" t="s">
        <v>208</v>
      </c>
      <c r="E3" s="34" t="s">
        <v>209</v>
      </c>
      <c r="F3" s="34" t="s">
        <v>210</v>
      </c>
      <c r="G3" s="34" t="s">
        <v>211</v>
      </c>
      <c r="H3" s="34" t="s">
        <v>132</v>
      </c>
    </row>
    <row r="4" spans="1:8">
      <c r="A4" s="6" t="s">
        <v>129</v>
      </c>
      <c r="B4" s="6" t="s">
        <v>215</v>
      </c>
      <c r="C4" s="6" t="s">
        <v>214</v>
      </c>
      <c r="D4" s="6"/>
      <c r="E4" s="6"/>
      <c r="F4" s="6"/>
      <c r="G4" s="6"/>
      <c r="H4" s="6"/>
    </row>
    <row r="5" spans="1:8">
      <c r="A5" s="6" t="s">
        <v>130</v>
      </c>
      <c r="B5" s="6" t="s">
        <v>216</v>
      </c>
      <c r="C5" s="6" t="s">
        <v>214</v>
      </c>
      <c r="D5" s="6" t="s">
        <v>214</v>
      </c>
      <c r="E5" s="6"/>
      <c r="F5" s="6"/>
      <c r="G5" s="6"/>
      <c r="H5" s="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Qx</vt:lpstr>
      <vt:lpstr>Code</vt:lpstr>
      <vt:lpstr>Comb</vt:lpstr>
      <vt:lpstr>Expense</vt:lpstr>
      <vt:lpstr>Remark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</dc:creator>
  <cp:lastModifiedBy>N</cp:lastModifiedBy>
  <dcterms:created xsi:type="dcterms:W3CDTF">2022-02-15T11:14:16Z</dcterms:created>
  <dcterms:modified xsi:type="dcterms:W3CDTF">2022-02-18T16:32:15Z</dcterms:modified>
</cp:coreProperties>
</file>