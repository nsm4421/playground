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esktop\"/>
    </mc:Choice>
  </mc:AlternateContent>
  <xr:revisionPtr revIDLastSave="0" documentId="13_ncr:1_{7EEB251E-C0BD-43FF-ADD2-CB7E366C9700}" xr6:coauthVersionLast="47" xr6:coauthVersionMax="47" xr10:uidLastSave="{00000000-0000-0000-0000-000000000000}"/>
  <bookViews>
    <workbookView xWindow="36" yWindow="36" windowWidth="15912" windowHeight="12216" xr2:uid="{363CAF0C-4061-4A2C-8E58-70F0B420443A}"/>
  </bookViews>
  <sheets>
    <sheet name="Qx" sheetId="1" r:id="rId1"/>
    <sheet name="Code" sheetId="2" r:id="rId2"/>
    <sheet name="Comb" sheetId="3" r:id="rId3"/>
    <sheet name="Expense" sheetId="4" r:id="rId4"/>
    <sheet name="Srate" sheetId="7" r:id="rId5"/>
    <sheet name="Sample" sheetId="6" r:id="rId6"/>
    <sheet name="Remark" sheetId="5" r:id="rId7"/>
    <sheet name="샘플검증" sheetId="9" r:id="rId8"/>
  </sheets>
  <functionGroups builtInGroupCount="19"/>
  <definedNames>
    <definedName name="_xlnm._FilterDatabase" localSheetId="7" hidden="1">샘플검증!$A$4:$AO$4</definedName>
    <definedName name="CoverageKey">Sample!$C$12</definedName>
    <definedName name="i">Sample!$C$22</definedName>
    <definedName name="m">Sample!$C$21</definedName>
    <definedName name="n">Sample!$C$20</definedName>
    <definedName name="_xlnm.Print_Area" localSheetId="1">Code!$A$2:$X$41</definedName>
    <definedName name="_xlnm.Print_Area" localSheetId="2">Comb!$A$2:$AE$11</definedName>
    <definedName name="_xlnm.Print_Area" localSheetId="3">Expense!$A$2:$U$43</definedName>
    <definedName name="_xlnm.Print_Area" localSheetId="0">Qx!$A$2:$EB$32</definedName>
    <definedName name="_xlnm.Print_Area" localSheetId="6">Remark!$A$1:$M$45</definedName>
    <definedName name="_xlnm.Print_Area" localSheetId="5">Sample!$A$1:$BA$25</definedName>
    <definedName name="_xlnm.Print_Area" localSheetId="4">Srate!$A$2:$AC$13</definedName>
    <definedName name="sex">Sample!$C$13</definedName>
    <definedName name="TAB_INFO_COV">Remark!$J$3:$L$44</definedName>
    <definedName name="TAB_INFO_Qx">Remark!$A$4:$H$22</definedName>
    <definedName name="v">Sample!$C$23</definedName>
    <definedName name="x">Sample!$C$19</definedName>
    <definedName name="갱신구분">Sample!$C$8</definedName>
    <definedName name="구분자1">Sample!$C$9</definedName>
    <definedName name="구분자2">Sample!$C$10</definedName>
    <definedName name="구분자3">Sample!$C$11</definedName>
    <definedName name="담보코드">Sample!$C$5</definedName>
    <definedName name="물건급수">Sample!$C$18</definedName>
    <definedName name="변호사급수">Sample!$C$17</definedName>
    <definedName name="상해급수">Sample!$C$14</definedName>
    <definedName name="운전자급수">Sample!$C$15</definedName>
    <definedName name="종">Sample!$C$7</definedName>
    <definedName name="최초가입연령">Sample!$C$16</definedName>
    <definedName name="형">Sample!$C$6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7" i="1" l="1" a="1"/>
  <c r="J7" i="1" s="1"/>
  <c r="J8" i="1" a="1"/>
  <c r="J8" i="1" s="1"/>
  <c r="J9" i="1" a="1"/>
  <c r="J9" i="1" s="1"/>
  <c r="J10" i="1" a="1"/>
  <c r="J10" i="1" s="1"/>
  <c r="J11" i="1" a="1"/>
  <c r="J11" i="1" s="1"/>
  <c r="J12" i="1" a="1"/>
  <c r="J12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D1" i="3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D1" i="2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C1" i="3"/>
  <c r="C7" i="3"/>
  <c r="C8" i="3"/>
  <c r="AO1684" i="9"/>
  <c r="AN1684" i="9"/>
  <c r="AM1684" i="9"/>
  <c r="AL1684" i="9"/>
  <c r="AK1684" i="9"/>
  <c r="AO1683" i="9"/>
  <c r="AN1683" i="9"/>
  <c r="AM1683" i="9"/>
  <c r="AL1683" i="9"/>
  <c r="AK1683" i="9"/>
  <c r="AO1682" i="9"/>
  <c r="AN1682" i="9"/>
  <c r="AM1682" i="9"/>
  <c r="AL1682" i="9"/>
  <c r="AK1682" i="9"/>
  <c r="AO1681" i="9"/>
  <c r="AN1681" i="9"/>
  <c r="AM1681" i="9"/>
  <c r="AL1681" i="9"/>
  <c r="AK1681" i="9"/>
  <c r="AO1680" i="9"/>
  <c r="AN1680" i="9"/>
  <c r="AM1680" i="9"/>
  <c r="AL1680" i="9"/>
  <c r="AK1680" i="9"/>
  <c r="AO1679" i="9"/>
  <c r="AN1679" i="9"/>
  <c r="AM1679" i="9"/>
  <c r="AL1679" i="9"/>
  <c r="AK1679" i="9"/>
  <c r="AO1678" i="9"/>
  <c r="AN1678" i="9"/>
  <c r="AM1678" i="9"/>
  <c r="AL1678" i="9"/>
  <c r="AK1678" i="9"/>
  <c r="AO1677" i="9"/>
  <c r="AN1677" i="9"/>
  <c r="AM1677" i="9"/>
  <c r="AL1677" i="9"/>
  <c r="AK1677" i="9"/>
  <c r="AO1676" i="9"/>
  <c r="AN1676" i="9"/>
  <c r="AM1676" i="9"/>
  <c r="AL1676" i="9"/>
  <c r="AK1676" i="9"/>
  <c r="AO1675" i="9"/>
  <c r="AN1675" i="9"/>
  <c r="AM1675" i="9"/>
  <c r="AL1675" i="9"/>
  <c r="AK1675" i="9"/>
  <c r="AO1674" i="9"/>
  <c r="AN1674" i="9"/>
  <c r="AM1674" i="9"/>
  <c r="AL1674" i="9"/>
  <c r="AK1674" i="9"/>
  <c r="AO1673" i="9"/>
  <c r="AN1673" i="9"/>
  <c r="AM1673" i="9"/>
  <c r="AL1673" i="9"/>
  <c r="AK1673" i="9"/>
  <c r="AO1672" i="9"/>
  <c r="AN1672" i="9"/>
  <c r="AM1672" i="9"/>
  <c r="AL1672" i="9"/>
  <c r="AK1672" i="9"/>
  <c r="AO1671" i="9"/>
  <c r="AN1671" i="9"/>
  <c r="AM1671" i="9"/>
  <c r="AL1671" i="9"/>
  <c r="AK1671" i="9"/>
  <c r="AO1670" i="9"/>
  <c r="AN1670" i="9"/>
  <c r="AM1670" i="9"/>
  <c r="AL1670" i="9"/>
  <c r="AK1670" i="9"/>
  <c r="AO1669" i="9"/>
  <c r="AN1669" i="9"/>
  <c r="AM1669" i="9"/>
  <c r="AL1669" i="9"/>
  <c r="AK1669" i="9"/>
  <c r="AO1668" i="9"/>
  <c r="AN1668" i="9"/>
  <c r="AM1668" i="9"/>
  <c r="AL1668" i="9"/>
  <c r="AK1668" i="9"/>
  <c r="AO1667" i="9"/>
  <c r="AN1667" i="9"/>
  <c r="AM1667" i="9"/>
  <c r="AL1667" i="9"/>
  <c r="AK1667" i="9"/>
  <c r="AO1666" i="9"/>
  <c r="AN1666" i="9"/>
  <c r="AM1666" i="9"/>
  <c r="AL1666" i="9"/>
  <c r="AK1666" i="9"/>
  <c r="AO1665" i="9"/>
  <c r="AN1665" i="9"/>
  <c r="AM1665" i="9"/>
  <c r="AL1665" i="9"/>
  <c r="AK1665" i="9"/>
  <c r="AO1664" i="9"/>
  <c r="AN1664" i="9"/>
  <c r="AM1664" i="9"/>
  <c r="AL1664" i="9"/>
  <c r="AK1664" i="9"/>
  <c r="AO1663" i="9"/>
  <c r="AN1663" i="9"/>
  <c r="AM1663" i="9"/>
  <c r="AL1663" i="9"/>
  <c r="AK1663" i="9"/>
  <c r="AO1662" i="9"/>
  <c r="AN1662" i="9"/>
  <c r="AM1662" i="9"/>
  <c r="AL1662" i="9"/>
  <c r="AK1662" i="9"/>
  <c r="AO1661" i="9"/>
  <c r="AN1661" i="9"/>
  <c r="AM1661" i="9"/>
  <c r="AL1661" i="9"/>
  <c r="AK1661" i="9"/>
  <c r="AO1660" i="9"/>
  <c r="AN1660" i="9"/>
  <c r="AM1660" i="9"/>
  <c r="AL1660" i="9"/>
  <c r="AK1660" i="9"/>
  <c r="AO1659" i="9"/>
  <c r="AN1659" i="9"/>
  <c r="AM1659" i="9"/>
  <c r="AL1659" i="9"/>
  <c r="AK1659" i="9"/>
  <c r="AO1658" i="9"/>
  <c r="AN1658" i="9"/>
  <c r="AM1658" i="9"/>
  <c r="AL1658" i="9"/>
  <c r="AK1658" i="9"/>
  <c r="AO1657" i="9"/>
  <c r="AN1657" i="9"/>
  <c r="AM1657" i="9"/>
  <c r="AL1657" i="9"/>
  <c r="AK1657" i="9"/>
  <c r="AO1656" i="9"/>
  <c r="AN1656" i="9"/>
  <c r="AM1656" i="9"/>
  <c r="AL1656" i="9"/>
  <c r="AK1656" i="9"/>
  <c r="AO1655" i="9"/>
  <c r="AN1655" i="9"/>
  <c r="AM1655" i="9"/>
  <c r="AL1655" i="9"/>
  <c r="AK1655" i="9"/>
  <c r="AO1654" i="9"/>
  <c r="AN1654" i="9"/>
  <c r="AM1654" i="9"/>
  <c r="AL1654" i="9"/>
  <c r="AK1654" i="9"/>
  <c r="AO1653" i="9"/>
  <c r="AN1653" i="9"/>
  <c r="AM1653" i="9"/>
  <c r="AL1653" i="9"/>
  <c r="AK1653" i="9"/>
  <c r="AO1652" i="9"/>
  <c r="AN1652" i="9"/>
  <c r="AM1652" i="9"/>
  <c r="AL1652" i="9"/>
  <c r="AK1652" i="9"/>
  <c r="AO1651" i="9"/>
  <c r="AN1651" i="9"/>
  <c r="AM1651" i="9"/>
  <c r="AL1651" i="9"/>
  <c r="AK1651" i="9"/>
  <c r="AO1650" i="9"/>
  <c r="AN1650" i="9"/>
  <c r="AM1650" i="9"/>
  <c r="AL1650" i="9"/>
  <c r="AK1650" i="9"/>
  <c r="AO1649" i="9"/>
  <c r="AN1649" i="9"/>
  <c r="AM1649" i="9"/>
  <c r="AL1649" i="9"/>
  <c r="AK1649" i="9"/>
  <c r="AO1648" i="9"/>
  <c r="AN1648" i="9"/>
  <c r="AM1648" i="9"/>
  <c r="AL1648" i="9"/>
  <c r="AK1648" i="9"/>
  <c r="AO1647" i="9"/>
  <c r="AN1647" i="9"/>
  <c r="AM1647" i="9"/>
  <c r="AL1647" i="9"/>
  <c r="AK1647" i="9"/>
  <c r="AO1646" i="9"/>
  <c r="AN1646" i="9"/>
  <c r="AM1646" i="9"/>
  <c r="AL1646" i="9"/>
  <c r="AK1646" i="9"/>
  <c r="AO1645" i="9"/>
  <c r="AN1645" i="9"/>
  <c r="AM1645" i="9"/>
  <c r="AL1645" i="9"/>
  <c r="AK1645" i="9"/>
  <c r="AO1644" i="9"/>
  <c r="AN1644" i="9"/>
  <c r="AM1644" i="9"/>
  <c r="AL1644" i="9"/>
  <c r="AK1644" i="9"/>
  <c r="AO1643" i="9"/>
  <c r="AN1643" i="9"/>
  <c r="AM1643" i="9"/>
  <c r="AL1643" i="9"/>
  <c r="AK1643" i="9"/>
  <c r="AO1642" i="9"/>
  <c r="AN1642" i="9"/>
  <c r="AM1642" i="9"/>
  <c r="AL1642" i="9"/>
  <c r="AK1642" i="9"/>
  <c r="AO1641" i="9"/>
  <c r="AN1641" i="9"/>
  <c r="AM1641" i="9"/>
  <c r="AL1641" i="9"/>
  <c r="AK1641" i="9"/>
  <c r="AO1640" i="9"/>
  <c r="AN1640" i="9"/>
  <c r="AM1640" i="9"/>
  <c r="AL1640" i="9"/>
  <c r="AK1640" i="9"/>
  <c r="AO1639" i="9"/>
  <c r="AN1639" i="9"/>
  <c r="AM1639" i="9"/>
  <c r="AL1639" i="9"/>
  <c r="AK1639" i="9"/>
  <c r="AO1638" i="9"/>
  <c r="AN1638" i="9"/>
  <c r="AM1638" i="9"/>
  <c r="AL1638" i="9"/>
  <c r="AK1638" i="9"/>
  <c r="AO1637" i="9"/>
  <c r="AN1637" i="9"/>
  <c r="AM1637" i="9"/>
  <c r="AL1637" i="9"/>
  <c r="AK1637" i="9"/>
  <c r="AO1636" i="9"/>
  <c r="AN1636" i="9"/>
  <c r="AM1636" i="9"/>
  <c r="AL1636" i="9"/>
  <c r="AK1636" i="9"/>
  <c r="AO1635" i="9"/>
  <c r="AN1635" i="9"/>
  <c r="AM1635" i="9"/>
  <c r="AL1635" i="9"/>
  <c r="AK1635" i="9"/>
  <c r="AO1634" i="9"/>
  <c r="AN1634" i="9"/>
  <c r="AM1634" i="9"/>
  <c r="AL1634" i="9"/>
  <c r="AK1634" i="9"/>
  <c r="AO1633" i="9"/>
  <c r="AN1633" i="9"/>
  <c r="AM1633" i="9"/>
  <c r="AL1633" i="9"/>
  <c r="AK1633" i="9"/>
  <c r="AO1632" i="9"/>
  <c r="AN1632" i="9"/>
  <c r="AM1632" i="9"/>
  <c r="AL1632" i="9"/>
  <c r="AK1632" i="9"/>
  <c r="AO1631" i="9"/>
  <c r="AN1631" i="9"/>
  <c r="AM1631" i="9"/>
  <c r="AL1631" i="9"/>
  <c r="AK1631" i="9"/>
  <c r="AO1630" i="9"/>
  <c r="AN1630" i="9"/>
  <c r="AM1630" i="9"/>
  <c r="AL1630" i="9"/>
  <c r="AK1630" i="9"/>
  <c r="AO1629" i="9"/>
  <c r="AN1629" i="9"/>
  <c r="AM1629" i="9"/>
  <c r="AL1629" i="9"/>
  <c r="AK1629" i="9"/>
  <c r="AO1628" i="9"/>
  <c r="AN1628" i="9"/>
  <c r="AM1628" i="9"/>
  <c r="AL1628" i="9"/>
  <c r="AK1628" i="9"/>
  <c r="AO1627" i="9"/>
  <c r="AN1627" i="9"/>
  <c r="AM1627" i="9"/>
  <c r="AL1627" i="9"/>
  <c r="AK1627" i="9"/>
  <c r="AO1626" i="9"/>
  <c r="AN1626" i="9"/>
  <c r="AM1626" i="9"/>
  <c r="AL1626" i="9"/>
  <c r="AK1626" i="9"/>
  <c r="AO1625" i="9"/>
  <c r="AN1625" i="9"/>
  <c r="AM1625" i="9"/>
  <c r="AL1625" i="9"/>
  <c r="AK1625" i="9"/>
  <c r="AO1624" i="9"/>
  <c r="AN1624" i="9"/>
  <c r="AM1624" i="9"/>
  <c r="AL1624" i="9"/>
  <c r="AK1624" i="9"/>
  <c r="AO1623" i="9"/>
  <c r="AN1623" i="9"/>
  <c r="AM1623" i="9"/>
  <c r="AL1623" i="9"/>
  <c r="AK1623" i="9"/>
  <c r="AO1622" i="9"/>
  <c r="AN1622" i="9"/>
  <c r="AM1622" i="9"/>
  <c r="AL1622" i="9"/>
  <c r="AK1622" i="9"/>
  <c r="AO1621" i="9"/>
  <c r="AN1621" i="9"/>
  <c r="AM1621" i="9"/>
  <c r="AL1621" i="9"/>
  <c r="AK1621" i="9"/>
  <c r="AO1620" i="9"/>
  <c r="AN1620" i="9"/>
  <c r="AM1620" i="9"/>
  <c r="AL1620" i="9"/>
  <c r="AK1620" i="9"/>
  <c r="AO1619" i="9"/>
  <c r="AN1619" i="9"/>
  <c r="AM1619" i="9"/>
  <c r="AL1619" i="9"/>
  <c r="AK1619" i="9"/>
  <c r="AO1618" i="9"/>
  <c r="AN1618" i="9"/>
  <c r="AM1618" i="9"/>
  <c r="AL1618" i="9"/>
  <c r="AK1618" i="9"/>
  <c r="AO1617" i="9"/>
  <c r="AN1617" i="9"/>
  <c r="AM1617" i="9"/>
  <c r="AL1617" i="9"/>
  <c r="AK1617" i="9"/>
  <c r="AO1616" i="9"/>
  <c r="AN1616" i="9"/>
  <c r="AM1616" i="9"/>
  <c r="AL1616" i="9"/>
  <c r="AK1616" i="9"/>
  <c r="AO1615" i="9"/>
  <c r="AN1615" i="9"/>
  <c r="AM1615" i="9"/>
  <c r="AL1615" i="9"/>
  <c r="AK1615" i="9"/>
  <c r="AO1614" i="9"/>
  <c r="AN1614" i="9"/>
  <c r="AM1614" i="9"/>
  <c r="AL1614" i="9"/>
  <c r="AK1614" i="9"/>
  <c r="AO1613" i="9"/>
  <c r="AN1613" i="9"/>
  <c r="AM1613" i="9"/>
  <c r="AL1613" i="9"/>
  <c r="AK1613" i="9"/>
  <c r="AO1612" i="9"/>
  <c r="AN1612" i="9"/>
  <c r="AM1612" i="9"/>
  <c r="AL1612" i="9"/>
  <c r="AK1612" i="9"/>
  <c r="AO1611" i="9"/>
  <c r="AN1611" i="9"/>
  <c r="AM1611" i="9"/>
  <c r="AL1611" i="9"/>
  <c r="AK1611" i="9"/>
  <c r="AO1610" i="9"/>
  <c r="AN1610" i="9"/>
  <c r="AM1610" i="9"/>
  <c r="AL1610" i="9"/>
  <c r="AK1610" i="9"/>
  <c r="AO1609" i="9"/>
  <c r="AN1609" i="9"/>
  <c r="AM1609" i="9"/>
  <c r="AL1609" i="9"/>
  <c r="AK1609" i="9"/>
  <c r="AO1608" i="9"/>
  <c r="AN1608" i="9"/>
  <c r="AM1608" i="9"/>
  <c r="AL1608" i="9"/>
  <c r="AK1608" i="9"/>
  <c r="AO1607" i="9"/>
  <c r="AN1607" i="9"/>
  <c r="AM1607" i="9"/>
  <c r="AL1607" i="9"/>
  <c r="AK1607" i="9"/>
  <c r="AO1606" i="9"/>
  <c r="AN1606" i="9"/>
  <c r="AM1606" i="9"/>
  <c r="AL1606" i="9"/>
  <c r="AK1606" i="9"/>
  <c r="AO1605" i="9"/>
  <c r="AN1605" i="9"/>
  <c r="AM1605" i="9"/>
  <c r="AL1605" i="9"/>
  <c r="AK1605" i="9"/>
  <c r="AO1604" i="9"/>
  <c r="AN1604" i="9"/>
  <c r="AM1604" i="9"/>
  <c r="AL1604" i="9"/>
  <c r="AK1604" i="9"/>
  <c r="AO1603" i="9"/>
  <c r="AN1603" i="9"/>
  <c r="AM1603" i="9"/>
  <c r="AL1603" i="9"/>
  <c r="AK1603" i="9"/>
  <c r="AO1602" i="9"/>
  <c r="AN1602" i="9"/>
  <c r="AM1602" i="9"/>
  <c r="AL1602" i="9"/>
  <c r="AK1602" i="9"/>
  <c r="AO1601" i="9"/>
  <c r="AN1601" i="9"/>
  <c r="AM1601" i="9"/>
  <c r="AL1601" i="9"/>
  <c r="AK1601" i="9"/>
  <c r="AO1600" i="9"/>
  <c r="AN1600" i="9"/>
  <c r="AM1600" i="9"/>
  <c r="AL1600" i="9"/>
  <c r="AK1600" i="9"/>
  <c r="AO1599" i="9"/>
  <c r="AN1599" i="9"/>
  <c r="AM1599" i="9"/>
  <c r="AL1599" i="9"/>
  <c r="AK1599" i="9"/>
  <c r="AO1598" i="9"/>
  <c r="AN1598" i="9"/>
  <c r="AM1598" i="9"/>
  <c r="AL1598" i="9"/>
  <c r="AK1598" i="9"/>
  <c r="AO1597" i="9"/>
  <c r="AN1597" i="9"/>
  <c r="AM1597" i="9"/>
  <c r="AL1597" i="9"/>
  <c r="AK1597" i="9"/>
  <c r="AO1596" i="9"/>
  <c r="AN1596" i="9"/>
  <c r="AM1596" i="9"/>
  <c r="AL1596" i="9"/>
  <c r="AK1596" i="9"/>
  <c r="AO1595" i="9"/>
  <c r="AN1595" i="9"/>
  <c r="AM1595" i="9"/>
  <c r="AL1595" i="9"/>
  <c r="AK1595" i="9"/>
  <c r="AO1594" i="9"/>
  <c r="AN1594" i="9"/>
  <c r="AM1594" i="9"/>
  <c r="AL1594" i="9"/>
  <c r="AK1594" i="9"/>
  <c r="AO1593" i="9"/>
  <c r="AN1593" i="9"/>
  <c r="AM1593" i="9"/>
  <c r="AL1593" i="9"/>
  <c r="AK1593" i="9"/>
  <c r="AO1592" i="9"/>
  <c r="AN1592" i="9"/>
  <c r="AM1592" i="9"/>
  <c r="AL1592" i="9"/>
  <c r="AK1592" i="9"/>
  <c r="AO1591" i="9"/>
  <c r="AN1591" i="9"/>
  <c r="AM1591" i="9"/>
  <c r="AL1591" i="9"/>
  <c r="AK1591" i="9"/>
  <c r="AO1590" i="9"/>
  <c r="AN1590" i="9"/>
  <c r="AM1590" i="9"/>
  <c r="AL1590" i="9"/>
  <c r="AK1590" i="9"/>
  <c r="AO1589" i="9"/>
  <c r="AN1589" i="9"/>
  <c r="AM1589" i="9"/>
  <c r="AL1589" i="9"/>
  <c r="AK1589" i="9"/>
  <c r="AO1588" i="9"/>
  <c r="AN1588" i="9"/>
  <c r="AM1588" i="9"/>
  <c r="AL1588" i="9"/>
  <c r="AK1588" i="9"/>
  <c r="AO1587" i="9"/>
  <c r="AN1587" i="9"/>
  <c r="AM1587" i="9"/>
  <c r="AL1587" i="9"/>
  <c r="AK1587" i="9"/>
  <c r="AO1586" i="9"/>
  <c r="AN1586" i="9"/>
  <c r="AM1586" i="9"/>
  <c r="AL1586" i="9"/>
  <c r="AK1586" i="9"/>
  <c r="AO1585" i="9"/>
  <c r="AN1585" i="9"/>
  <c r="AM1585" i="9"/>
  <c r="AL1585" i="9"/>
  <c r="AK1585" i="9"/>
  <c r="AO1584" i="9"/>
  <c r="AN1584" i="9"/>
  <c r="AM1584" i="9"/>
  <c r="AL1584" i="9"/>
  <c r="AK1584" i="9"/>
  <c r="AO1583" i="9"/>
  <c r="AN1583" i="9"/>
  <c r="AM1583" i="9"/>
  <c r="AL1583" i="9"/>
  <c r="AK1583" i="9"/>
  <c r="AO1582" i="9"/>
  <c r="AN1582" i="9"/>
  <c r="AM1582" i="9"/>
  <c r="AL1582" i="9"/>
  <c r="AK1582" i="9"/>
  <c r="AO1581" i="9"/>
  <c r="AN1581" i="9"/>
  <c r="AM1581" i="9"/>
  <c r="AL1581" i="9"/>
  <c r="AK1581" i="9"/>
  <c r="AO1580" i="9"/>
  <c r="AN1580" i="9"/>
  <c r="AM1580" i="9"/>
  <c r="AL1580" i="9"/>
  <c r="AK1580" i="9"/>
  <c r="AO1579" i="9"/>
  <c r="AN1579" i="9"/>
  <c r="AM1579" i="9"/>
  <c r="AL1579" i="9"/>
  <c r="AK1579" i="9"/>
  <c r="AO1578" i="9"/>
  <c r="AN1578" i="9"/>
  <c r="AM1578" i="9"/>
  <c r="AL1578" i="9"/>
  <c r="AK1578" i="9"/>
  <c r="AO1577" i="9"/>
  <c r="AN1577" i="9"/>
  <c r="AM1577" i="9"/>
  <c r="AL1577" i="9"/>
  <c r="AK1577" i="9"/>
  <c r="AO1576" i="9"/>
  <c r="AN1576" i="9"/>
  <c r="AM1576" i="9"/>
  <c r="AL1576" i="9"/>
  <c r="AK1576" i="9"/>
  <c r="AO1575" i="9"/>
  <c r="AN1575" i="9"/>
  <c r="AM1575" i="9"/>
  <c r="AL1575" i="9"/>
  <c r="AK1575" i="9"/>
  <c r="AO1574" i="9"/>
  <c r="AN1574" i="9"/>
  <c r="AM1574" i="9"/>
  <c r="AL1574" i="9"/>
  <c r="AK1574" i="9"/>
  <c r="AO1573" i="9"/>
  <c r="AN1573" i="9"/>
  <c r="AM1573" i="9"/>
  <c r="AL1573" i="9"/>
  <c r="AK1573" i="9"/>
  <c r="AO1572" i="9"/>
  <c r="AN1572" i="9"/>
  <c r="AM1572" i="9"/>
  <c r="AL1572" i="9"/>
  <c r="AK1572" i="9"/>
  <c r="AO1571" i="9"/>
  <c r="AN1571" i="9"/>
  <c r="AM1571" i="9"/>
  <c r="AL1571" i="9"/>
  <c r="AK1571" i="9"/>
  <c r="AO1570" i="9"/>
  <c r="AN1570" i="9"/>
  <c r="AM1570" i="9"/>
  <c r="AL1570" i="9"/>
  <c r="AK1570" i="9"/>
  <c r="AO1569" i="9"/>
  <c r="AN1569" i="9"/>
  <c r="AM1569" i="9"/>
  <c r="AL1569" i="9"/>
  <c r="AK1569" i="9"/>
  <c r="AO1568" i="9"/>
  <c r="AN1568" i="9"/>
  <c r="AM1568" i="9"/>
  <c r="AL1568" i="9"/>
  <c r="AK1568" i="9"/>
  <c r="AO1567" i="9"/>
  <c r="AN1567" i="9"/>
  <c r="AM1567" i="9"/>
  <c r="AL1567" i="9"/>
  <c r="AK1567" i="9"/>
  <c r="AO1566" i="9"/>
  <c r="AN1566" i="9"/>
  <c r="AM1566" i="9"/>
  <c r="AL1566" i="9"/>
  <c r="AK1566" i="9"/>
  <c r="AO1565" i="9"/>
  <c r="AN1565" i="9"/>
  <c r="AM1565" i="9"/>
  <c r="AL1565" i="9"/>
  <c r="AK1565" i="9"/>
  <c r="AO1564" i="9"/>
  <c r="AN1564" i="9"/>
  <c r="AM1564" i="9"/>
  <c r="AL1564" i="9"/>
  <c r="AK1564" i="9"/>
  <c r="AO1563" i="9"/>
  <c r="AN1563" i="9"/>
  <c r="AM1563" i="9"/>
  <c r="AL1563" i="9"/>
  <c r="AK1563" i="9"/>
  <c r="AO1562" i="9"/>
  <c r="AN1562" i="9"/>
  <c r="AM1562" i="9"/>
  <c r="AL1562" i="9"/>
  <c r="AK1562" i="9"/>
  <c r="AO1561" i="9"/>
  <c r="AN1561" i="9"/>
  <c r="AM1561" i="9"/>
  <c r="AL1561" i="9"/>
  <c r="AK1561" i="9"/>
  <c r="AO1560" i="9"/>
  <c r="AN1560" i="9"/>
  <c r="AM1560" i="9"/>
  <c r="AL1560" i="9"/>
  <c r="AK1560" i="9"/>
  <c r="AO1559" i="9"/>
  <c r="AN1559" i="9"/>
  <c r="AM1559" i="9"/>
  <c r="AL1559" i="9"/>
  <c r="AK1559" i="9"/>
  <c r="AO1558" i="9"/>
  <c r="AN1558" i="9"/>
  <c r="AM1558" i="9"/>
  <c r="AL1558" i="9"/>
  <c r="AK1558" i="9"/>
  <c r="AO1557" i="9"/>
  <c r="AN1557" i="9"/>
  <c r="AM1557" i="9"/>
  <c r="AL1557" i="9"/>
  <c r="AK1557" i="9"/>
  <c r="AO1556" i="9"/>
  <c r="AN1556" i="9"/>
  <c r="AM1556" i="9"/>
  <c r="AL1556" i="9"/>
  <c r="AK1556" i="9"/>
  <c r="AO1555" i="9"/>
  <c r="AN1555" i="9"/>
  <c r="AM1555" i="9"/>
  <c r="AL1555" i="9"/>
  <c r="AK1555" i="9"/>
  <c r="AO1554" i="9"/>
  <c r="AN1554" i="9"/>
  <c r="AM1554" i="9"/>
  <c r="AL1554" i="9"/>
  <c r="AK1554" i="9"/>
  <c r="AO1553" i="9"/>
  <c r="AN1553" i="9"/>
  <c r="AM1553" i="9"/>
  <c r="AL1553" i="9"/>
  <c r="AK1553" i="9"/>
  <c r="AO1552" i="9"/>
  <c r="AN1552" i="9"/>
  <c r="AM1552" i="9"/>
  <c r="AL1552" i="9"/>
  <c r="AK1552" i="9"/>
  <c r="AO1551" i="9"/>
  <c r="AN1551" i="9"/>
  <c r="AM1551" i="9"/>
  <c r="AL1551" i="9"/>
  <c r="AK1551" i="9"/>
  <c r="AO1550" i="9"/>
  <c r="AN1550" i="9"/>
  <c r="AM1550" i="9"/>
  <c r="AL1550" i="9"/>
  <c r="AK1550" i="9"/>
  <c r="AO1549" i="9"/>
  <c r="AN1549" i="9"/>
  <c r="AM1549" i="9"/>
  <c r="AL1549" i="9"/>
  <c r="AK1549" i="9"/>
  <c r="AO1548" i="9"/>
  <c r="AN1548" i="9"/>
  <c r="AM1548" i="9"/>
  <c r="AL1548" i="9"/>
  <c r="AK1548" i="9"/>
  <c r="AO1547" i="9"/>
  <c r="AN1547" i="9"/>
  <c r="AM1547" i="9"/>
  <c r="AL1547" i="9"/>
  <c r="AK1547" i="9"/>
  <c r="AO1546" i="9"/>
  <c r="AN1546" i="9"/>
  <c r="AM1546" i="9"/>
  <c r="AL1546" i="9"/>
  <c r="AK1546" i="9"/>
  <c r="AO1545" i="9"/>
  <c r="AN1545" i="9"/>
  <c r="AM1545" i="9"/>
  <c r="AL1545" i="9"/>
  <c r="AK1545" i="9"/>
  <c r="AO1544" i="9"/>
  <c r="AN1544" i="9"/>
  <c r="AM1544" i="9"/>
  <c r="AL1544" i="9"/>
  <c r="AK1544" i="9"/>
  <c r="AO1543" i="9"/>
  <c r="AN1543" i="9"/>
  <c r="AM1543" i="9"/>
  <c r="AL1543" i="9"/>
  <c r="AK1543" i="9"/>
  <c r="AO1542" i="9"/>
  <c r="AN1542" i="9"/>
  <c r="AM1542" i="9"/>
  <c r="AL1542" i="9"/>
  <c r="AK1542" i="9"/>
  <c r="AO1541" i="9"/>
  <c r="AN1541" i="9"/>
  <c r="AM1541" i="9"/>
  <c r="AL1541" i="9"/>
  <c r="AK1541" i="9"/>
  <c r="AO1540" i="9"/>
  <c r="AN1540" i="9"/>
  <c r="AM1540" i="9"/>
  <c r="AL1540" i="9"/>
  <c r="AK1540" i="9"/>
  <c r="AO1539" i="9"/>
  <c r="AN1539" i="9"/>
  <c r="AM1539" i="9"/>
  <c r="AL1539" i="9"/>
  <c r="AK1539" i="9"/>
  <c r="AO1538" i="9"/>
  <c r="AN1538" i="9"/>
  <c r="AM1538" i="9"/>
  <c r="AL1538" i="9"/>
  <c r="AK1538" i="9"/>
  <c r="AO1537" i="9"/>
  <c r="AN1537" i="9"/>
  <c r="AM1537" i="9"/>
  <c r="AL1537" i="9"/>
  <c r="AK1537" i="9"/>
  <c r="AO1536" i="9"/>
  <c r="AN1536" i="9"/>
  <c r="AM1536" i="9"/>
  <c r="AL1536" i="9"/>
  <c r="AK1536" i="9"/>
  <c r="AO1535" i="9"/>
  <c r="AN1535" i="9"/>
  <c r="AM1535" i="9"/>
  <c r="AL1535" i="9"/>
  <c r="AK1535" i="9"/>
  <c r="AO1534" i="9"/>
  <c r="AN1534" i="9"/>
  <c r="AM1534" i="9"/>
  <c r="AL1534" i="9"/>
  <c r="AK1534" i="9"/>
  <c r="AO1533" i="9"/>
  <c r="AN1533" i="9"/>
  <c r="AM1533" i="9"/>
  <c r="AL1533" i="9"/>
  <c r="AK1533" i="9"/>
  <c r="AO1532" i="9"/>
  <c r="AN1532" i="9"/>
  <c r="AM1532" i="9"/>
  <c r="AL1532" i="9"/>
  <c r="AK1532" i="9"/>
  <c r="AO1531" i="9"/>
  <c r="AN1531" i="9"/>
  <c r="AM1531" i="9"/>
  <c r="AL1531" i="9"/>
  <c r="AK1531" i="9"/>
  <c r="AO1530" i="9"/>
  <c r="AN1530" i="9"/>
  <c r="AM1530" i="9"/>
  <c r="AL1530" i="9"/>
  <c r="AK1530" i="9"/>
  <c r="AO1529" i="9"/>
  <c r="AN1529" i="9"/>
  <c r="AM1529" i="9"/>
  <c r="AL1529" i="9"/>
  <c r="AK1529" i="9"/>
  <c r="AO1528" i="9"/>
  <c r="AN1528" i="9"/>
  <c r="AM1528" i="9"/>
  <c r="AL1528" i="9"/>
  <c r="AK1528" i="9"/>
  <c r="AO1527" i="9"/>
  <c r="AN1527" i="9"/>
  <c r="AM1527" i="9"/>
  <c r="AL1527" i="9"/>
  <c r="AK1527" i="9"/>
  <c r="AO1526" i="9"/>
  <c r="AN1526" i="9"/>
  <c r="AM1526" i="9"/>
  <c r="AL1526" i="9"/>
  <c r="AK1526" i="9"/>
  <c r="AO1525" i="9"/>
  <c r="AN1525" i="9"/>
  <c r="AM1525" i="9"/>
  <c r="AL1525" i="9"/>
  <c r="AK1525" i="9"/>
  <c r="AO1524" i="9"/>
  <c r="AN1524" i="9"/>
  <c r="AM1524" i="9"/>
  <c r="AL1524" i="9"/>
  <c r="AK1524" i="9"/>
  <c r="AO1523" i="9"/>
  <c r="AN1523" i="9"/>
  <c r="AM1523" i="9"/>
  <c r="AL1523" i="9"/>
  <c r="AK1523" i="9"/>
  <c r="AO1522" i="9"/>
  <c r="AN1522" i="9"/>
  <c r="AM1522" i="9"/>
  <c r="AL1522" i="9"/>
  <c r="AK1522" i="9"/>
  <c r="AO1521" i="9"/>
  <c r="AN1521" i="9"/>
  <c r="AM1521" i="9"/>
  <c r="AL1521" i="9"/>
  <c r="AK1521" i="9"/>
  <c r="AO1520" i="9"/>
  <c r="AN1520" i="9"/>
  <c r="AM1520" i="9"/>
  <c r="AL1520" i="9"/>
  <c r="AK1520" i="9"/>
  <c r="AO1519" i="9"/>
  <c r="AN1519" i="9"/>
  <c r="AM1519" i="9"/>
  <c r="AL1519" i="9"/>
  <c r="AK1519" i="9"/>
  <c r="AO1518" i="9"/>
  <c r="AN1518" i="9"/>
  <c r="AM1518" i="9"/>
  <c r="AL1518" i="9"/>
  <c r="AK1518" i="9"/>
  <c r="AO1517" i="9"/>
  <c r="AN1517" i="9"/>
  <c r="AM1517" i="9"/>
  <c r="AL1517" i="9"/>
  <c r="AK1517" i="9"/>
  <c r="AO1516" i="9"/>
  <c r="AN1516" i="9"/>
  <c r="AM1516" i="9"/>
  <c r="AL1516" i="9"/>
  <c r="AK1516" i="9"/>
  <c r="AO1515" i="9"/>
  <c r="AN1515" i="9"/>
  <c r="AM1515" i="9"/>
  <c r="AL1515" i="9"/>
  <c r="AK1515" i="9"/>
  <c r="AO1514" i="9"/>
  <c r="AN1514" i="9"/>
  <c r="AM1514" i="9"/>
  <c r="AL1514" i="9"/>
  <c r="AK1514" i="9"/>
  <c r="AO1513" i="9"/>
  <c r="AN1513" i="9"/>
  <c r="AM1513" i="9"/>
  <c r="AL1513" i="9"/>
  <c r="AK1513" i="9"/>
  <c r="AO1512" i="9"/>
  <c r="AN1512" i="9"/>
  <c r="AM1512" i="9"/>
  <c r="AL1512" i="9"/>
  <c r="AK1512" i="9"/>
  <c r="AO1511" i="9"/>
  <c r="AN1511" i="9"/>
  <c r="AM1511" i="9"/>
  <c r="AL1511" i="9"/>
  <c r="AK1511" i="9"/>
  <c r="AO1510" i="9"/>
  <c r="AN1510" i="9"/>
  <c r="AM1510" i="9"/>
  <c r="AL1510" i="9"/>
  <c r="AK1510" i="9"/>
  <c r="AO1509" i="9"/>
  <c r="AN1509" i="9"/>
  <c r="AM1509" i="9"/>
  <c r="AL1509" i="9"/>
  <c r="AK1509" i="9"/>
  <c r="AO1508" i="9"/>
  <c r="AN1508" i="9"/>
  <c r="AM1508" i="9"/>
  <c r="AL1508" i="9"/>
  <c r="AK1508" i="9"/>
  <c r="AO1507" i="9"/>
  <c r="AN1507" i="9"/>
  <c r="AM1507" i="9"/>
  <c r="AL1507" i="9"/>
  <c r="AK1507" i="9"/>
  <c r="AO1506" i="9"/>
  <c r="AN1506" i="9"/>
  <c r="AM1506" i="9"/>
  <c r="AL1506" i="9"/>
  <c r="AK1506" i="9"/>
  <c r="AO1505" i="9"/>
  <c r="AN1505" i="9"/>
  <c r="AM1505" i="9"/>
  <c r="AL1505" i="9"/>
  <c r="AK1505" i="9"/>
  <c r="AO1504" i="9"/>
  <c r="AN1504" i="9"/>
  <c r="AM1504" i="9"/>
  <c r="AL1504" i="9"/>
  <c r="AK1504" i="9"/>
  <c r="AO1503" i="9"/>
  <c r="AN1503" i="9"/>
  <c r="AM1503" i="9"/>
  <c r="AL1503" i="9"/>
  <c r="AK1503" i="9"/>
  <c r="AO1502" i="9"/>
  <c r="AN1502" i="9"/>
  <c r="AM1502" i="9"/>
  <c r="AL1502" i="9"/>
  <c r="AK1502" i="9"/>
  <c r="AO1501" i="9"/>
  <c r="AN1501" i="9"/>
  <c r="AM1501" i="9"/>
  <c r="AL1501" i="9"/>
  <c r="AK1501" i="9"/>
  <c r="AO1500" i="9"/>
  <c r="AN1500" i="9"/>
  <c r="AM1500" i="9"/>
  <c r="AL1500" i="9"/>
  <c r="AK1500" i="9"/>
  <c r="AO1499" i="9"/>
  <c r="AN1499" i="9"/>
  <c r="AM1499" i="9"/>
  <c r="AL1499" i="9"/>
  <c r="AK1499" i="9"/>
  <c r="AO1498" i="9"/>
  <c r="AN1498" i="9"/>
  <c r="AM1498" i="9"/>
  <c r="AL1498" i="9"/>
  <c r="AK1498" i="9"/>
  <c r="AO1497" i="9"/>
  <c r="AN1497" i="9"/>
  <c r="AM1497" i="9"/>
  <c r="AL1497" i="9"/>
  <c r="AK1497" i="9"/>
  <c r="AO1496" i="9"/>
  <c r="AN1496" i="9"/>
  <c r="AM1496" i="9"/>
  <c r="AL1496" i="9"/>
  <c r="AK1496" i="9"/>
  <c r="AO1495" i="9"/>
  <c r="AN1495" i="9"/>
  <c r="AM1495" i="9"/>
  <c r="AL1495" i="9"/>
  <c r="AK1495" i="9"/>
  <c r="AO1494" i="9"/>
  <c r="AN1494" i="9"/>
  <c r="AM1494" i="9"/>
  <c r="AL1494" i="9"/>
  <c r="AK1494" i="9"/>
  <c r="AO1493" i="9"/>
  <c r="AN1493" i="9"/>
  <c r="AM1493" i="9"/>
  <c r="AL1493" i="9"/>
  <c r="AK1493" i="9"/>
  <c r="AO1492" i="9"/>
  <c r="AN1492" i="9"/>
  <c r="AM1492" i="9"/>
  <c r="AL1492" i="9"/>
  <c r="AK1492" i="9"/>
  <c r="AO1491" i="9"/>
  <c r="AN1491" i="9"/>
  <c r="AM1491" i="9"/>
  <c r="AL1491" i="9"/>
  <c r="AK1491" i="9"/>
  <c r="AO1490" i="9"/>
  <c r="AN1490" i="9"/>
  <c r="AM1490" i="9"/>
  <c r="AL1490" i="9"/>
  <c r="AK1490" i="9"/>
  <c r="AO1489" i="9"/>
  <c r="AN1489" i="9"/>
  <c r="AM1489" i="9"/>
  <c r="AL1489" i="9"/>
  <c r="AK1489" i="9"/>
  <c r="AO1488" i="9"/>
  <c r="AN1488" i="9"/>
  <c r="AM1488" i="9"/>
  <c r="AL1488" i="9"/>
  <c r="AK1488" i="9"/>
  <c r="AO1487" i="9"/>
  <c r="AN1487" i="9"/>
  <c r="AM1487" i="9"/>
  <c r="AL1487" i="9"/>
  <c r="AK1487" i="9"/>
  <c r="AO1486" i="9"/>
  <c r="AN1486" i="9"/>
  <c r="AM1486" i="9"/>
  <c r="AL1486" i="9"/>
  <c r="AK1486" i="9"/>
  <c r="AO1485" i="9"/>
  <c r="AN1485" i="9"/>
  <c r="AM1485" i="9"/>
  <c r="AL1485" i="9"/>
  <c r="AK1485" i="9"/>
  <c r="AO1484" i="9"/>
  <c r="AN1484" i="9"/>
  <c r="AM1484" i="9"/>
  <c r="AL1484" i="9"/>
  <c r="AK1484" i="9"/>
  <c r="AO1483" i="9"/>
  <c r="AN1483" i="9"/>
  <c r="AM1483" i="9"/>
  <c r="AL1483" i="9"/>
  <c r="AK1483" i="9"/>
  <c r="AO1482" i="9"/>
  <c r="AN1482" i="9"/>
  <c r="AM1482" i="9"/>
  <c r="AL1482" i="9"/>
  <c r="AK1482" i="9"/>
  <c r="AO1481" i="9"/>
  <c r="AN1481" i="9"/>
  <c r="AM1481" i="9"/>
  <c r="AL1481" i="9"/>
  <c r="AK1481" i="9"/>
  <c r="AO1480" i="9"/>
  <c r="AN1480" i="9"/>
  <c r="AM1480" i="9"/>
  <c r="AL1480" i="9"/>
  <c r="AK1480" i="9"/>
  <c r="AO1479" i="9"/>
  <c r="AN1479" i="9"/>
  <c r="AM1479" i="9"/>
  <c r="AL1479" i="9"/>
  <c r="AK1479" i="9"/>
  <c r="AO1478" i="9"/>
  <c r="AN1478" i="9"/>
  <c r="AM1478" i="9"/>
  <c r="AL1478" i="9"/>
  <c r="AK1478" i="9"/>
  <c r="AO1477" i="9"/>
  <c r="AN1477" i="9"/>
  <c r="AM1477" i="9"/>
  <c r="AL1477" i="9"/>
  <c r="AK1477" i="9"/>
  <c r="AO1476" i="9"/>
  <c r="AN1476" i="9"/>
  <c r="AM1476" i="9"/>
  <c r="AL1476" i="9"/>
  <c r="AK1476" i="9"/>
  <c r="AO1475" i="9"/>
  <c r="AN1475" i="9"/>
  <c r="AM1475" i="9"/>
  <c r="AL1475" i="9"/>
  <c r="AK1475" i="9"/>
  <c r="AO1474" i="9"/>
  <c r="AN1474" i="9"/>
  <c r="AM1474" i="9"/>
  <c r="AL1474" i="9"/>
  <c r="AK1474" i="9"/>
  <c r="AO1473" i="9"/>
  <c r="AN1473" i="9"/>
  <c r="AM1473" i="9"/>
  <c r="AL1473" i="9"/>
  <c r="AK1473" i="9"/>
  <c r="AO1472" i="9"/>
  <c r="AN1472" i="9"/>
  <c r="AM1472" i="9"/>
  <c r="AL1472" i="9"/>
  <c r="AK1472" i="9"/>
  <c r="AO1471" i="9"/>
  <c r="AN1471" i="9"/>
  <c r="AM1471" i="9"/>
  <c r="AL1471" i="9"/>
  <c r="AK1471" i="9"/>
  <c r="AO1470" i="9"/>
  <c r="AN1470" i="9"/>
  <c r="AM1470" i="9"/>
  <c r="AL1470" i="9"/>
  <c r="AK1470" i="9"/>
  <c r="AO1469" i="9"/>
  <c r="AN1469" i="9"/>
  <c r="AM1469" i="9"/>
  <c r="AL1469" i="9"/>
  <c r="AK1469" i="9"/>
  <c r="AO1468" i="9"/>
  <c r="AN1468" i="9"/>
  <c r="AM1468" i="9"/>
  <c r="AL1468" i="9"/>
  <c r="AK1468" i="9"/>
  <c r="AO1467" i="9"/>
  <c r="AN1467" i="9"/>
  <c r="AM1467" i="9"/>
  <c r="AL1467" i="9"/>
  <c r="AK1467" i="9"/>
  <c r="AO1466" i="9"/>
  <c r="AN1466" i="9"/>
  <c r="AM1466" i="9"/>
  <c r="AL1466" i="9"/>
  <c r="AK1466" i="9"/>
  <c r="AO1465" i="9"/>
  <c r="AN1465" i="9"/>
  <c r="AM1465" i="9"/>
  <c r="AL1465" i="9"/>
  <c r="AK1465" i="9"/>
  <c r="AO1464" i="9"/>
  <c r="AN1464" i="9"/>
  <c r="AM1464" i="9"/>
  <c r="AL1464" i="9"/>
  <c r="AK1464" i="9"/>
  <c r="AO1463" i="9"/>
  <c r="AN1463" i="9"/>
  <c r="AM1463" i="9"/>
  <c r="AL1463" i="9"/>
  <c r="AK1463" i="9"/>
  <c r="AO1462" i="9"/>
  <c r="AN1462" i="9"/>
  <c r="AM1462" i="9"/>
  <c r="AL1462" i="9"/>
  <c r="AK1462" i="9"/>
  <c r="AO1461" i="9"/>
  <c r="AN1461" i="9"/>
  <c r="AM1461" i="9"/>
  <c r="AL1461" i="9"/>
  <c r="AK1461" i="9"/>
  <c r="AO1460" i="9"/>
  <c r="AN1460" i="9"/>
  <c r="AM1460" i="9"/>
  <c r="AL1460" i="9"/>
  <c r="AK1460" i="9"/>
  <c r="AO1459" i="9"/>
  <c r="AN1459" i="9"/>
  <c r="AM1459" i="9"/>
  <c r="AL1459" i="9"/>
  <c r="AK1459" i="9"/>
  <c r="AO1458" i="9"/>
  <c r="AN1458" i="9"/>
  <c r="AM1458" i="9"/>
  <c r="AL1458" i="9"/>
  <c r="AK1458" i="9"/>
  <c r="AO1457" i="9"/>
  <c r="AN1457" i="9"/>
  <c r="AM1457" i="9"/>
  <c r="AL1457" i="9"/>
  <c r="AK1457" i="9"/>
  <c r="AO1456" i="9"/>
  <c r="AN1456" i="9"/>
  <c r="AM1456" i="9"/>
  <c r="AL1456" i="9"/>
  <c r="AK1456" i="9"/>
  <c r="AO1455" i="9"/>
  <c r="AN1455" i="9"/>
  <c r="AM1455" i="9"/>
  <c r="AL1455" i="9"/>
  <c r="AK1455" i="9"/>
  <c r="AO1454" i="9"/>
  <c r="AN1454" i="9"/>
  <c r="AM1454" i="9"/>
  <c r="AL1454" i="9"/>
  <c r="AK1454" i="9"/>
  <c r="AO1453" i="9"/>
  <c r="AN1453" i="9"/>
  <c r="AM1453" i="9"/>
  <c r="AL1453" i="9"/>
  <c r="AK1453" i="9"/>
  <c r="AO1452" i="9"/>
  <c r="AN1452" i="9"/>
  <c r="AM1452" i="9"/>
  <c r="AL1452" i="9"/>
  <c r="AK1452" i="9"/>
  <c r="AO1451" i="9"/>
  <c r="AN1451" i="9"/>
  <c r="AM1451" i="9"/>
  <c r="AL1451" i="9"/>
  <c r="AK1451" i="9"/>
  <c r="AO1450" i="9"/>
  <c r="AN1450" i="9"/>
  <c r="AM1450" i="9"/>
  <c r="AL1450" i="9"/>
  <c r="AK1450" i="9"/>
  <c r="AO1449" i="9"/>
  <c r="AN1449" i="9"/>
  <c r="AM1449" i="9"/>
  <c r="AL1449" i="9"/>
  <c r="AK1449" i="9"/>
  <c r="AO1448" i="9"/>
  <c r="AN1448" i="9"/>
  <c r="AM1448" i="9"/>
  <c r="AL1448" i="9"/>
  <c r="AK1448" i="9"/>
  <c r="AO1447" i="9"/>
  <c r="AN1447" i="9"/>
  <c r="AM1447" i="9"/>
  <c r="AL1447" i="9"/>
  <c r="AK1447" i="9"/>
  <c r="AO1446" i="9"/>
  <c r="AN1446" i="9"/>
  <c r="AM1446" i="9"/>
  <c r="AL1446" i="9"/>
  <c r="AK1446" i="9"/>
  <c r="AO1445" i="9"/>
  <c r="AN1445" i="9"/>
  <c r="AM1445" i="9"/>
  <c r="AL1445" i="9"/>
  <c r="AK1445" i="9"/>
  <c r="AO1444" i="9"/>
  <c r="AN1444" i="9"/>
  <c r="AM1444" i="9"/>
  <c r="AL1444" i="9"/>
  <c r="AK1444" i="9"/>
  <c r="AO1443" i="9"/>
  <c r="AN1443" i="9"/>
  <c r="AM1443" i="9"/>
  <c r="AL1443" i="9"/>
  <c r="AK1443" i="9"/>
  <c r="AO1442" i="9"/>
  <c r="AN1442" i="9"/>
  <c r="AM1442" i="9"/>
  <c r="AL1442" i="9"/>
  <c r="AK1442" i="9"/>
  <c r="AO1441" i="9"/>
  <c r="AN1441" i="9"/>
  <c r="AM1441" i="9"/>
  <c r="AL1441" i="9"/>
  <c r="AK1441" i="9"/>
  <c r="AO1440" i="9"/>
  <c r="AN1440" i="9"/>
  <c r="AM1440" i="9"/>
  <c r="AL1440" i="9"/>
  <c r="AK1440" i="9"/>
  <c r="AO1439" i="9"/>
  <c r="AN1439" i="9"/>
  <c r="AM1439" i="9"/>
  <c r="AL1439" i="9"/>
  <c r="AK1439" i="9"/>
  <c r="AO1438" i="9"/>
  <c r="AN1438" i="9"/>
  <c r="AM1438" i="9"/>
  <c r="AL1438" i="9"/>
  <c r="AK1438" i="9"/>
  <c r="AO1437" i="9"/>
  <c r="AN1437" i="9"/>
  <c r="AM1437" i="9"/>
  <c r="AL1437" i="9"/>
  <c r="AK1437" i="9"/>
  <c r="AO1436" i="9"/>
  <c r="AN1436" i="9"/>
  <c r="AM1436" i="9"/>
  <c r="AL1436" i="9"/>
  <c r="AK1436" i="9"/>
  <c r="AO1435" i="9"/>
  <c r="AN1435" i="9"/>
  <c r="AM1435" i="9"/>
  <c r="AL1435" i="9"/>
  <c r="AK1435" i="9"/>
  <c r="AO1434" i="9"/>
  <c r="AN1434" i="9"/>
  <c r="AM1434" i="9"/>
  <c r="AL1434" i="9"/>
  <c r="AK1434" i="9"/>
  <c r="AO1433" i="9"/>
  <c r="AN1433" i="9"/>
  <c r="AM1433" i="9"/>
  <c r="AL1433" i="9"/>
  <c r="AK1433" i="9"/>
  <c r="AO1432" i="9"/>
  <c r="AN1432" i="9"/>
  <c r="AM1432" i="9"/>
  <c r="AL1432" i="9"/>
  <c r="AK1432" i="9"/>
  <c r="AO1431" i="9"/>
  <c r="AN1431" i="9"/>
  <c r="AM1431" i="9"/>
  <c r="AL1431" i="9"/>
  <c r="AK1431" i="9"/>
  <c r="AO1430" i="9"/>
  <c r="AN1430" i="9"/>
  <c r="AM1430" i="9"/>
  <c r="AL1430" i="9"/>
  <c r="AK1430" i="9"/>
  <c r="AO1429" i="9"/>
  <c r="AN1429" i="9"/>
  <c r="AM1429" i="9"/>
  <c r="AL1429" i="9"/>
  <c r="AK1429" i="9"/>
  <c r="AO1428" i="9"/>
  <c r="AN1428" i="9"/>
  <c r="AM1428" i="9"/>
  <c r="AL1428" i="9"/>
  <c r="AK1428" i="9"/>
  <c r="AO1427" i="9"/>
  <c r="AN1427" i="9"/>
  <c r="AM1427" i="9"/>
  <c r="AL1427" i="9"/>
  <c r="AK1427" i="9"/>
  <c r="AO1426" i="9"/>
  <c r="AN1426" i="9"/>
  <c r="AM1426" i="9"/>
  <c r="AL1426" i="9"/>
  <c r="AK1426" i="9"/>
  <c r="AO1425" i="9"/>
  <c r="AN1425" i="9"/>
  <c r="AM1425" i="9"/>
  <c r="AL1425" i="9"/>
  <c r="AK1425" i="9"/>
  <c r="AO1424" i="9"/>
  <c r="AN1424" i="9"/>
  <c r="AM1424" i="9"/>
  <c r="AL1424" i="9"/>
  <c r="AK1424" i="9"/>
  <c r="AO1423" i="9"/>
  <c r="AN1423" i="9"/>
  <c r="AM1423" i="9"/>
  <c r="AL1423" i="9"/>
  <c r="AK1423" i="9"/>
  <c r="AO1422" i="9"/>
  <c r="AN1422" i="9"/>
  <c r="AM1422" i="9"/>
  <c r="AL1422" i="9"/>
  <c r="AK1422" i="9"/>
  <c r="AO1421" i="9"/>
  <c r="AN1421" i="9"/>
  <c r="AM1421" i="9"/>
  <c r="AL1421" i="9"/>
  <c r="AK1421" i="9"/>
  <c r="AO1420" i="9"/>
  <c r="AN1420" i="9"/>
  <c r="AM1420" i="9"/>
  <c r="AL1420" i="9"/>
  <c r="AK1420" i="9"/>
  <c r="AO1419" i="9"/>
  <c r="AN1419" i="9"/>
  <c r="AM1419" i="9"/>
  <c r="AL1419" i="9"/>
  <c r="AK1419" i="9"/>
  <c r="AO1418" i="9"/>
  <c r="AN1418" i="9"/>
  <c r="AM1418" i="9"/>
  <c r="AL1418" i="9"/>
  <c r="AK1418" i="9"/>
  <c r="AO1417" i="9"/>
  <c r="AN1417" i="9"/>
  <c r="AM1417" i="9"/>
  <c r="AL1417" i="9"/>
  <c r="AK1417" i="9"/>
  <c r="AO1416" i="9"/>
  <c r="AN1416" i="9"/>
  <c r="AM1416" i="9"/>
  <c r="AL1416" i="9"/>
  <c r="AK1416" i="9"/>
  <c r="AO1415" i="9"/>
  <c r="AN1415" i="9"/>
  <c r="AM1415" i="9"/>
  <c r="AL1415" i="9"/>
  <c r="AK1415" i="9"/>
  <c r="AO1414" i="9"/>
  <c r="AN1414" i="9"/>
  <c r="AM1414" i="9"/>
  <c r="AL1414" i="9"/>
  <c r="AK1414" i="9"/>
  <c r="AO1413" i="9"/>
  <c r="AN1413" i="9"/>
  <c r="AM1413" i="9"/>
  <c r="AL1413" i="9"/>
  <c r="AK1413" i="9"/>
  <c r="AO1412" i="9"/>
  <c r="AN1412" i="9"/>
  <c r="AM1412" i="9"/>
  <c r="AL1412" i="9"/>
  <c r="AK1412" i="9"/>
  <c r="AO1411" i="9"/>
  <c r="AN1411" i="9"/>
  <c r="AM1411" i="9"/>
  <c r="AL1411" i="9"/>
  <c r="AK1411" i="9"/>
  <c r="AO1410" i="9"/>
  <c r="AN1410" i="9"/>
  <c r="AM1410" i="9"/>
  <c r="AL1410" i="9"/>
  <c r="AK1410" i="9"/>
  <c r="AO1409" i="9"/>
  <c r="AN1409" i="9"/>
  <c r="AM1409" i="9"/>
  <c r="AL1409" i="9"/>
  <c r="AK1409" i="9"/>
  <c r="AO1408" i="9"/>
  <c r="AN1408" i="9"/>
  <c r="AM1408" i="9"/>
  <c r="AL1408" i="9"/>
  <c r="AK1408" i="9"/>
  <c r="AO1407" i="9"/>
  <c r="AN1407" i="9"/>
  <c r="AM1407" i="9"/>
  <c r="AL1407" i="9"/>
  <c r="AK1407" i="9"/>
  <c r="AO1406" i="9"/>
  <c r="AN1406" i="9"/>
  <c r="AM1406" i="9"/>
  <c r="AL1406" i="9"/>
  <c r="AK1406" i="9"/>
  <c r="AO1405" i="9"/>
  <c r="AN1405" i="9"/>
  <c r="AM1405" i="9"/>
  <c r="AL1405" i="9"/>
  <c r="AK1405" i="9"/>
  <c r="AO1404" i="9"/>
  <c r="AN1404" i="9"/>
  <c r="AM1404" i="9"/>
  <c r="AL1404" i="9"/>
  <c r="AK1404" i="9"/>
  <c r="AO1403" i="9"/>
  <c r="AN1403" i="9"/>
  <c r="AM1403" i="9"/>
  <c r="AL1403" i="9"/>
  <c r="AK1403" i="9"/>
  <c r="AO1402" i="9"/>
  <c r="AN1402" i="9"/>
  <c r="AM1402" i="9"/>
  <c r="AL1402" i="9"/>
  <c r="AK1402" i="9"/>
  <c r="AO1401" i="9"/>
  <c r="AN1401" i="9"/>
  <c r="AM1401" i="9"/>
  <c r="AL1401" i="9"/>
  <c r="AK1401" i="9"/>
  <c r="AO1400" i="9"/>
  <c r="AN1400" i="9"/>
  <c r="AM1400" i="9"/>
  <c r="AL1400" i="9"/>
  <c r="AK1400" i="9"/>
  <c r="AO1399" i="9"/>
  <c r="AN1399" i="9"/>
  <c r="AM1399" i="9"/>
  <c r="AL1399" i="9"/>
  <c r="AK1399" i="9"/>
  <c r="AO1398" i="9"/>
  <c r="AN1398" i="9"/>
  <c r="AM1398" i="9"/>
  <c r="AL1398" i="9"/>
  <c r="AK1398" i="9"/>
  <c r="AO1397" i="9"/>
  <c r="AN1397" i="9"/>
  <c r="AM1397" i="9"/>
  <c r="AL1397" i="9"/>
  <c r="AK1397" i="9"/>
  <c r="AO1396" i="9"/>
  <c r="AN1396" i="9"/>
  <c r="AM1396" i="9"/>
  <c r="AL1396" i="9"/>
  <c r="AK1396" i="9"/>
  <c r="AO1395" i="9"/>
  <c r="AN1395" i="9"/>
  <c r="AM1395" i="9"/>
  <c r="AL1395" i="9"/>
  <c r="AK1395" i="9"/>
  <c r="AO1394" i="9"/>
  <c r="AN1394" i="9"/>
  <c r="AM1394" i="9"/>
  <c r="AL1394" i="9"/>
  <c r="AK1394" i="9"/>
  <c r="AO1393" i="9"/>
  <c r="AN1393" i="9"/>
  <c r="AM1393" i="9"/>
  <c r="AL1393" i="9"/>
  <c r="AK1393" i="9"/>
  <c r="AO1392" i="9"/>
  <c r="AN1392" i="9"/>
  <c r="AM1392" i="9"/>
  <c r="AL1392" i="9"/>
  <c r="AK1392" i="9"/>
  <c r="AO1391" i="9"/>
  <c r="AN1391" i="9"/>
  <c r="AM1391" i="9"/>
  <c r="AL1391" i="9"/>
  <c r="AK1391" i="9"/>
  <c r="AO1390" i="9"/>
  <c r="AN1390" i="9"/>
  <c r="AM1390" i="9"/>
  <c r="AL1390" i="9"/>
  <c r="AK1390" i="9"/>
  <c r="AO1389" i="9"/>
  <c r="AN1389" i="9"/>
  <c r="AM1389" i="9"/>
  <c r="AL1389" i="9"/>
  <c r="AK1389" i="9"/>
  <c r="AO1388" i="9"/>
  <c r="AN1388" i="9"/>
  <c r="AM1388" i="9"/>
  <c r="AL1388" i="9"/>
  <c r="AK1388" i="9"/>
  <c r="AO1387" i="9"/>
  <c r="AN1387" i="9"/>
  <c r="AM1387" i="9"/>
  <c r="AL1387" i="9"/>
  <c r="AK1387" i="9"/>
  <c r="AO1386" i="9"/>
  <c r="AN1386" i="9"/>
  <c r="AM1386" i="9"/>
  <c r="AL1386" i="9"/>
  <c r="AK1386" i="9"/>
  <c r="AO1385" i="9"/>
  <c r="AN1385" i="9"/>
  <c r="AM1385" i="9"/>
  <c r="AL1385" i="9"/>
  <c r="AK1385" i="9"/>
  <c r="AO1384" i="9"/>
  <c r="AN1384" i="9"/>
  <c r="AM1384" i="9"/>
  <c r="AL1384" i="9"/>
  <c r="AK1384" i="9"/>
  <c r="AO1383" i="9"/>
  <c r="AN1383" i="9"/>
  <c r="AM1383" i="9"/>
  <c r="AL1383" i="9"/>
  <c r="AK1383" i="9"/>
  <c r="AO1382" i="9"/>
  <c r="AN1382" i="9"/>
  <c r="AM1382" i="9"/>
  <c r="AL1382" i="9"/>
  <c r="AK1382" i="9"/>
  <c r="AO1381" i="9"/>
  <c r="AN1381" i="9"/>
  <c r="AM1381" i="9"/>
  <c r="AL1381" i="9"/>
  <c r="AK1381" i="9"/>
  <c r="AO1380" i="9"/>
  <c r="AN1380" i="9"/>
  <c r="AM1380" i="9"/>
  <c r="AL1380" i="9"/>
  <c r="AK1380" i="9"/>
  <c r="AO1379" i="9"/>
  <c r="AN1379" i="9"/>
  <c r="AM1379" i="9"/>
  <c r="AL1379" i="9"/>
  <c r="AK1379" i="9"/>
  <c r="AO1378" i="9"/>
  <c r="AN1378" i="9"/>
  <c r="AM1378" i="9"/>
  <c r="AL1378" i="9"/>
  <c r="AK1378" i="9"/>
  <c r="AO1377" i="9"/>
  <c r="AN1377" i="9"/>
  <c r="AM1377" i="9"/>
  <c r="AL1377" i="9"/>
  <c r="AK1377" i="9"/>
  <c r="AO1376" i="9"/>
  <c r="AN1376" i="9"/>
  <c r="AM1376" i="9"/>
  <c r="AL1376" i="9"/>
  <c r="AK1376" i="9"/>
  <c r="AO1375" i="9"/>
  <c r="AN1375" i="9"/>
  <c r="AM1375" i="9"/>
  <c r="AL1375" i="9"/>
  <c r="AK1375" i="9"/>
  <c r="AO1374" i="9"/>
  <c r="AN1374" i="9"/>
  <c r="AM1374" i="9"/>
  <c r="AL1374" i="9"/>
  <c r="AK1374" i="9"/>
  <c r="AO1373" i="9"/>
  <c r="AN1373" i="9"/>
  <c r="AM1373" i="9"/>
  <c r="AL1373" i="9"/>
  <c r="AK1373" i="9"/>
  <c r="AO1372" i="9"/>
  <c r="AN1372" i="9"/>
  <c r="AM1372" i="9"/>
  <c r="AL1372" i="9"/>
  <c r="AK1372" i="9"/>
  <c r="AO1371" i="9"/>
  <c r="AN1371" i="9"/>
  <c r="AM1371" i="9"/>
  <c r="AL1371" i="9"/>
  <c r="AK1371" i="9"/>
  <c r="AO1370" i="9"/>
  <c r="AN1370" i="9"/>
  <c r="AM1370" i="9"/>
  <c r="AL1370" i="9"/>
  <c r="AK1370" i="9"/>
  <c r="AO1369" i="9"/>
  <c r="AN1369" i="9"/>
  <c r="AM1369" i="9"/>
  <c r="AL1369" i="9"/>
  <c r="AK1369" i="9"/>
  <c r="AO1368" i="9"/>
  <c r="AN1368" i="9"/>
  <c r="AM1368" i="9"/>
  <c r="AL1368" i="9"/>
  <c r="AK1368" i="9"/>
  <c r="AO1367" i="9"/>
  <c r="AN1367" i="9"/>
  <c r="AM1367" i="9"/>
  <c r="AL1367" i="9"/>
  <c r="AK1367" i="9"/>
  <c r="AO1366" i="9"/>
  <c r="AN1366" i="9"/>
  <c r="AM1366" i="9"/>
  <c r="AL1366" i="9"/>
  <c r="AK1366" i="9"/>
  <c r="AO1365" i="9"/>
  <c r="AN1365" i="9"/>
  <c r="AM1365" i="9"/>
  <c r="AL1365" i="9"/>
  <c r="AK1365" i="9"/>
  <c r="AO1364" i="9"/>
  <c r="AN1364" i="9"/>
  <c r="AM1364" i="9"/>
  <c r="AL1364" i="9"/>
  <c r="AK1364" i="9"/>
  <c r="AO1363" i="9"/>
  <c r="AN1363" i="9"/>
  <c r="AM1363" i="9"/>
  <c r="AL1363" i="9"/>
  <c r="AK1363" i="9"/>
  <c r="AO1362" i="9"/>
  <c r="AN1362" i="9"/>
  <c r="AM1362" i="9"/>
  <c r="AL1362" i="9"/>
  <c r="AK1362" i="9"/>
  <c r="AO1361" i="9"/>
  <c r="AN1361" i="9"/>
  <c r="AM1361" i="9"/>
  <c r="AL1361" i="9"/>
  <c r="AK1361" i="9"/>
  <c r="AO1360" i="9"/>
  <c r="AN1360" i="9"/>
  <c r="AM1360" i="9"/>
  <c r="AL1360" i="9"/>
  <c r="AK1360" i="9"/>
  <c r="AO1359" i="9"/>
  <c r="AN1359" i="9"/>
  <c r="AM1359" i="9"/>
  <c r="AL1359" i="9"/>
  <c r="AK1359" i="9"/>
  <c r="AO1358" i="9"/>
  <c r="AN1358" i="9"/>
  <c r="AM1358" i="9"/>
  <c r="AL1358" i="9"/>
  <c r="AK1358" i="9"/>
  <c r="AO1357" i="9"/>
  <c r="AN1357" i="9"/>
  <c r="AM1357" i="9"/>
  <c r="AL1357" i="9"/>
  <c r="AK1357" i="9"/>
  <c r="AO1356" i="9"/>
  <c r="AN1356" i="9"/>
  <c r="AM1356" i="9"/>
  <c r="AL1356" i="9"/>
  <c r="AK1356" i="9"/>
  <c r="AO1355" i="9"/>
  <c r="AN1355" i="9"/>
  <c r="AM1355" i="9"/>
  <c r="AL1355" i="9"/>
  <c r="AK1355" i="9"/>
  <c r="AO1354" i="9"/>
  <c r="AN1354" i="9"/>
  <c r="AM1354" i="9"/>
  <c r="AL1354" i="9"/>
  <c r="AK1354" i="9"/>
  <c r="AO1353" i="9"/>
  <c r="AN1353" i="9"/>
  <c r="AM1353" i="9"/>
  <c r="AL1353" i="9"/>
  <c r="AK1353" i="9"/>
  <c r="AO1352" i="9"/>
  <c r="AN1352" i="9"/>
  <c r="AM1352" i="9"/>
  <c r="AL1352" i="9"/>
  <c r="AK1352" i="9"/>
  <c r="AO1351" i="9"/>
  <c r="AN1351" i="9"/>
  <c r="AM1351" i="9"/>
  <c r="AL1351" i="9"/>
  <c r="AK1351" i="9"/>
  <c r="AO1350" i="9"/>
  <c r="AN1350" i="9"/>
  <c r="AM1350" i="9"/>
  <c r="AL1350" i="9"/>
  <c r="AK1350" i="9"/>
  <c r="AO1349" i="9"/>
  <c r="AN1349" i="9"/>
  <c r="AM1349" i="9"/>
  <c r="AL1349" i="9"/>
  <c r="AK1349" i="9"/>
  <c r="AO1348" i="9"/>
  <c r="AN1348" i="9"/>
  <c r="AM1348" i="9"/>
  <c r="AL1348" i="9"/>
  <c r="AK1348" i="9"/>
  <c r="AO1347" i="9"/>
  <c r="AN1347" i="9"/>
  <c r="AM1347" i="9"/>
  <c r="AL1347" i="9"/>
  <c r="AK1347" i="9"/>
  <c r="AO1346" i="9"/>
  <c r="AN1346" i="9"/>
  <c r="AM1346" i="9"/>
  <c r="AL1346" i="9"/>
  <c r="AK1346" i="9"/>
  <c r="AO1345" i="9"/>
  <c r="AN1345" i="9"/>
  <c r="AM1345" i="9"/>
  <c r="AL1345" i="9"/>
  <c r="AK1345" i="9"/>
  <c r="AO1344" i="9"/>
  <c r="AN1344" i="9"/>
  <c r="AM1344" i="9"/>
  <c r="AL1344" i="9"/>
  <c r="AK1344" i="9"/>
  <c r="AO1343" i="9"/>
  <c r="AN1343" i="9"/>
  <c r="AM1343" i="9"/>
  <c r="AL1343" i="9"/>
  <c r="AK1343" i="9"/>
  <c r="AO1342" i="9"/>
  <c r="AN1342" i="9"/>
  <c r="AM1342" i="9"/>
  <c r="AL1342" i="9"/>
  <c r="AK1342" i="9"/>
  <c r="AO1341" i="9"/>
  <c r="AN1341" i="9"/>
  <c r="AM1341" i="9"/>
  <c r="AL1341" i="9"/>
  <c r="AK1341" i="9"/>
  <c r="AO1340" i="9"/>
  <c r="AN1340" i="9"/>
  <c r="AM1340" i="9"/>
  <c r="AL1340" i="9"/>
  <c r="AK1340" i="9"/>
  <c r="AO1339" i="9"/>
  <c r="AN1339" i="9"/>
  <c r="AM1339" i="9"/>
  <c r="AL1339" i="9"/>
  <c r="AK1339" i="9"/>
  <c r="AO1338" i="9"/>
  <c r="AN1338" i="9"/>
  <c r="AM1338" i="9"/>
  <c r="AL1338" i="9"/>
  <c r="AK1338" i="9"/>
  <c r="AO1337" i="9"/>
  <c r="AN1337" i="9"/>
  <c r="AM1337" i="9"/>
  <c r="AL1337" i="9"/>
  <c r="AK1337" i="9"/>
  <c r="AO1336" i="9"/>
  <c r="AN1336" i="9"/>
  <c r="AM1336" i="9"/>
  <c r="AL1336" i="9"/>
  <c r="AK1336" i="9"/>
  <c r="AO1335" i="9"/>
  <c r="AN1335" i="9"/>
  <c r="AM1335" i="9"/>
  <c r="AL1335" i="9"/>
  <c r="AK1335" i="9"/>
  <c r="AO1334" i="9"/>
  <c r="AN1334" i="9"/>
  <c r="AM1334" i="9"/>
  <c r="AL1334" i="9"/>
  <c r="AK1334" i="9"/>
  <c r="AO1333" i="9"/>
  <c r="AN1333" i="9"/>
  <c r="AM1333" i="9"/>
  <c r="AL1333" i="9"/>
  <c r="AK1333" i="9"/>
  <c r="AO1332" i="9"/>
  <c r="AN1332" i="9"/>
  <c r="AM1332" i="9"/>
  <c r="AL1332" i="9"/>
  <c r="AK1332" i="9"/>
  <c r="AO1331" i="9"/>
  <c r="AN1331" i="9"/>
  <c r="AM1331" i="9"/>
  <c r="AL1331" i="9"/>
  <c r="AK1331" i="9"/>
  <c r="AO1330" i="9"/>
  <c r="AN1330" i="9"/>
  <c r="AM1330" i="9"/>
  <c r="AL1330" i="9"/>
  <c r="AK1330" i="9"/>
  <c r="AO1329" i="9"/>
  <c r="AN1329" i="9"/>
  <c r="AM1329" i="9"/>
  <c r="AL1329" i="9"/>
  <c r="AK1329" i="9"/>
  <c r="AO1328" i="9"/>
  <c r="AN1328" i="9"/>
  <c r="AM1328" i="9"/>
  <c r="AL1328" i="9"/>
  <c r="AK1328" i="9"/>
  <c r="AO1327" i="9"/>
  <c r="AN1327" i="9"/>
  <c r="AM1327" i="9"/>
  <c r="AL1327" i="9"/>
  <c r="AK1327" i="9"/>
  <c r="AO1326" i="9"/>
  <c r="AN1326" i="9"/>
  <c r="AM1326" i="9"/>
  <c r="AL1326" i="9"/>
  <c r="AK1326" i="9"/>
  <c r="AO1325" i="9"/>
  <c r="AN1325" i="9"/>
  <c r="AM1325" i="9"/>
  <c r="AL1325" i="9"/>
  <c r="AK1325" i="9"/>
  <c r="AO1324" i="9"/>
  <c r="AN1324" i="9"/>
  <c r="AM1324" i="9"/>
  <c r="AL1324" i="9"/>
  <c r="AK1324" i="9"/>
  <c r="AO1323" i="9"/>
  <c r="AN1323" i="9"/>
  <c r="AM1323" i="9"/>
  <c r="AL1323" i="9"/>
  <c r="AK1323" i="9"/>
  <c r="AO1322" i="9"/>
  <c r="AN1322" i="9"/>
  <c r="AM1322" i="9"/>
  <c r="AL1322" i="9"/>
  <c r="AK1322" i="9"/>
  <c r="AO1321" i="9"/>
  <c r="AN1321" i="9"/>
  <c r="AM1321" i="9"/>
  <c r="AL1321" i="9"/>
  <c r="AK1321" i="9"/>
  <c r="AO1320" i="9"/>
  <c r="AN1320" i="9"/>
  <c r="AM1320" i="9"/>
  <c r="AL1320" i="9"/>
  <c r="AK1320" i="9"/>
  <c r="AO1319" i="9"/>
  <c r="AN1319" i="9"/>
  <c r="AM1319" i="9"/>
  <c r="AL1319" i="9"/>
  <c r="AK1319" i="9"/>
  <c r="AO1318" i="9"/>
  <c r="AN1318" i="9"/>
  <c r="AM1318" i="9"/>
  <c r="AL1318" i="9"/>
  <c r="AK1318" i="9"/>
  <c r="AO1317" i="9"/>
  <c r="AN1317" i="9"/>
  <c r="AM1317" i="9"/>
  <c r="AL1317" i="9"/>
  <c r="AK1317" i="9"/>
  <c r="AO1316" i="9"/>
  <c r="AN1316" i="9"/>
  <c r="AM1316" i="9"/>
  <c r="AL1316" i="9"/>
  <c r="AK1316" i="9"/>
  <c r="AO1315" i="9"/>
  <c r="AN1315" i="9"/>
  <c r="AM1315" i="9"/>
  <c r="AL1315" i="9"/>
  <c r="AK1315" i="9"/>
  <c r="AO1314" i="9"/>
  <c r="AN1314" i="9"/>
  <c r="AM1314" i="9"/>
  <c r="AL1314" i="9"/>
  <c r="AK1314" i="9"/>
  <c r="AO1313" i="9"/>
  <c r="AN1313" i="9"/>
  <c r="AM1313" i="9"/>
  <c r="AL1313" i="9"/>
  <c r="AK1313" i="9"/>
  <c r="AO1312" i="9"/>
  <c r="AN1312" i="9"/>
  <c r="AM1312" i="9"/>
  <c r="AL1312" i="9"/>
  <c r="AK1312" i="9"/>
  <c r="AO1311" i="9"/>
  <c r="AN1311" i="9"/>
  <c r="AM1311" i="9"/>
  <c r="AL1311" i="9"/>
  <c r="AK1311" i="9"/>
  <c r="AO1310" i="9"/>
  <c r="AN1310" i="9"/>
  <c r="AM1310" i="9"/>
  <c r="AL1310" i="9"/>
  <c r="AK1310" i="9"/>
  <c r="AO1309" i="9"/>
  <c r="AN1309" i="9"/>
  <c r="AM1309" i="9"/>
  <c r="AL1309" i="9"/>
  <c r="AK1309" i="9"/>
  <c r="AO1308" i="9"/>
  <c r="AN1308" i="9"/>
  <c r="AM1308" i="9"/>
  <c r="AL1308" i="9"/>
  <c r="AK1308" i="9"/>
  <c r="AO1307" i="9"/>
  <c r="AN1307" i="9"/>
  <c r="AM1307" i="9"/>
  <c r="AL1307" i="9"/>
  <c r="AK1307" i="9"/>
  <c r="AO1306" i="9"/>
  <c r="AN1306" i="9"/>
  <c r="AM1306" i="9"/>
  <c r="AL1306" i="9"/>
  <c r="AK1306" i="9"/>
  <c r="AO1305" i="9"/>
  <c r="AN1305" i="9"/>
  <c r="AM1305" i="9"/>
  <c r="AL1305" i="9"/>
  <c r="AK1305" i="9"/>
  <c r="AO1304" i="9"/>
  <c r="AN1304" i="9"/>
  <c r="AM1304" i="9"/>
  <c r="AL1304" i="9"/>
  <c r="AK1304" i="9"/>
  <c r="AO1303" i="9"/>
  <c r="AN1303" i="9"/>
  <c r="AM1303" i="9"/>
  <c r="AL1303" i="9"/>
  <c r="AK1303" i="9"/>
  <c r="AO1302" i="9"/>
  <c r="AN1302" i="9"/>
  <c r="AM1302" i="9"/>
  <c r="AL1302" i="9"/>
  <c r="AK1302" i="9"/>
  <c r="AO1301" i="9"/>
  <c r="AN1301" i="9"/>
  <c r="AM1301" i="9"/>
  <c r="AL1301" i="9"/>
  <c r="AK1301" i="9"/>
  <c r="AO1300" i="9"/>
  <c r="AN1300" i="9"/>
  <c r="AM1300" i="9"/>
  <c r="AL1300" i="9"/>
  <c r="AK1300" i="9"/>
  <c r="AO1299" i="9"/>
  <c r="AN1299" i="9"/>
  <c r="AM1299" i="9"/>
  <c r="AL1299" i="9"/>
  <c r="AK1299" i="9"/>
  <c r="AO1298" i="9"/>
  <c r="AN1298" i="9"/>
  <c r="AM1298" i="9"/>
  <c r="AL1298" i="9"/>
  <c r="AK1298" i="9"/>
  <c r="AO1297" i="9"/>
  <c r="AN1297" i="9"/>
  <c r="AM1297" i="9"/>
  <c r="AL1297" i="9"/>
  <c r="AK1297" i="9"/>
  <c r="AO1296" i="9"/>
  <c r="AN1296" i="9"/>
  <c r="AM1296" i="9"/>
  <c r="AL1296" i="9"/>
  <c r="AK1296" i="9"/>
  <c r="AO1295" i="9"/>
  <c r="AN1295" i="9"/>
  <c r="AM1295" i="9"/>
  <c r="AL1295" i="9"/>
  <c r="AK1295" i="9"/>
  <c r="AO1294" i="9"/>
  <c r="AN1294" i="9"/>
  <c r="AM1294" i="9"/>
  <c r="AL1294" i="9"/>
  <c r="AK1294" i="9"/>
  <c r="AO1293" i="9"/>
  <c r="AN1293" i="9"/>
  <c r="AM1293" i="9"/>
  <c r="AL1293" i="9"/>
  <c r="AK1293" i="9"/>
  <c r="AO1292" i="9"/>
  <c r="AN1292" i="9"/>
  <c r="AM1292" i="9"/>
  <c r="AL1292" i="9"/>
  <c r="AK1292" i="9"/>
  <c r="AO1291" i="9"/>
  <c r="AN1291" i="9"/>
  <c r="AM1291" i="9"/>
  <c r="AL1291" i="9"/>
  <c r="AK1291" i="9"/>
  <c r="AO1290" i="9"/>
  <c r="AN1290" i="9"/>
  <c r="AM1290" i="9"/>
  <c r="AL1290" i="9"/>
  <c r="AK1290" i="9"/>
  <c r="AO1289" i="9"/>
  <c r="AN1289" i="9"/>
  <c r="AM1289" i="9"/>
  <c r="AL1289" i="9"/>
  <c r="AK1289" i="9"/>
  <c r="AO1288" i="9"/>
  <c r="AN1288" i="9"/>
  <c r="AM1288" i="9"/>
  <c r="AL1288" i="9"/>
  <c r="AK1288" i="9"/>
  <c r="AO1287" i="9"/>
  <c r="AN1287" i="9"/>
  <c r="AM1287" i="9"/>
  <c r="AL1287" i="9"/>
  <c r="AK1287" i="9"/>
  <c r="AO1286" i="9"/>
  <c r="AN1286" i="9"/>
  <c r="AM1286" i="9"/>
  <c r="AL1286" i="9"/>
  <c r="AK1286" i="9"/>
  <c r="AO1285" i="9"/>
  <c r="AN1285" i="9"/>
  <c r="AM1285" i="9"/>
  <c r="AL1285" i="9"/>
  <c r="AK1285" i="9"/>
  <c r="AO1284" i="9"/>
  <c r="AN1284" i="9"/>
  <c r="AM1284" i="9"/>
  <c r="AL1284" i="9"/>
  <c r="AK1284" i="9"/>
  <c r="AO1283" i="9"/>
  <c r="AN1283" i="9"/>
  <c r="AM1283" i="9"/>
  <c r="AL1283" i="9"/>
  <c r="AK1283" i="9"/>
  <c r="AO1282" i="9"/>
  <c r="AN1282" i="9"/>
  <c r="AM1282" i="9"/>
  <c r="AL1282" i="9"/>
  <c r="AK1282" i="9"/>
  <c r="AO1281" i="9"/>
  <c r="AN1281" i="9"/>
  <c r="AM1281" i="9"/>
  <c r="AL1281" i="9"/>
  <c r="AK1281" i="9"/>
  <c r="AO1280" i="9"/>
  <c r="AN1280" i="9"/>
  <c r="AM1280" i="9"/>
  <c r="AL1280" i="9"/>
  <c r="AK1280" i="9"/>
  <c r="AO1279" i="9"/>
  <c r="AN1279" i="9"/>
  <c r="AM1279" i="9"/>
  <c r="AL1279" i="9"/>
  <c r="AK1279" i="9"/>
  <c r="AO1278" i="9"/>
  <c r="AN1278" i="9"/>
  <c r="AM1278" i="9"/>
  <c r="AL1278" i="9"/>
  <c r="AK1278" i="9"/>
  <c r="AO1277" i="9"/>
  <c r="AN1277" i="9"/>
  <c r="AM1277" i="9"/>
  <c r="AL1277" i="9"/>
  <c r="AK1277" i="9"/>
  <c r="AO1276" i="9"/>
  <c r="AN1276" i="9"/>
  <c r="AM1276" i="9"/>
  <c r="AL1276" i="9"/>
  <c r="AK1276" i="9"/>
  <c r="AO1275" i="9"/>
  <c r="AN1275" i="9"/>
  <c r="AM1275" i="9"/>
  <c r="AL1275" i="9"/>
  <c r="AK1275" i="9"/>
  <c r="AO1274" i="9"/>
  <c r="AN1274" i="9"/>
  <c r="AM1274" i="9"/>
  <c r="AL1274" i="9"/>
  <c r="AK1274" i="9"/>
  <c r="AO1273" i="9"/>
  <c r="AN1273" i="9"/>
  <c r="AM1273" i="9"/>
  <c r="AL1273" i="9"/>
  <c r="AK1273" i="9"/>
  <c r="AO1272" i="9"/>
  <c r="AN1272" i="9"/>
  <c r="AM1272" i="9"/>
  <c r="AL1272" i="9"/>
  <c r="AK1272" i="9"/>
  <c r="AO1271" i="9"/>
  <c r="AN1271" i="9"/>
  <c r="AM1271" i="9"/>
  <c r="AL1271" i="9"/>
  <c r="AK1271" i="9"/>
  <c r="AO1270" i="9"/>
  <c r="AN1270" i="9"/>
  <c r="AM1270" i="9"/>
  <c r="AL1270" i="9"/>
  <c r="AK1270" i="9"/>
  <c r="AO1269" i="9"/>
  <c r="AN1269" i="9"/>
  <c r="AM1269" i="9"/>
  <c r="AL1269" i="9"/>
  <c r="AK1269" i="9"/>
  <c r="AO1268" i="9"/>
  <c r="AN1268" i="9"/>
  <c r="AM1268" i="9"/>
  <c r="AL1268" i="9"/>
  <c r="AK1268" i="9"/>
  <c r="AO1267" i="9"/>
  <c r="AN1267" i="9"/>
  <c r="AM1267" i="9"/>
  <c r="AL1267" i="9"/>
  <c r="AK1267" i="9"/>
  <c r="AO1266" i="9"/>
  <c r="AN1266" i="9"/>
  <c r="AM1266" i="9"/>
  <c r="AL1266" i="9"/>
  <c r="AK1266" i="9"/>
  <c r="AO1265" i="9"/>
  <c r="AN1265" i="9"/>
  <c r="AM1265" i="9"/>
  <c r="AL1265" i="9"/>
  <c r="AK1265" i="9"/>
  <c r="AO1264" i="9"/>
  <c r="AN1264" i="9"/>
  <c r="AM1264" i="9"/>
  <c r="AL1264" i="9"/>
  <c r="AK1264" i="9"/>
  <c r="AO1263" i="9"/>
  <c r="AN1263" i="9"/>
  <c r="AM1263" i="9"/>
  <c r="AL1263" i="9"/>
  <c r="AK1263" i="9"/>
  <c r="AO1262" i="9"/>
  <c r="AN1262" i="9"/>
  <c r="AM1262" i="9"/>
  <c r="AL1262" i="9"/>
  <c r="AK1262" i="9"/>
  <c r="AO1261" i="9"/>
  <c r="AN1261" i="9"/>
  <c r="AM1261" i="9"/>
  <c r="AL1261" i="9"/>
  <c r="AK1261" i="9"/>
  <c r="AO1260" i="9"/>
  <c r="AN1260" i="9"/>
  <c r="AM1260" i="9"/>
  <c r="AL1260" i="9"/>
  <c r="AK1260" i="9"/>
  <c r="AO1259" i="9"/>
  <c r="AN1259" i="9"/>
  <c r="AM1259" i="9"/>
  <c r="AL1259" i="9"/>
  <c r="AK1259" i="9"/>
  <c r="AO1258" i="9"/>
  <c r="AN1258" i="9"/>
  <c r="AM1258" i="9"/>
  <c r="AL1258" i="9"/>
  <c r="AK1258" i="9"/>
  <c r="AO1257" i="9"/>
  <c r="AN1257" i="9"/>
  <c r="AM1257" i="9"/>
  <c r="AL1257" i="9"/>
  <c r="AK1257" i="9"/>
  <c r="AO1256" i="9"/>
  <c r="AN1256" i="9"/>
  <c r="AM1256" i="9"/>
  <c r="AL1256" i="9"/>
  <c r="AK1256" i="9"/>
  <c r="AO1255" i="9"/>
  <c r="AN1255" i="9"/>
  <c r="AM1255" i="9"/>
  <c r="AL1255" i="9"/>
  <c r="AK1255" i="9"/>
  <c r="AO1254" i="9"/>
  <c r="AN1254" i="9"/>
  <c r="AM1254" i="9"/>
  <c r="AL1254" i="9"/>
  <c r="AK1254" i="9"/>
  <c r="AO1253" i="9"/>
  <c r="AN1253" i="9"/>
  <c r="AM1253" i="9"/>
  <c r="AL1253" i="9"/>
  <c r="AK1253" i="9"/>
  <c r="AO1252" i="9"/>
  <c r="AN1252" i="9"/>
  <c r="AM1252" i="9"/>
  <c r="AL1252" i="9"/>
  <c r="AK1252" i="9"/>
  <c r="AO1251" i="9"/>
  <c r="AN1251" i="9"/>
  <c r="AM1251" i="9"/>
  <c r="AL1251" i="9"/>
  <c r="AK1251" i="9"/>
  <c r="AO1250" i="9"/>
  <c r="AN1250" i="9"/>
  <c r="AM1250" i="9"/>
  <c r="AL1250" i="9"/>
  <c r="AK1250" i="9"/>
  <c r="AO1249" i="9"/>
  <c r="AN1249" i="9"/>
  <c r="AM1249" i="9"/>
  <c r="AL1249" i="9"/>
  <c r="AK1249" i="9"/>
  <c r="AO1248" i="9"/>
  <c r="AN1248" i="9"/>
  <c r="AM1248" i="9"/>
  <c r="AL1248" i="9"/>
  <c r="AK1248" i="9"/>
  <c r="AO1247" i="9"/>
  <c r="AN1247" i="9"/>
  <c r="AM1247" i="9"/>
  <c r="AL1247" i="9"/>
  <c r="AK1247" i="9"/>
  <c r="AO1246" i="9"/>
  <c r="AN1246" i="9"/>
  <c r="AM1246" i="9"/>
  <c r="AL1246" i="9"/>
  <c r="AK1246" i="9"/>
  <c r="AO1245" i="9"/>
  <c r="AN1245" i="9"/>
  <c r="AM1245" i="9"/>
  <c r="AL1245" i="9"/>
  <c r="AK1245" i="9"/>
  <c r="AO1244" i="9"/>
  <c r="AN1244" i="9"/>
  <c r="AM1244" i="9"/>
  <c r="AL1244" i="9"/>
  <c r="AK1244" i="9"/>
  <c r="AO1243" i="9"/>
  <c r="AN1243" i="9"/>
  <c r="AM1243" i="9"/>
  <c r="AL1243" i="9"/>
  <c r="AK1243" i="9"/>
  <c r="AO1242" i="9"/>
  <c r="AN1242" i="9"/>
  <c r="AM1242" i="9"/>
  <c r="AL1242" i="9"/>
  <c r="AK1242" i="9"/>
  <c r="AO1241" i="9"/>
  <c r="AN1241" i="9"/>
  <c r="AM1241" i="9"/>
  <c r="AL1241" i="9"/>
  <c r="AK1241" i="9"/>
  <c r="AO1240" i="9"/>
  <c r="AN1240" i="9"/>
  <c r="AM1240" i="9"/>
  <c r="AL1240" i="9"/>
  <c r="AK1240" i="9"/>
  <c r="AO1239" i="9"/>
  <c r="AN1239" i="9"/>
  <c r="AM1239" i="9"/>
  <c r="AL1239" i="9"/>
  <c r="AK1239" i="9"/>
  <c r="AO1238" i="9"/>
  <c r="AN1238" i="9"/>
  <c r="AM1238" i="9"/>
  <c r="AL1238" i="9"/>
  <c r="AK1238" i="9"/>
  <c r="AO1237" i="9"/>
  <c r="AN1237" i="9"/>
  <c r="AM1237" i="9"/>
  <c r="AL1237" i="9"/>
  <c r="AK1237" i="9"/>
  <c r="AO1236" i="9"/>
  <c r="AN1236" i="9"/>
  <c r="AM1236" i="9"/>
  <c r="AL1236" i="9"/>
  <c r="AK1236" i="9"/>
  <c r="AO1235" i="9"/>
  <c r="AN1235" i="9"/>
  <c r="AM1235" i="9"/>
  <c r="AL1235" i="9"/>
  <c r="AK1235" i="9"/>
  <c r="AO1234" i="9"/>
  <c r="AN1234" i="9"/>
  <c r="AM1234" i="9"/>
  <c r="AL1234" i="9"/>
  <c r="AK1234" i="9"/>
  <c r="AO1233" i="9"/>
  <c r="AN1233" i="9"/>
  <c r="AM1233" i="9"/>
  <c r="AL1233" i="9"/>
  <c r="AK1233" i="9"/>
  <c r="AO1232" i="9"/>
  <c r="AN1232" i="9"/>
  <c r="AM1232" i="9"/>
  <c r="AL1232" i="9"/>
  <c r="AK1232" i="9"/>
  <c r="AO1231" i="9"/>
  <c r="AN1231" i="9"/>
  <c r="AM1231" i="9"/>
  <c r="AL1231" i="9"/>
  <c r="AK1231" i="9"/>
  <c r="AO1230" i="9"/>
  <c r="AN1230" i="9"/>
  <c r="AM1230" i="9"/>
  <c r="AL1230" i="9"/>
  <c r="AK1230" i="9"/>
  <c r="AO1229" i="9"/>
  <c r="AN1229" i="9"/>
  <c r="AM1229" i="9"/>
  <c r="AL1229" i="9"/>
  <c r="AK1229" i="9"/>
  <c r="AO1228" i="9"/>
  <c r="AN1228" i="9"/>
  <c r="AM1228" i="9"/>
  <c r="AL1228" i="9"/>
  <c r="AK1228" i="9"/>
  <c r="AO1227" i="9"/>
  <c r="AN1227" i="9"/>
  <c r="AM1227" i="9"/>
  <c r="AL1227" i="9"/>
  <c r="AK1227" i="9"/>
  <c r="AO1226" i="9"/>
  <c r="AN1226" i="9"/>
  <c r="AM1226" i="9"/>
  <c r="AL1226" i="9"/>
  <c r="AK1226" i="9"/>
  <c r="AO1225" i="9"/>
  <c r="AN1225" i="9"/>
  <c r="AM1225" i="9"/>
  <c r="AL1225" i="9"/>
  <c r="AK1225" i="9"/>
  <c r="AO1224" i="9"/>
  <c r="AN1224" i="9"/>
  <c r="AM1224" i="9"/>
  <c r="AL1224" i="9"/>
  <c r="AK1224" i="9"/>
  <c r="AO1223" i="9"/>
  <c r="AN1223" i="9"/>
  <c r="AM1223" i="9"/>
  <c r="AL1223" i="9"/>
  <c r="AK1223" i="9"/>
  <c r="AO1222" i="9"/>
  <c r="AN1222" i="9"/>
  <c r="AM1222" i="9"/>
  <c r="AL1222" i="9"/>
  <c r="AK1222" i="9"/>
  <c r="AO1221" i="9"/>
  <c r="AN1221" i="9"/>
  <c r="AM1221" i="9"/>
  <c r="AL1221" i="9"/>
  <c r="AK1221" i="9"/>
  <c r="AO1220" i="9"/>
  <c r="AN1220" i="9"/>
  <c r="AM1220" i="9"/>
  <c r="AL1220" i="9"/>
  <c r="AK1220" i="9"/>
  <c r="AO1219" i="9"/>
  <c r="AN1219" i="9"/>
  <c r="AM1219" i="9"/>
  <c r="AL1219" i="9"/>
  <c r="AK1219" i="9"/>
  <c r="AO1218" i="9"/>
  <c r="AN1218" i="9"/>
  <c r="AM1218" i="9"/>
  <c r="AL1218" i="9"/>
  <c r="AK1218" i="9"/>
  <c r="AO1217" i="9"/>
  <c r="AN1217" i="9"/>
  <c r="AM1217" i="9"/>
  <c r="AL1217" i="9"/>
  <c r="AK1217" i="9"/>
  <c r="AO1216" i="9"/>
  <c r="AN1216" i="9"/>
  <c r="AM1216" i="9"/>
  <c r="AL1216" i="9"/>
  <c r="AK1216" i="9"/>
  <c r="AO1215" i="9"/>
  <c r="AN1215" i="9"/>
  <c r="AM1215" i="9"/>
  <c r="AL1215" i="9"/>
  <c r="AK1215" i="9"/>
  <c r="AO1214" i="9"/>
  <c r="AN1214" i="9"/>
  <c r="AM1214" i="9"/>
  <c r="AL1214" i="9"/>
  <c r="AK1214" i="9"/>
  <c r="AO1213" i="9"/>
  <c r="AN1213" i="9"/>
  <c r="AM1213" i="9"/>
  <c r="AL1213" i="9"/>
  <c r="AK1213" i="9"/>
  <c r="AO1212" i="9"/>
  <c r="AN1212" i="9"/>
  <c r="AM1212" i="9"/>
  <c r="AL1212" i="9"/>
  <c r="AK1212" i="9"/>
  <c r="AO1211" i="9"/>
  <c r="AN1211" i="9"/>
  <c r="AM1211" i="9"/>
  <c r="AL1211" i="9"/>
  <c r="AK1211" i="9"/>
  <c r="AO1210" i="9"/>
  <c r="AN1210" i="9"/>
  <c r="AM1210" i="9"/>
  <c r="AL1210" i="9"/>
  <c r="AK1210" i="9"/>
  <c r="AO1209" i="9"/>
  <c r="AN1209" i="9"/>
  <c r="AM1209" i="9"/>
  <c r="AL1209" i="9"/>
  <c r="AK1209" i="9"/>
  <c r="AO1208" i="9"/>
  <c r="AN1208" i="9"/>
  <c r="AM1208" i="9"/>
  <c r="AL1208" i="9"/>
  <c r="AK1208" i="9"/>
  <c r="AO1207" i="9"/>
  <c r="AN1207" i="9"/>
  <c r="AM1207" i="9"/>
  <c r="AL1207" i="9"/>
  <c r="AK1207" i="9"/>
  <c r="AO1206" i="9"/>
  <c r="AN1206" i="9"/>
  <c r="AM1206" i="9"/>
  <c r="AL1206" i="9"/>
  <c r="AK1206" i="9"/>
  <c r="AO1205" i="9"/>
  <c r="AN1205" i="9"/>
  <c r="AM1205" i="9"/>
  <c r="AL1205" i="9"/>
  <c r="AK1205" i="9"/>
  <c r="AO1204" i="9"/>
  <c r="AN1204" i="9"/>
  <c r="AM1204" i="9"/>
  <c r="AL1204" i="9"/>
  <c r="AK1204" i="9"/>
  <c r="AO1203" i="9"/>
  <c r="AN1203" i="9"/>
  <c r="AM1203" i="9"/>
  <c r="AL1203" i="9"/>
  <c r="AK1203" i="9"/>
  <c r="AO1202" i="9"/>
  <c r="AN1202" i="9"/>
  <c r="AM1202" i="9"/>
  <c r="AL1202" i="9"/>
  <c r="AK1202" i="9"/>
  <c r="AO1201" i="9"/>
  <c r="AN1201" i="9"/>
  <c r="AM1201" i="9"/>
  <c r="AL1201" i="9"/>
  <c r="AK1201" i="9"/>
  <c r="AO1200" i="9"/>
  <c r="AN1200" i="9"/>
  <c r="AM1200" i="9"/>
  <c r="AL1200" i="9"/>
  <c r="AK1200" i="9"/>
  <c r="AO1199" i="9"/>
  <c r="AN1199" i="9"/>
  <c r="AM1199" i="9"/>
  <c r="AL1199" i="9"/>
  <c r="AK1199" i="9"/>
  <c r="AO1198" i="9"/>
  <c r="AN1198" i="9"/>
  <c r="AM1198" i="9"/>
  <c r="AL1198" i="9"/>
  <c r="AK1198" i="9"/>
  <c r="AO1197" i="9"/>
  <c r="AN1197" i="9"/>
  <c r="AM1197" i="9"/>
  <c r="AL1197" i="9"/>
  <c r="AK1197" i="9"/>
  <c r="AO1196" i="9"/>
  <c r="AN1196" i="9"/>
  <c r="AM1196" i="9"/>
  <c r="AL1196" i="9"/>
  <c r="AK1196" i="9"/>
  <c r="AO1195" i="9"/>
  <c r="AN1195" i="9"/>
  <c r="AM1195" i="9"/>
  <c r="AL1195" i="9"/>
  <c r="AK1195" i="9"/>
  <c r="AO1194" i="9"/>
  <c r="AN1194" i="9"/>
  <c r="AM1194" i="9"/>
  <c r="AL1194" i="9"/>
  <c r="AK1194" i="9"/>
  <c r="AO1193" i="9"/>
  <c r="AN1193" i="9"/>
  <c r="AM1193" i="9"/>
  <c r="AL1193" i="9"/>
  <c r="AK1193" i="9"/>
  <c r="AO1192" i="9"/>
  <c r="AN1192" i="9"/>
  <c r="AM1192" i="9"/>
  <c r="AL1192" i="9"/>
  <c r="AK1192" i="9"/>
  <c r="AO1191" i="9"/>
  <c r="AN1191" i="9"/>
  <c r="AM1191" i="9"/>
  <c r="AL1191" i="9"/>
  <c r="AK1191" i="9"/>
  <c r="AO1190" i="9"/>
  <c r="AN1190" i="9"/>
  <c r="AM1190" i="9"/>
  <c r="AL1190" i="9"/>
  <c r="AK1190" i="9"/>
  <c r="AO1189" i="9"/>
  <c r="AN1189" i="9"/>
  <c r="AM1189" i="9"/>
  <c r="AL1189" i="9"/>
  <c r="AK1189" i="9"/>
  <c r="AO1188" i="9"/>
  <c r="AN1188" i="9"/>
  <c r="AM1188" i="9"/>
  <c r="AL1188" i="9"/>
  <c r="AK1188" i="9"/>
  <c r="AO1187" i="9"/>
  <c r="AN1187" i="9"/>
  <c r="AM1187" i="9"/>
  <c r="AL1187" i="9"/>
  <c r="AK1187" i="9"/>
  <c r="AO1186" i="9"/>
  <c r="AN1186" i="9"/>
  <c r="AM1186" i="9"/>
  <c r="AL1186" i="9"/>
  <c r="AK1186" i="9"/>
  <c r="AO1185" i="9"/>
  <c r="AN1185" i="9"/>
  <c r="AM1185" i="9"/>
  <c r="AL1185" i="9"/>
  <c r="AK1185" i="9"/>
  <c r="AO1184" i="9"/>
  <c r="AN1184" i="9"/>
  <c r="AM1184" i="9"/>
  <c r="AL1184" i="9"/>
  <c r="AK1184" i="9"/>
  <c r="AO1183" i="9"/>
  <c r="AN1183" i="9"/>
  <c r="AM1183" i="9"/>
  <c r="AL1183" i="9"/>
  <c r="AK1183" i="9"/>
  <c r="AO1182" i="9"/>
  <c r="AN1182" i="9"/>
  <c r="AM1182" i="9"/>
  <c r="AL1182" i="9"/>
  <c r="AK1182" i="9"/>
  <c r="AO1181" i="9"/>
  <c r="AN1181" i="9"/>
  <c r="AM1181" i="9"/>
  <c r="AL1181" i="9"/>
  <c r="AK1181" i="9"/>
  <c r="AO1180" i="9"/>
  <c r="AN1180" i="9"/>
  <c r="AM1180" i="9"/>
  <c r="AL1180" i="9"/>
  <c r="AK1180" i="9"/>
  <c r="AO1179" i="9"/>
  <c r="AN1179" i="9"/>
  <c r="AM1179" i="9"/>
  <c r="AL1179" i="9"/>
  <c r="AK1179" i="9"/>
  <c r="AO1178" i="9"/>
  <c r="AN1178" i="9"/>
  <c r="AM1178" i="9"/>
  <c r="AL1178" i="9"/>
  <c r="AK1178" i="9"/>
  <c r="AO1177" i="9"/>
  <c r="AN1177" i="9"/>
  <c r="AM1177" i="9"/>
  <c r="AL1177" i="9"/>
  <c r="AK1177" i="9"/>
  <c r="AO1176" i="9"/>
  <c r="AN1176" i="9"/>
  <c r="AM1176" i="9"/>
  <c r="AL1176" i="9"/>
  <c r="AK1176" i="9"/>
  <c r="AO1175" i="9"/>
  <c r="AN1175" i="9"/>
  <c r="AM1175" i="9"/>
  <c r="AL1175" i="9"/>
  <c r="AK1175" i="9"/>
  <c r="AO1174" i="9"/>
  <c r="AN1174" i="9"/>
  <c r="AM1174" i="9"/>
  <c r="AL1174" i="9"/>
  <c r="AK1174" i="9"/>
  <c r="AO1173" i="9"/>
  <c r="AN1173" i="9"/>
  <c r="AM1173" i="9"/>
  <c r="AL1173" i="9"/>
  <c r="AK1173" i="9"/>
  <c r="AO1172" i="9"/>
  <c r="AN1172" i="9"/>
  <c r="AM1172" i="9"/>
  <c r="AL1172" i="9"/>
  <c r="AK1172" i="9"/>
  <c r="AO1171" i="9"/>
  <c r="AN1171" i="9"/>
  <c r="AM1171" i="9"/>
  <c r="AL1171" i="9"/>
  <c r="AK1171" i="9"/>
  <c r="AO1170" i="9"/>
  <c r="AN1170" i="9"/>
  <c r="AM1170" i="9"/>
  <c r="AL1170" i="9"/>
  <c r="AK1170" i="9"/>
  <c r="AO1169" i="9"/>
  <c r="AN1169" i="9"/>
  <c r="AM1169" i="9"/>
  <c r="AL1169" i="9"/>
  <c r="AK1169" i="9"/>
  <c r="AO1168" i="9"/>
  <c r="AN1168" i="9"/>
  <c r="AM1168" i="9"/>
  <c r="AL1168" i="9"/>
  <c r="AK1168" i="9"/>
  <c r="AO1167" i="9"/>
  <c r="AN1167" i="9"/>
  <c r="AM1167" i="9"/>
  <c r="AL1167" i="9"/>
  <c r="AK1167" i="9"/>
  <c r="AO1166" i="9"/>
  <c r="AN1166" i="9"/>
  <c r="AM1166" i="9"/>
  <c r="AL1166" i="9"/>
  <c r="AK1166" i="9"/>
  <c r="AO1165" i="9"/>
  <c r="AN1165" i="9"/>
  <c r="AM1165" i="9"/>
  <c r="AL1165" i="9"/>
  <c r="AK1165" i="9"/>
  <c r="AO1164" i="9"/>
  <c r="AN1164" i="9"/>
  <c r="AM1164" i="9"/>
  <c r="AL1164" i="9"/>
  <c r="AK1164" i="9"/>
  <c r="AO1163" i="9"/>
  <c r="AN1163" i="9"/>
  <c r="AM1163" i="9"/>
  <c r="AL1163" i="9"/>
  <c r="AK1163" i="9"/>
  <c r="AO1162" i="9"/>
  <c r="AN1162" i="9"/>
  <c r="AM1162" i="9"/>
  <c r="AL1162" i="9"/>
  <c r="AK1162" i="9"/>
  <c r="AO1161" i="9"/>
  <c r="AN1161" i="9"/>
  <c r="AM1161" i="9"/>
  <c r="AL1161" i="9"/>
  <c r="AK1161" i="9"/>
  <c r="AO1160" i="9"/>
  <c r="AN1160" i="9"/>
  <c r="AM1160" i="9"/>
  <c r="AL1160" i="9"/>
  <c r="AK1160" i="9"/>
  <c r="AO1159" i="9"/>
  <c r="AN1159" i="9"/>
  <c r="AM1159" i="9"/>
  <c r="AL1159" i="9"/>
  <c r="AK1159" i="9"/>
  <c r="AO1158" i="9"/>
  <c r="AN1158" i="9"/>
  <c r="AM1158" i="9"/>
  <c r="AL1158" i="9"/>
  <c r="AK1158" i="9"/>
  <c r="AO1157" i="9"/>
  <c r="AN1157" i="9"/>
  <c r="AM1157" i="9"/>
  <c r="AL1157" i="9"/>
  <c r="AK1157" i="9"/>
  <c r="AO1156" i="9"/>
  <c r="AN1156" i="9"/>
  <c r="AM1156" i="9"/>
  <c r="AL1156" i="9"/>
  <c r="AK1156" i="9"/>
  <c r="AO1155" i="9"/>
  <c r="AN1155" i="9"/>
  <c r="AM1155" i="9"/>
  <c r="AL1155" i="9"/>
  <c r="AK1155" i="9"/>
  <c r="AO1154" i="9"/>
  <c r="AN1154" i="9"/>
  <c r="AM1154" i="9"/>
  <c r="AL1154" i="9"/>
  <c r="AK1154" i="9"/>
  <c r="AO1153" i="9"/>
  <c r="AN1153" i="9"/>
  <c r="AM1153" i="9"/>
  <c r="AL1153" i="9"/>
  <c r="AK1153" i="9"/>
  <c r="AO1152" i="9"/>
  <c r="AN1152" i="9"/>
  <c r="AM1152" i="9"/>
  <c r="AL1152" i="9"/>
  <c r="AK1152" i="9"/>
  <c r="AO1151" i="9"/>
  <c r="AN1151" i="9"/>
  <c r="AM1151" i="9"/>
  <c r="AL1151" i="9"/>
  <c r="AK1151" i="9"/>
  <c r="AO1150" i="9"/>
  <c r="AN1150" i="9"/>
  <c r="AM1150" i="9"/>
  <c r="AL1150" i="9"/>
  <c r="AK1150" i="9"/>
  <c r="AO1149" i="9"/>
  <c r="AN1149" i="9"/>
  <c r="AM1149" i="9"/>
  <c r="AL1149" i="9"/>
  <c r="AK1149" i="9"/>
  <c r="AO1148" i="9"/>
  <c r="AN1148" i="9"/>
  <c r="AM1148" i="9"/>
  <c r="AL1148" i="9"/>
  <c r="AK1148" i="9"/>
  <c r="AO1147" i="9"/>
  <c r="AN1147" i="9"/>
  <c r="AM1147" i="9"/>
  <c r="AL1147" i="9"/>
  <c r="AK1147" i="9"/>
  <c r="AO1146" i="9"/>
  <c r="AN1146" i="9"/>
  <c r="AM1146" i="9"/>
  <c r="AL1146" i="9"/>
  <c r="AK1146" i="9"/>
  <c r="AO1145" i="9"/>
  <c r="AN1145" i="9"/>
  <c r="AM1145" i="9"/>
  <c r="AL1145" i="9"/>
  <c r="AK1145" i="9"/>
  <c r="AO1144" i="9"/>
  <c r="AN1144" i="9"/>
  <c r="AM1144" i="9"/>
  <c r="AL1144" i="9"/>
  <c r="AK1144" i="9"/>
  <c r="AO1143" i="9"/>
  <c r="AN1143" i="9"/>
  <c r="AM1143" i="9"/>
  <c r="AL1143" i="9"/>
  <c r="AK1143" i="9"/>
  <c r="AO1142" i="9"/>
  <c r="AN1142" i="9"/>
  <c r="AM1142" i="9"/>
  <c r="AL1142" i="9"/>
  <c r="AK1142" i="9"/>
  <c r="AO1141" i="9"/>
  <c r="AN1141" i="9"/>
  <c r="AM1141" i="9"/>
  <c r="AL1141" i="9"/>
  <c r="AK1141" i="9"/>
  <c r="AO1140" i="9"/>
  <c r="AN1140" i="9"/>
  <c r="AM1140" i="9"/>
  <c r="AL1140" i="9"/>
  <c r="AK1140" i="9"/>
  <c r="AO1139" i="9"/>
  <c r="AN1139" i="9"/>
  <c r="AM1139" i="9"/>
  <c r="AL1139" i="9"/>
  <c r="AK1139" i="9"/>
  <c r="AO1138" i="9"/>
  <c r="AN1138" i="9"/>
  <c r="AM1138" i="9"/>
  <c r="AL1138" i="9"/>
  <c r="AK1138" i="9"/>
  <c r="AO1137" i="9"/>
  <c r="AN1137" i="9"/>
  <c r="AM1137" i="9"/>
  <c r="AL1137" i="9"/>
  <c r="AK1137" i="9"/>
  <c r="AO1136" i="9"/>
  <c r="AN1136" i="9"/>
  <c r="AM1136" i="9"/>
  <c r="AL1136" i="9"/>
  <c r="AK1136" i="9"/>
  <c r="AO1135" i="9"/>
  <c r="AN1135" i="9"/>
  <c r="AM1135" i="9"/>
  <c r="AL1135" i="9"/>
  <c r="AK1135" i="9"/>
  <c r="AO1134" i="9"/>
  <c r="AN1134" i="9"/>
  <c r="AM1134" i="9"/>
  <c r="AL1134" i="9"/>
  <c r="AK1134" i="9"/>
  <c r="AO1133" i="9"/>
  <c r="AN1133" i="9"/>
  <c r="AM1133" i="9"/>
  <c r="AL1133" i="9"/>
  <c r="AK1133" i="9"/>
  <c r="AO1132" i="9"/>
  <c r="AN1132" i="9"/>
  <c r="AM1132" i="9"/>
  <c r="AL1132" i="9"/>
  <c r="AK1132" i="9"/>
  <c r="AO1131" i="9"/>
  <c r="AN1131" i="9"/>
  <c r="AM1131" i="9"/>
  <c r="AL1131" i="9"/>
  <c r="AK1131" i="9"/>
  <c r="AO1130" i="9"/>
  <c r="AN1130" i="9"/>
  <c r="AM1130" i="9"/>
  <c r="AL1130" i="9"/>
  <c r="AK1130" i="9"/>
  <c r="AO1129" i="9"/>
  <c r="AN1129" i="9"/>
  <c r="AM1129" i="9"/>
  <c r="AL1129" i="9"/>
  <c r="AK1129" i="9"/>
  <c r="AO1128" i="9"/>
  <c r="AN1128" i="9"/>
  <c r="AM1128" i="9"/>
  <c r="AL1128" i="9"/>
  <c r="AK1128" i="9"/>
  <c r="AO1127" i="9"/>
  <c r="AN1127" i="9"/>
  <c r="AM1127" i="9"/>
  <c r="AL1127" i="9"/>
  <c r="AK1127" i="9"/>
  <c r="AO1126" i="9"/>
  <c r="AN1126" i="9"/>
  <c r="AM1126" i="9"/>
  <c r="AL1126" i="9"/>
  <c r="AK1126" i="9"/>
  <c r="AO1125" i="9"/>
  <c r="AN1125" i="9"/>
  <c r="AM1125" i="9"/>
  <c r="AL1125" i="9"/>
  <c r="AK1125" i="9"/>
  <c r="AO1124" i="9"/>
  <c r="AN1124" i="9"/>
  <c r="AM1124" i="9"/>
  <c r="AL1124" i="9"/>
  <c r="AK1124" i="9"/>
  <c r="AO1123" i="9"/>
  <c r="AN1123" i="9"/>
  <c r="AM1123" i="9"/>
  <c r="AL1123" i="9"/>
  <c r="AK1123" i="9"/>
  <c r="AO1122" i="9"/>
  <c r="AN1122" i="9"/>
  <c r="AM1122" i="9"/>
  <c r="AL1122" i="9"/>
  <c r="AK1122" i="9"/>
  <c r="AO1121" i="9"/>
  <c r="AN1121" i="9"/>
  <c r="AM1121" i="9"/>
  <c r="AL1121" i="9"/>
  <c r="AK1121" i="9"/>
  <c r="AO1120" i="9"/>
  <c r="AN1120" i="9"/>
  <c r="AM1120" i="9"/>
  <c r="AL1120" i="9"/>
  <c r="AK1120" i="9"/>
  <c r="AO1119" i="9"/>
  <c r="AN1119" i="9"/>
  <c r="AM1119" i="9"/>
  <c r="AL1119" i="9"/>
  <c r="AK1119" i="9"/>
  <c r="AO1118" i="9"/>
  <c r="AN1118" i="9"/>
  <c r="AM1118" i="9"/>
  <c r="AL1118" i="9"/>
  <c r="AK1118" i="9"/>
  <c r="AO1117" i="9"/>
  <c r="AN1117" i="9"/>
  <c r="AM1117" i="9"/>
  <c r="AL1117" i="9"/>
  <c r="AK1117" i="9"/>
  <c r="AO1116" i="9"/>
  <c r="AN1116" i="9"/>
  <c r="AM1116" i="9"/>
  <c r="AL1116" i="9"/>
  <c r="AK1116" i="9"/>
  <c r="AO1115" i="9"/>
  <c r="AN1115" i="9"/>
  <c r="AM1115" i="9"/>
  <c r="AL1115" i="9"/>
  <c r="AK1115" i="9"/>
  <c r="AO1114" i="9"/>
  <c r="AN1114" i="9"/>
  <c r="AM1114" i="9"/>
  <c r="AL1114" i="9"/>
  <c r="AK1114" i="9"/>
  <c r="AO1113" i="9"/>
  <c r="AN1113" i="9"/>
  <c r="AM1113" i="9"/>
  <c r="AL1113" i="9"/>
  <c r="AK1113" i="9"/>
  <c r="AO1112" i="9"/>
  <c r="AN1112" i="9"/>
  <c r="AM1112" i="9"/>
  <c r="AL1112" i="9"/>
  <c r="AK1112" i="9"/>
  <c r="AO1111" i="9"/>
  <c r="AN1111" i="9"/>
  <c r="AM1111" i="9"/>
  <c r="AL1111" i="9"/>
  <c r="AK1111" i="9"/>
  <c r="AO1110" i="9"/>
  <c r="AN1110" i="9"/>
  <c r="AM1110" i="9"/>
  <c r="AL1110" i="9"/>
  <c r="AK1110" i="9"/>
  <c r="AO1109" i="9"/>
  <c r="AN1109" i="9"/>
  <c r="AM1109" i="9"/>
  <c r="AL1109" i="9"/>
  <c r="AK1109" i="9"/>
  <c r="AO1108" i="9"/>
  <c r="AN1108" i="9"/>
  <c r="AM1108" i="9"/>
  <c r="AL1108" i="9"/>
  <c r="AK1108" i="9"/>
  <c r="AO1107" i="9"/>
  <c r="AN1107" i="9"/>
  <c r="AM1107" i="9"/>
  <c r="AL1107" i="9"/>
  <c r="AK1107" i="9"/>
  <c r="AO1106" i="9"/>
  <c r="AN1106" i="9"/>
  <c r="AM1106" i="9"/>
  <c r="AL1106" i="9"/>
  <c r="AK1106" i="9"/>
  <c r="AO1105" i="9"/>
  <c r="AN1105" i="9"/>
  <c r="AM1105" i="9"/>
  <c r="AL1105" i="9"/>
  <c r="AK1105" i="9"/>
  <c r="AO1104" i="9"/>
  <c r="AN1104" i="9"/>
  <c r="AM1104" i="9"/>
  <c r="AL1104" i="9"/>
  <c r="AK1104" i="9"/>
  <c r="AO1103" i="9"/>
  <c r="AN1103" i="9"/>
  <c r="AM1103" i="9"/>
  <c r="AL1103" i="9"/>
  <c r="AK1103" i="9"/>
  <c r="AO1102" i="9"/>
  <c r="AN1102" i="9"/>
  <c r="AM1102" i="9"/>
  <c r="AL1102" i="9"/>
  <c r="AK1102" i="9"/>
  <c r="AO1101" i="9"/>
  <c r="AN1101" i="9"/>
  <c r="AM1101" i="9"/>
  <c r="AL1101" i="9"/>
  <c r="AK1101" i="9"/>
  <c r="AO1100" i="9"/>
  <c r="AN1100" i="9"/>
  <c r="AM1100" i="9"/>
  <c r="AL1100" i="9"/>
  <c r="AK1100" i="9"/>
  <c r="AO1099" i="9"/>
  <c r="AN1099" i="9"/>
  <c r="AM1099" i="9"/>
  <c r="AL1099" i="9"/>
  <c r="AK1099" i="9"/>
  <c r="AO1098" i="9"/>
  <c r="AN1098" i="9"/>
  <c r="AM1098" i="9"/>
  <c r="AL1098" i="9"/>
  <c r="AK1098" i="9"/>
  <c r="AO1097" i="9"/>
  <c r="AN1097" i="9"/>
  <c r="AM1097" i="9"/>
  <c r="AL1097" i="9"/>
  <c r="AK1097" i="9"/>
  <c r="AO1096" i="9"/>
  <c r="AN1096" i="9"/>
  <c r="AM1096" i="9"/>
  <c r="AL1096" i="9"/>
  <c r="AK1096" i="9"/>
  <c r="AO1095" i="9"/>
  <c r="AN1095" i="9"/>
  <c r="AM1095" i="9"/>
  <c r="AL1095" i="9"/>
  <c r="AK1095" i="9"/>
  <c r="AO1094" i="9"/>
  <c r="AN1094" i="9"/>
  <c r="AM1094" i="9"/>
  <c r="AL1094" i="9"/>
  <c r="AK1094" i="9"/>
  <c r="AO1093" i="9"/>
  <c r="AN1093" i="9"/>
  <c r="AM1093" i="9"/>
  <c r="AL1093" i="9"/>
  <c r="AK1093" i="9"/>
  <c r="AO1092" i="9"/>
  <c r="AN1092" i="9"/>
  <c r="AM1092" i="9"/>
  <c r="AL1092" i="9"/>
  <c r="AK1092" i="9"/>
  <c r="AO1091" i="9"/>
  <c r="AN1091" i="9"/>
  <c r="AM1091" i="9"/>
  <c r="AL1091" i="9"/>
  <c r="AK1091" i="9"/>
  <c r="AO1090" i="9"/>
  <c r="AN1090" i="9"/>
  <c r="AM1090" i="9"/>
  <c r="AL1090" i="9"/>
  <c r="AK1090" i="9"/>
  <c r="AO1089" i="9"/>
  <c r="AN1089" i="9"/>
  <c r="AM1089" i="9"/>
  <c r="AL1089" i="9"/>
  <c r="AK1089" i="9"/>
  <c r="AO1088" i="9"/>
  <c r="AN1088" i="9"/>
  <c r="AM1088" i="9"/>
  <c r="AL1088" i="9"/>
  <c r="AK1088" i="9"/>
  <c r="AO1087" i="9"/>
  <c r="AN1087" i="9"/>
  <c r="AM1087" i="9"/>
  <c r="AL1087" i="9"/>
  <c r="AK1087" i="9"/>
  <c r="AO1086" i="9"/>
  <c r="AN1086" i="9"/>
  <c r="AM1086" i="9"/>
  <c r="AL1086" i="9"/>
  <c r="AK1086" i="9"/>
  <c r="AO1085" i="9"/>
  <c r="AN1085" i="9"/>
  <c r="AM1085" i="9"/>
  <c r="AL1085" i="9"/>
  <c r="AK1085" i="9"/>
  <c r="AO1084" i="9"/>
  <c r="AN1084" i="9"/>
  <c r="AM1084" i="9"/>
  <c r="AL1084" i="9"/>
  <c r="AK1084" i="9"/>
  <c r="AO1083" i="9"/>
  <c r="AN1083" i="9"/>
  <c r="AM1083" i="9"/>
  <c r="AL1083" i="9"/>
  <c r="AK1083" i="9"/>
  <c r="AO1082" i="9"/>
  <c r="AN1082" i="9"/>
  <c r="AM1082" i="9"/>
  <c r="AL1082" i="9"/>
  <c r="AK1082" i="9"/>
  <c r="AO1081" i="9"/>
  <c r="AN1081" i="9"/>
  <c r="AM1081" i="9"/>
  <c r="AL1081" i="9"/>
  <c r="AK1081" i="9"/>
  <c r="AO1080" i="9"/>
  <c r="AN1080" i="9"/>
  <c r="AM1080" i="9"/>
  <c r="AL1080" i="9"/>
  <c r="AK1080" i="9"/>
  <c r="AO1079" i="9"/>
  <c r="AN1079" i="9"/>
  <c r="AM1079" i="9"/>
  <c r="AL1079" i="9"/>
  <c r="AK1079" i="9"/>
  <c r="AO1078" i="9"/>
  <c r="AN1078" i="9"/>
  <c r="AM1078" i="9"/>
  <c r="AL1078" i="9"/>
  <c r="AK1078" i="9"/>
  <c r="AO1077" i="9"/>
  <c r="AN1077" i="9"/>
  <c r="AM1077" i="9"/>
  <c r="AL1077" i="9"/>
  <c r="AK1077" i="9"/>
  <c r="AO1076" i="9"/>
  <c r="AN1076" i="9"/>
  <c r="AM1076" i="9"/>
  <c r="AL1076" i="9"/>
  <c r="AK1076" i="9"/>
  <c r="AO1075" i="9"/>
  <c r="AN1075" i="9"/>
  <c r="AM1075" i="9"/>
  <c r="AL1075" i="9"/>
  <c r="AK1075" i="9"/>
  <c r="AO1074" i="9"/>
  <c r="AN1074" i="9"/>
  <c r="AM1074" i="9"/>
  <c r="AL1074" i="9"/>
  <c r="AK1074" i="9"/>
  <c r="AO1073" i="9"/>
  <c r="AN1073" i="9"/>
  <c r="AM1073" i="9"/>
  <c r="AL1073" i="9"/>
  <c r="AK1073" i="9"/>
  <c r="AO1072" i="9"/>
  <c r="AN1072" i="9"/>
  <c r="AM1072" i="9"/>
  <c r="AL1072" i="9"/>
  <c r="AK1072" i="9"/>
  <c r="AO1071" i="9"/>
  <c r="AN1071" i="9"/>
  <c r="AM1071" i="9"/>
  <c r="AL1071" i="9"/>
  <c r="AK1071" i="9"/>
  <c r="AO1070" i="9"/>
  <c r="AN1070" i="9"/>
  <c r="AM1070" i="9"/>
  <c r="AL1070" i="9"/>
  <c r="AK1070" i="9"/>
  <c r="AO1069" i="9"/>
  <c r="AN1069" i="9"/>
  <c r="AM1069" i="9"/>
  <c r="AL1069" i="9"/>
  <c r="AK1069" i="9"/>
  <c r="AO1068" i="9"/>
  <c r="AN1068" i="9"/>
  <c r="AM1068" i="9"/>
  <c r="AL1068" i="9"/>
  <c r="AK1068" i="9"/>
  <c r="AO1067" i="9"/>
  <c r="AN1067" i="9"/>
  <c r="AM1067" i="9"/>
  <c r="AL1067" i="9"/>
  <c r="AK1067" i="9"/>
  <c r="AO1066" i="9"/>
  <c r="AN1066" i="9"/>
  <c r="AM1066" i="9"/>
  <c r="AL1066" i="9"/>
  <c r="AK1066" i="9"/>
  <c r="AO1065" i="9"/>
  <c r="AN1065" i="9"/>
  <c r="AM1065" i="9"/>
  <c r="AL1065" i="9"/>
  <c r="AK1065" i="9"/>
  <c r="AO1064" i="9"/>
  <c r="AN1064" i="9"/>
  <c r="AM1064" i="9"/>
  <c r="AL1064" i="9"/>
  <c r="AK1064" i="9"/>
  <c r="AO1063" i="9"/>
  <c r="AN1063" i="9"/>
  <c r="AM1063" i="9"/>
  <c r="AL1063" i="9"/>
  <c r="AK1063" i="9"/>
  <c r="AO1062" i="9"/>
  <c r="AN1062" i="9"/>
  <c r="AM1062" i="9"/>
  <c r="AL1062" i="9"/>
  <c r="AK1062" i="9"/>
  <c r="AO1061" i="9"/>
  <c r="AN1061" i="9"/>
  <c r="AM1061" i="9"/>
  <c r="AL1061" i="9"/>
  <c r="AK1061" i="9"/>
  <c r="AO1060" i="9"/>
  <c r="AN1060" i="9"/>
  <c r="AM1060" i="9"/>
  <c r="AL1060" i="9"/>
  <c r="AK1060" i="9"/>
  <c r="AO1059" i="9"/>
  <c r="AN1059" i="9"/>
  <c r="AM1059" i="9"/>
  <c r="AL1059" i="9"/>
  <c r="AK1059" i="9"/>
  <c r="AO1058" i="9"/>
  <c r="AN1058" i="9"/>
  <c r="AM1058" i="9"/>
  <c r="AL1058" i="9"/>
  <c r="AK1058" i="9"/>
  <c r="AO1057" i="9"/>
  <c r="AN1057" i="9"/>
  <c r="AM1057" i="9"/>
  <c r="AL1057" i="9"/>
  <c r="AK1057" i="9"/>
  <c r="AO1056" i="9"/>
  <c r="AN1056" i="9"/>
  <c r="AM1056" i="9"/>
  <c r="AL1056" i="9"/>
  <c r="AK1056" i="9"/>
  <c r="AO1055" i="9"/>
  <c r="AN1055" i="9"/>
  <c r="AM1055" i="9"/>
  <c r="AL1055" i="9"/>
  <c r="AK1055" i="9"/>
  <c r="AO1054" i="9"/>
  <c r="AN1054" i="9"/>
  <c r="AM1054" i="9"/>
  <c r="AL1054" i="9"/>
  <c r="AK1054" i="9"/>
  <c r="AO1053" i="9"/>
  <c r="AN1053" i="9"/>
  <c r="AM1053" i="9"/>
  <c r="AL1053" i="9"/>
  <c r="AK1053" i="9"/>
  <c r="AO1052" i="9"/>
  <c r="AN1052" i="9"/>
  <c r="AM1052" i="9"/>
  <c r="AL1052" i="9"/>
  <c r="AK1052" i="9"/>
  <c r="AO1051" i="9"/>
  <c r="AN1051" i="9"/>
  <c r="AM1051" i="9"/>
  <c r="AL1051" i="9"/>
  <c r="AK1051" i="9"/>
  <c r="AO1050" i="9"/>
  <c r="AN1050" i="9"/>
  <c r="AM1050" i="9"/>
  <c r="AL1050" i="9"/>
  <c r="AK1050" i="9"/>
  <c r="AO1049" i="9"/>
  <c r="AN1049" i="9"/>
  <c r="AM1049" i="9"/>
  <c r="AL1049" i="9"/>
  <c r="AK1049" i="9"/>
  <c r="AO1048" i="9"/>
  <c r="AN1048" i="9"/>
  <c r="AM1048" i="9"/>
  <c r="AL1048" i="9"/>
  <c r="AK1048" i="9"/>
  <c r="AO1047" i="9"/>
  <c r="AN1047" i="9"/>
  <c r="AM1047" i="9"/>
  <c r="AL1047" i="9"/>
  <c r="AK1047" i="9"/>
  <c r="AO1046" i="9"/>
  <c r="AN1046" i="9"/>
  <c r="AM1046" i="9"/>
  <c r="AL1046" i="9"/>
  <c r="AK1046" i="9"/>
  <c r="AO1045" i="9"/>
  <c r="AN1045" i="9"/>
  <c r="AM1045" i="9"/>
  <c r="AL1045" i="9"/>
  <c r="AK1045" i="9"/>
  <c r="AO1044" i="9"/>
  <c r="AN1044" i="9"/>
  <c r="AM1044" i="9"/>
  <c r="AL1044" i="9"/>
  <c r="AK1044" i="9"/>
  <c r="AO1043" i="9"/>
  <c r="AN1043" i="9"/>
  <c r="AM1043" i="9"/>
  <c r="AL1043" i="9"/>
  <c r="AK1043" i="9"/>
  <c r="AO1042" i="9"/>
  <c r="AN1042" i="9"/>
  <c r="AM1042" i="9"/>
  <c r="AL1042" i="9"/>
  <c r="AK1042" i="9"/>
  <c r="AO1041" i="9"/>
  <c r="AN1041" i="9"/>
  <c r="AM1041" i="9"/>
  <c r="AL1041" i="9"/>
  <c r="AK1041" i="9"/>
  <c r="AO1040" i="9"/>
  <c r="AN1040" i="9"/>
  <c r="AM1040" i="9"/>
  <c r="AL1040" i="9"/>
  <c r="AK1040" i="9"/>
  <c r="AO1039" i="9"/>
  <c r="AN1039" i="9"/>
  <c r="AM1039" i="9"/>
  <c r="AL1039" i="9"/>
  <c r="AK1039" i="9"/>
  <c r="AO1038" i="9"/>
  <c r="AN1038" i="9"/>
  <c r="AM1038" i="9"/>
  <c r="AL1038" i="9"/>
  <c r="AK1038" i="9"/>
  <c r="AO1037" i="9"/>
  <c r="AN1037" i="9"/>
  <c r="AM1037" i="9"/>
  <c r="AL1037" i="9"/>
  <c r="AK1037" i="9"/>
  <c r="AO1036" i="9"/>
  <c r="AN1036" i="9"/>
  <c r="AM1036" i="9"/>
  <c r="AL1036" i="9"/>
  <c r="AK1036" i="9"/>
  <c r="AO1035" i="9"/>
  <c r="AN1035" i="9"/>
  <c r="AM1035" i="9"/>
  <c r="AL1035" i="9"/>
  <c r="AK1035" i="9"/>
  <c r="AO1034" i="9"/>
  <c r="AN1034" i="9"/>
  <c r="AM1034" i="9"/>
  <c r="AL1034" i="9"/>
  <c r="AK1034" i="9"/>
  <c r="AO1033" i="9"/>
  <c r="AN1033" i="9"/>
  <c r="AM1033" i="9"/>
  <c r="AL1033" i="9"/>
  <c r="AK1033" i="9"/>
  <c r="AO1032" i="9"/>
  <c r="AN1032" i="9"/>
  <c r="AM1032" i="9"/>
  <c r="AL1032" i="9"/>
  <c r="AK1032" i="9"/>
  <c r="AO1031" i="9"/>
  <c r="AN1031" i="9"/>
  <c r="AM1031" i="9"/>
  <c r="AL1031" i="9"/>
  <c r="AK1031" i="9"/>
  <c r="AO1030" i="9"/>
  <c r="AN1030" i="9"/>
  <c r="AM1030" i="9"/>
  <c r="AL1030" i="9"/>
  <c r="AK1030" i="9"/>
  <c r="AO1029" i="9"/>
  <c r="AN1029" i="9"/>
  <c r="AM1029" i="9"/>
  <c r="AL1029" i="9"/>
  <c r="AK1029" i="9"/>
  <c r="AO1028" i="9"/>
  <c r="AN1028" i="9"/>
  <c r="AM1028" i="9"/>
  <c r="AL1028" i="9"/>
  <c r="AK1028" i="9"/>
  <c r="AO1027" i="9"/>
  <c r="AN1027" i="9"/>
  <c r="AM1027" i="9"/>
  <c r="AL1027" i="9"/>
  <c r="AK1027" i="9"/>
  <c r="AO1026" i="9"/>
  <c r="AN1026" i="9"/>
  <c r="AM1026" i="9"/>
  <c r="AL1026" i="9"/>
  <c r="AK1026" i="9"/>
  <c r="AO1025" i="9"/>
  <c r="AN1025" i="9"/>
  <c r="AM1025" i="9"/>
  <c r="AL1025" i="9"/>
  <c r="AK1025" i="9"/>
  <c r="AO1024" i="9"/>
  <c r="AN1024" i="9"/>
  <c r="AM1024" i="9"/>
  <c r="AL1024" i="9"/>
  <c r="AK1024" i="9"/>
  <c r="AO1023" i="9"/>
  <c r="AN1023" i="9"/>
  <c r="AM1023" i="9"/>
  <c r="AL1023" i="9"/>
  <c r="AK1023" i="9"/>
  <c r="AO1022" i="9"/>
  <c r="AN1022" i="9"/>
  <c r="AM1022" i="9"/>
  <c r="AL1022" i="9"/>
  <c r="AK1022" i="9"/>
  <c r="AO1021" i="9"/>
  <c r="AN1021" i="9"/>
  <c r="AM1021" i="9"/>
  <c r="AL1021" i="9"/>
  <c r="AK1021" i="9"/>
  <c r="AO1020" i="9"/>
  <c r="AN1020" i="9"/>
  <c r="AM1020" i="9"/>
  <c r="AL1020" i="9"/>
  <c r="AK1020" i="9"/>
  <c r="AO1019" i="9"/>
  <c r="AN1019" i="9"/>
  <c r="AM1019" i="9"/>
  <c r="AL1019" i="9"/>
  <c r="AK1019" i="9"/>
  <c r="AO1018" i="9"/>
  <c r="AN1018" i="9"/>
  <c r="AM1018" i="9"/>
  <c r="AL1018" i="9"/>
  <c r="AK1018" i="9"/>
  <c r="AO1017" i="9"/>
  <c r="AN1017" i="9"/>
  <c r="AM1017" i="9"/>
  <c r="AL1017" i="9"/>
  <c r="AK1017" i="9"/>
  <c r="AO1016" i="9"/>
  <c r="AN1016" i="9"/>
  <c r="AM1016" i="9"/>
  <c r="AL1016" i="9"/>
  <c r="AK1016" i="9"/>
  <c r="AO1015" i="9"/>
  <c r="AN1015" i="9"/>
  <c r="AM1015" i="9"/>
  <c r="AL1015" i="9"/>
  <c r="AK1015" i="9"/>
  <c r="AO1014" i="9"/>
  <c r="AN1014" i="9"/>
  <c r="AM1014" i="9"/>
  <c r="AL1014" i="9"/>
  <c r="AK1014" i="9"/>
  <c r="AO1013" i="9"/>
  <c r="AN1013" i="9"/>
  <c r="AM1013" i="9"/>
  <c r="AL1013" i="9"/>
  <c r="AK1013" i="9"/>
  <c r="AO1012" i="9"/>
  <c r="AN1012" i="9"/>
  <c r="AM1012" i="9"/>
  <c r="AL1012" i="9"/>
  <c r="AK1012" i="9"/>
  <c r="AO1011" i="9"/>
  <c r="AN1011" i="9"/>
  <c r="AM1011" i="9"/>
  <c r="AL1011" i="9"/>
  <c r="AK1011" i="9"/>
  <c r="AO1010" i="9"/>
  <c r="AN1010" i="9"/>
  <c r="AM1010" i="9"/>
  <c r="AL1010" i="9"/>
  <c r="AK1010" i="9"/>
  <c r="AO1009" i="9"/>
  <c r="AN1009" i="9"/>
  <c r="AM1009" i="9"/>
  <c r="AL1009" i="9"/>
  <c r="AK1009" i="9"/>
  <c r="AO1008" i="9"/>
  <c r="AN1008" i="9"/>
  <c r="AM1008" i="9"/>
  <c r="AL1008" i="9"/>
  <c r="AK1008" i="9"/>
  <c r="AO1007" i="9"/>
  <c r="AN1007" i="9"/>
  <c r="AM1007" i="9"/>
  <c r="AL1007" i="9"/>
  <c r="AK1007" i="9"/>
  <c r="AO1006" i="9"/>
  <c r="AN1006" i="9"/>
  <c r="AM1006" i="9"/>
  <c r="AL1006" i="9"/>
  <c r="AK1006" i="9"/>
  <c r="AO1005" i="9"/>
  <c r="AN1005" i="9"/>
  <c r="AM1005" i="9"/>
  <c r="AL1005" i="9"/>
  <c r="AK1005" i="9"/>
  <c r="AO1004" i="9"/>
  <c r="AN1004" i="9"/>
  <c r="AM1004" i="9"/>
  <c r="AL1004" i="9"/>
  <c r="AK1004" i="9"/>
  <c r="AO1003" i="9"/>
  <c r="AN1003" i="9"/>
  <c r="AM1003" i="9"/>
  <c r="AL1003" i="9"/>
  <c r="AK1003" i="9"/>
  <c r="AO1002" i="9"/>
  <c r="AN1002" i="9"/>
  <c r="AM1002" i="9"/>
  <c r="AL1002" i="9"/>
  <c r="AK1002" i="9"/>
  <c r="AO1001" i="9"/>
  <c r="AN1001" i="9"/>
  <c r="AM1001" i="9"/>
  <c r="AL1001" i="9"/>
  <c r="AK1001" i="9"/>
  <c r="AO1000" i="9"/>
  <c r="AN1000" i="9"/>
  <c r="AM1000" i="9"/>
  <c r="AL1000" i="9"/>
  <c r="AK1000" i="9"/>
  <c r="AO999" i="9"/>
  <c r="AN999" i="9"/>
  <c r="AM999" i="9"/>
  <c r="AL999" i="9"/>
  <c r="AK999" i="9"/>
  <c r="AO998" i="9"/>
  <c r="AN998" i="9"/>
  <c r="AM998" i="9"/>
  <c r="AL998" i="9"/>
  <c r="AK998" i="9"/>
  <c r="AO997" i="9"/>
  <c r="AN997" i="9"/>
  <c r="AM997" i="9"/>
  <c r="AL997" i="9"/>
  <c r="AK997" i="9"/>
  <c r="AO996" i="9"/>
  <c r="AN996" i="9"/>
  <c r="AM996" i="9"/>
  <c r="AL996" i="9"/>
  <c r="AK996" i="9"/>
  <c r="AO995" i="9"/>
  <c r="AN995" i="9"/>
  <c r="AM995" i="9"/>
  <c r="AL995" i="9"/>
  <c r="AK995" i="9"/>
  <c r="AO994" i="9"/>
  <c r="AN994" i="9"/>
  <c r="AM994" i="9"/>
  <c r="AL994" i="9"/>
  <c r="AK994" i="9"/>
  <c r="AO993" i="9"/>
  <c r="AN993" i="9"/>
  <c r="AM993" i="9"/>
  <c r="AL993" i="9"/>
  <c r="AK993" i="9"/>
  <c r="AO992" i="9"/>
  <c r="AN992" i="9"/>
  <c r="AM992" i="9"/>
  <c r="AL992" i="9"/>
  <c r="AK992" i="9"/>
  <c r="AO991" i="9"/>
  <c r="AN991" i="9"/>
  <c r="AM991" i="9"/>
  <c r="AL991" i="9"/>
  <c r="AK991" i="9"/>
  <c r="AO990" i="9"/>
  <c r="AN990" i="9"/>
  <c r="AM990" i="9"/>
  <c r="AL990" i="9"/>
  <c r="AK990" i="9"/>
  <c r="AO989" i="9"/>
  <c r="AN989" i="9"/>
  <c r="AM989" i="9"/>
  <c r="AL989" i="9"/>
  <c r="AK989" i="9"/>
  <c r="AO988" i="9"/>
  <c r="AN988" i="9"/>
  <c r="AM988" i="9"/>
  <c r="AL988" i="9"/>
  <c r="AK988" i="9"/>
  <c r="AO987" i="9"/>
  <c r="AN987" i="9"/>
  <c r="AM987" i="9"/>
  <c r="AL987" i="9"/>
  <c r="AK987" i="9"/>
  <c r="AO986" i="9"/>
  <c r="AN986" i="9"/>
  <c r="AM986" i="9"/>
  <c r="AL986" i="9"/>
  <c r="AK986" i="9"/>
  <c r="AO985" i="9"/>
  <c r="AN985" i="9"/>
  <c r="AM985" i="9"/>
  <c r="AL985" i="9"/>
  <c r="AK985" i="9"/>
  <c r="AO984" i="9"/>
  <c r="AN984" i="9"/>
  <c r="AM984" i="9"/>
  <c r="AL984" i="9"/>
  <c r="AK984" i="9"/>
  <c r="AO983" i="9"/>
  <c r="AN983" i="9"/>
  <c r="AM983" i="9"/>
  <c r="AL983" i="9"/>
  <c r="AK983" i="9"/>
  <c r="AO982" i="9"/>
  <c r="AN982" i="9"/>
  <c r="AM982" i="9"/>
  <c r="AL982" i="9"/>
  <c r="AK982" i="9"/>
  <c r="AO981" i="9"/>
  <c r="AN981" i="9"/>
  <c r="AM981" i="9"/>
  <c r="AL981" i="9"/>
  <c r="AK981" i="9"/>
  <c r="AO980" i="9"/>
  <c r="AN980" i="9"/>
  <c r="AM980" i="9"/>
  <c r="AL980" i="9"/>
  <c r="AK980" i="9"/>
  <c r="AO979" i="9"/>
  <c r="AN979" i="9"/>
  <c r="AM979" i="9"/>
  <c r="AL979" i="9"/>
  <c r="AK979" i="9"/>
  <c r="AO978" i="9"/>
  <c r="AN978" i="9"/>
  <c r="AM978" i="9"/>
  <c r="AL978" i="9"/>
  <c r="AK978" i="9"/>
  <c r="AO977" i="9"/>
  <c r="AN977" i="9"/>
  <c r="AM977" i="9"/>
  <c r="AL977" i="9"/>
  <c r="AK977" i="9"/>
  <c r="AO976" i="9"/>
  <c r="AN976" i="9"/>
  <c r="AM976" i="9"/>
  <c r="AL976" i="9"/>
  <c r="AK976" i="9"/>
  <c r="AO975" i="9"/>
  <c r="AN975" i="9"/>
  <c r="AM975" i="9"/>
  <c r="AL975" i="9"/>
  <c r="AK975" i="9"/>
  <c r="AO974" i="9"/>
  <c r="AN974" i="9"/>
  <c r="AM974" i="9"/>
  <c r="AL974" i="9"/>
  <c r="AK974" i="9"/>
  <c r="AO973" i="9"/>
  <c r="AN973" i="9"/>
  <c r="AM973" i="9"/>
  <c r="AL973" i="9"/>
  <c r="AK973" i="9"/>
  <c r="AO972" i="9"/>
  <c r="AN972" i="9"/>
  <c r="AM972" i="9"/>
  <c r="AL972" i="9"/>
  <c r="AK972" i="9"/>
  <c r="AO971" i="9"/>
  <c r="AN971" i="9"/>
  <c r="AM971" i="9"/>
  <c r="AL971" i="9"/>
  <c r="AK971" i="9"/>
  <c r="AO970" i="9"/>
  <c r="AN970" i="9"/>
  <c r="AM970" i="9"/>
  <c r="AL970" i="9"/>
  <c r="AK970" i="9"/>
  <c r="AO969" i="9"/>
  <c r="AN969" i="9"/>
  <c r="AM969" i="9"/>
  <c r="AL969" i="9"/>
  <c r="AK969" i="9"/>
  <c r="AO968" i="9"/>
  <c r="AN968" i="9"/>
  <c r="AM968" i="9"/>
  <c r="AL968" i="9"/>
  <c r="AK968" i="9"/>
  <c r="AO967" i="9"/>
  <c r="AN967" i="9"/>
  <c r="AM967" i="9"/>
  <c r="AL967" i="9"/>
  <c r="AK967" i="9"/>
  <c r="AO966" i="9"/>
  <c r="AN966" i="9"/>
  <c r="AM966" i="9"/>
  <c r="AL966" i="9"/>
  <c r="AK966" i="9"/>
  <c r="AO965" i="9"/>
  <c r="AN965" i="9"/>
  <c r="AM965" i="9"/>
  <c r="AL965" i="9"/>
  <c r="AK965" i="9"/>
  <c r="AO964" i="9"/>
  <c r="AN964" i="9"/>
  <c r="AM964" i="9"/>
  <c r="AL964" i="9"/>
  <c r="AK964" i="9"/>
  <c r="AO963" i="9"/>
  <c r="AN963" i="9"/>
  <c r="AM963" i="9"/>
  <c r="AL963" i="9"/>
  <c r="AK963" i="9"/>
  <c r="AO962" i="9"/>
  <c r="AN962" i="9"/>
  <c r="AM962" i="9"/>
  <c r="AL962" i="9"/>
  <c r="AK962" i="9"/>
  <c r="AO961" i="9"/>
  <c r="AN961" i="9"/>
  <c r="AM961" i="9"/>
  <c r="AL961" i="9"/>
  <c r="AK961" i="9"/>
  <c r="AO960" i="9"/>
  <c r="AN960" i="9"/>
  <c r="AM960" i="9"/>
  <c r="AL960" i="9"/>
  <c r="AK960" i="9"/>
  <c r="AO959" i="9"/>
  <c r="AN959" i="9"/>
  <c r="AM959" i="9"/>
  <c r="AL959" i="9"/>
  <c r="AK959" i="9"/>
  <c r="AO958" i="9"/>
  <c r="AN958" i="9"/>
  <c r="AM958" i="9"/>
  <c r="AL958" i="9"/>
  <c r="AK958" i="9"/>
  <c r="AO957" i="9"/>
  <c r="AN957" i="9"/>
  <c r="AM957" i="9"/>
  <c r="AL957" i="9"/>
  <c r="AK957" i="9"/>
  <c r="AO956" i="9"/>
  <c r="AN956" i="9"/>
  <c r="AM956" i="9"/>
  <c r="AL956" i="9"/>
  <c r="AK956" i="9"/>
  <c r="AO955" i="9"/>
  <c r="AN955" i="9"/>
  <c r="AM955" i="9"/>
  <c r="AL955" i="9"/>
  <c r="AK955" i="9"/>
  <c r="AO954" i="9"/>
  <c r="AN954" i="9"/>
  <c r="AM954" i="9"/>
  <c r="AL954" i="9"/>
  <c r="AK954" i="9"/>
  <c r="AO953" i="9"/>
  <c r="AN953" i="9"/>
  <c r="AM953" i="9"/>
  <c r="AL953" i="9"/>
  <c r="AK953" i="9"/>
  <c r="AO952" i="9"/>
  <c r="AN952" i="9"/>
  <c r="AM952" i="9"/>
  <c r="AL952" i="9"/>
  <c r="AK952" i="9"/>
  <c r="AO951" i="9"/>
  <c r="AN951" i="9"/>
  <c r="AM951" i="9"/>
  <c r="AL951" i="9"/>
  <c r="AK951" i="9"/>
  <c r="AO950" i="9"/>
  <c r="AN950" i="9"/>
  <c r="AM950" i="9"/>
  <c r="AL950" i="9"/>
  <c r="AK950" i="9"/>
  <c r="AO949" i="9"/>
  <c r="AN949" i="9"/>
  <c r="AM949" i="9"/>
  <c r="AL949" i="9"/>
  <c r="AK949" i="9"/>
  <c r="AO948" i="9"/>
  <c r="AN948" i="9"/>
  <c r="AM948" i="9"/>
  <c r="AL948" i="9"/>
  <c r="AK948" i="9"/>
  <c r="AO947" i="9"/>
  <c r="AN947" i="9"/>
  <c r="AM947" i="9"/>
  <c r="AL947" i="9"/>
  <c r="AK947" i="9"/>
  <c r="AO946" i="9"/>
  <c r="AN946" i="9"/>
  <c r="AM946" i="9"/>
  <c r="AL946" i="9"/>
  <c r="AK946" i="9"/>
  <c r="AO945" i="9"/>
  <c r="AN945" i="9"/>
  <c r="AM945" i="9"/>
  <c r="AL945" i="9"/>
  <c r="AK945" i="9"/>
  <c r="AO944" i="9"/>
  <c r="AN944" i="9"/>
  <c r="AM944" i="9"/>
  <c r="AL944" i="9"/>
  <c r="AK944" i="9"/>
  <c r="AO943" i="9"/>
  <c r="AN943" i="9"/>
  <c r="AM943" i="9"/>
  <c r="AL943" i="9"/>
  <c r="AK943" i="9"/>
  <c r="AO942" i="9"/>
  <c r="AN942" i="9"/>
  <c r="AM942" i="9"/>
  <c r="AL942" i="9"/>
  <c r="AK942" i="9"/>
  <c r="AO941" i="9"/>
  <c r="AN941" i="9"/>
  <c r="AM941" i="9"/>
  <c r="AL941" i="9"/>
  <c r="AK941" i="9"/>
  <c r="AO940" i="9"/>
  <c r="AN940" i="9"/>
  <c r="AM940" i="9"/>
  <c r="AL940" i="9"/>
  <c r="AK940" i="9"/>
  <c r="AO939" i="9"/>
  <c r="AN939" i="9"/>
  <c r="AM939" i="9"/>
  <c r="AL939" i="9"/>
  <c r="AK939" i="9"/>
  <c r="AO938" i="9"/>
  <c r="AN938" i="9"/>
  <c r="AM938" i="9"/>
  <c r="AL938" i="9"/>
  <c r="AK938" i="9"/>
  <c r="AO937" i="9"/>
  <c r="AN937" i="9"/>
  <c r="AM937" i="9"/>
  <c r="AL937" i="9"/>
  <c r="AK937" i="9"/>
  <c r="AO936" i="9"/>
  <c r="AN936" i="9"/>
  <c r="AM936" i="9"/>
  <c r="AL936" i="9"/>
  <c r="AK936" i="9"/>
  <c r="AO935" i="9"/>
  <c r="AN935" i="9"/>
  <c r="AM935" i="9"/>
  <c r="AL935" i="9"/>
  <c r="AK935" i="9"/>
  <c r="AO934" i="9"/>
  <c r="AN934" i="9"/>
  <c r="AM934" i="9"/>
  <c r="AL934" i="9"/>
  <c r="AK934" i="9"/>
  <c r="AO933" i="9"/>
  <c r="AN933" i="9"/>
  <c r="AM933" i="9"/>
  <c r="AL933" i="9"/>
  <c r="AK933" i="9"/>
  <c r="AO932" i="9"/>
  <c r="AN932" i="9"/>
  <c r="AM932" i="9"/>
  <c r="AL932" i="9"/>
  <c r="AK932" i="9"/>
  <c r="AO931" i="9"/>
  <c r="AN931" i="9"/>
  <c r="AM931" i="9"/>
  <c r="AL931" i="9"/>
  <c r="AK931" i="9"/>
  <c r="AO930" i="9"/>
  <c r="AN930" i="9"/>
  <c r="AM930" i="9"/>
  <c r="AL930" i="9"/>
  <c r="AK930" i="9"/>
  <c r="AO929" i="9"/>
  <c r="AN929" i="9"/>
  <c r="AM929" i="9"/>
  <c r="AL929" i="9"/>
  <c r="AK929" i="9"/>
  <c r="AO928" i="9"/>
  <c r="AN928" i="9"/>
  <c r="AM928" i="9"/>
  <c r="AL928" i="9"/>
  <c r="AK928" i="9"/>
  <c r="AO927" i="9"/>
  <c r="AN927" i="9"/>
  <c r="AM927" i="9"/>
  <c r="AL927" i="9"/>
  <c r="AK927" i="9"/>
  <c r="AO926" i="9"/>
  <c r="AN926" i="9"/>
  <c r="AM926" i="9"/>
  <c r="AL926" i="9"/>
  <c r="AK926" i="9"/>
  <c r="AO925" i="9"/>
  <c r="AN925" i="9"/>
  <c r="AM925" i="9"/>
  <c r="AL925" i="9"/>
  <c r="AK925" i="9"/>
  <c r="AO924" i="9"/>
  <c r="AN924" i="9"/>
  <c r="AM924" i="9"/>
  <c r="AL924" i="9"/>
  <c r="AK924" i="9"/>
  <c r="AO923" i="9"/>
  <c r="AN923" i="9"/>
  <c r="AM923" i="9"/>
  <c r="AL923" i="9"/>
  <c r="AK923" i="9"/>
  <c r="AO922" i="9"/>
  <c r="AN922" i="9"/>
  <c r="AM922" i="9"/>
  <c r="AL922" i="9"/>
  <c r="AK922" i="9"/>
  <c r="AO921" i="9"/>
  <c r="AN921" i="9"/>
  <c r="AM921" i="9"/>
  <c r="AL921" i="9"/>
  <c r="AK921" i="9"/>
  <c r="AO920" i="9"/>
  <c r="AN920" i="9"/>
  <c r="AM920" i="9"/>
  <c r="AL920" i="9"/>
  <c r="AK920" i="9"/>
  <c r="AO919" i="9"/>
  <c r="AN919" i="9"/>
  <c r="AM919" i="9"/>
  <c r="AL919" i="9"/>
  <c r="AK919" i="9"/>
  <c r="AO918" i="9"/>
  <c r="AN918" i="9"/>
  <c r="AM918" i="9"/>
  <c r="AL918" i="9"/>
  <c r="AK918" i="9"/>
  <c r="AO917" i="9"/>
  <c r="AN917" i="9"/>
  <c r="AM917" i="9"/>
  <c r="AL917" i="9"/>
  <c r="AK917" i="9"/>
  <c r="AO916" i="9"/>
  <c r="AN916" i="9"/>
  <c r="AM916" i="9"/>
  <c r="AL916" i="9"/>
  <c r="AK916" i="9"/>
  <c r="AO915" i="9"/>
  <c r="AN915" i="9"/>
  <c r="AM915" i="9"/>
  <c r="AL915" i="9"/>
  <c r="AK915" i="9"/>
  <c r="AO914" i="9"/>
  <c r="AN914" i="9"/>
  <c r="AM914" i="9"/>
  <c r="AL914" i="9"/>
  <c r="AK914" i="9"/>
  <c r="AO913" i="9"/>
  <c r="AN913" i="9"/>
  <c r="AM913" i="9"/>
  <c r="AL913" i="9"/>
  <c r="AK913" i="9"/>
  <c r="AO912" i="9"/>
  <c r="AN912" i="9"/>
  <c r="AM912" i="9"/>
  <c r="AL912" i="9"/>
  <c r="AK912" i="9"/>
  <c r="AO911" i="9"/>
  <c r="AN911" i="9"/>
  <c r="AM911" i="9"/>
  <c r="AL911" i="9"/>
  <c r="AK911" i="9"/>
  <c r="AO910" i="9"/>
  <c r="AN910" i="9"/>
  <c r="AM910" i="9"/>
  <c r="AL910" i="9"/>
  <c r="AK910" i="9"/>
  <c r="AO909" i="9"/>
  <c r="AN909" i="9"/>
  <c r="AM909" i="9"/>
  <c r="AL909" i="9"/>
  <c r="AK909" i="9"/>
  <c r="AO908" i="9"/>
  <c r="AN908" i="9"/>
  <c r="AM908" i="9"/>
  <c r="AL908" i="9"/>
  <c r="AK908" i="9"/>
  <c r="AO907" i="9"/>
  <c r="AN907" i="9"/>
  <c r="AM907" i="9"/>
  <c r="AL907" i="9"/>
  <c r="AK907" i="9"/>
  <c r="AO906" i="9"/>
  <c r="AN906" i="9"/>
  <c r="AM906" i="9"/>
  <c r="AL906" i="9"/>
  <c r="AK906" i="9"/>
  <c r="AO905" i="9"/>
  <c r="AN905" i="9"/>
  <c r="AM905" i="9"/>
  <c r="AL905" i="9"/>
  <c r="AK905" i="9"/>
  <c r="AO904" i="9"/>
  <c r="AN904" i="9"/>
  <c r="AM904" i="9"/>
  <c r="AL904" i="9"/>
  <c r="AK904" i="9"/>
  <c r="AO903" i="9"/>
  <c r="AN903" i="9"/>
  <c r="AM903" i="9"/>
  <c r="AL903" i="9"/>
  <c r="AK903" i="9"/>
  <c r="AO902" i="9"/>
  <c r="AN902" i="9"/>
  <c r="AM902" i="9"/>
  <c r="AL902" i="9"/>
  <c r="AK902" i="9"/>
  <c r="AO901" i="9"/>
  <c r="AN901" i="9"/>
  <c r="AM901" i="9"/>
  <c r="AL901" i="9"/>
  <c r="AK901" i="9"/>
  <c r="AO900" i="9"/>
  <c r="AN900" i="9"/>
  <c r="AM900" i="9"/>
  <c r="AL900" i="9"/>
  <c r="AK900" i="9"/>
  <c r="AO899" i="9"/>
  <c r="AN899" i="9"/>
  <c r="AM899" i="9"/>
  <c r="AL899" i="9"/>
  <c r="AK899" i="9"/>
  <c r="AO898" i="9"/>
  <c r="AN898" i="9"/>
  <c r="AM898" i="9"/>
  <c r="AL898" i="9"/>
  <c r="AK898" i="9"/>
  <c r="AO897" i="9"/>
  <c r="AN897" i="9"/>
  <c r="AM897" i="9"/>
  <c r="AL897" i="9"/>
  <c r="AK897" i="9"/>
  <c r="AO896" i="9"/>
  <c r="AN896" i="9"/>
  <c r="AM896" i="9"/>
  <c r="AL896" i="9"/>
  <c r="AK896" i="9"/>
  <c r="AO895" i="9"/>
  <c r="AN895" i="9"/>
  <c r="AM895" i="9"/>
  <c r="AL895" i="9"/>
  <c r="AK895" i="9"/>
  <c r="AO894" i="9"/>
  <c r="AN894" i="9"/>
  <c r="AM894" i="9"/>
  <c r="AL894" i="9"/>
  <c r="AK894" i="9"/>
  <c r="AO893" i="9"/>
  <c r="AN893" i="9"/>
  <c r="AM893" i="9"/>
  <c r="AL893" i="9"/>
  <c r="AK893" i="9"/>
  <c r="AO892" i="9"/>
  <c r="AN892" i="9"/>
  <c r="AM892" i="9"/>
  <c r="AL892" i="9"/>
  <c r="AK892" i="9"/>
  <c r="AO891" i="9"/>
  <c r="AN891" i="9"/>
  <c r="AM891" i="9"/>
  <c r="AL891" i="9"/>
  <c r="AK891" i="9"/>
  <c r="AO890" i="9"/>
  <c r="AN890" i="9"/>
  <c r="AM890" i="9"/>
  <c r="AL890" i="9"/>
  <c r="AK890" i="9"/>
  <c r="AO889" i="9"/>
  <c r="AN889" i="9"/>
  <c r="AM889" i="9"/>
  <c r="AL889" i="9"/>
  <c r="AK889" i="9"/>
  <c r="AO888" i="9"/>
  <c r="AN888" i="9"/>
  <c r="AM888" i="9"/>
  <c r="AL888" i="9"/>
  <c r="AK888" i="9"/>
  <c r="AO887" i="9"/>
  <c r="AN887" i="9"/>
  <c r="AM887" i="9"/>
  <c r="AL887" i="9"/>
  <c r="AK887" i="9"/>
  <c r="AO886" i="9"/>
  <c r="AN886" i="9"/>
  <c r="AM886" i="9"/>
  <c r="AL886" i="9"/>
  <c r="AK886" i="9"/>
  <c r="AO885" i="9"/>
  <c r="AN885" i="9"/>
  <c r="AM885" i="9"/>
  <c r="AL885" i="9"/>
  <c r="AK885" i="9"/>
  <c r="AO884" i="9"/>
  <c r="AN884" i="9"/>
  <c r="AM884" i="9"/>
  <c r="AL884" i="9"/>
  <c r="AK884" i="9"/>
  <c r="AO883" i="9"/>
  <c r="AN883" i="9"/>
  <c r="AM883" i="9"/>
  <c r="AL883" i="9"/>
  <c r="AK883" i="9"/>
  <c r="AO882" i="9"/>
  <c r="AN882" i="9"/>
  <c r="AM882" i="9"/>
  <c r="AL882" i="9"/>
  <c r="AK882" i="9"/>
  <c r="AO881" i="9"/>
  <c r="AN881" i="9"/>
  <c r="AM881" i="9"/>
  <c r="AL881" i="9"/>
  <c r="AK881" i="9"/>
  <c r="AO880" i="9"/>
  <c r="AN880" i="9"/>
  <c r="AM880" i="9"/>
  <c r="AL880" i="9"/>
  <c r="AK880" i="9"/>
  <c r="AO879" i="9"/>
  <c r="AN879" i="9"/>
  <c r="AM879" i="9"/>
  <c r="AL879" i="9"/>
  <c r="AK879" i="9"/>
  <c r="AO878" i="9"/>
  <c r="AN878" i="9"/>
  <c r="AM878" i="9"/>
  <c r="AL878" i="9"/>
  <c r="AK878" i="9"/>
  <c r="AO877" i="9"/>
  <c r="AN877" i="9"/>
  <c r="AM877" i="9"/>
  <c r="AL877" i="9"/>
  <c r="AK877" i="9"/>
  <c r="AO876" i="9"/>
  <c r="AN876" i="9"/>
  <c r="AM876" i="9"/>
  <c r="AL876" i="9"/>
  <c r="AK876" i="9"/>
  <c r="AO875" i="9"/>
  <c r="AN875" i="9"/>
  <c r="AM875" i="9"/>
  <c r="AL875" i="9"/>
  <c r="AK875" i="9"/>
  <c r="AO874" i="9"/>
  <c r="AN874" i="9"/>
  <c r="AM874" i="9"/>
  <c r="AL874" i="9"/>
  <c r="AK874" i="9"/>
  <c r="AO873" i="9"/>
  <c r="AN873" i="9"/>
  <c r="AM873" i="9"/>
  <c r="AL873" i="9"/>
  <c r="AK873" i="9"/>
  <c r="AO872" i="9"/>
  <c r="AN872" i="9"/>
  <c r="AM872" i="9"/>
  <c r="AL872" i="9"/>
  <c r="AK872" i="9"/>
  <c r="AO871" i="9"/>
  <c r="AN871" i="9"/>
  <c r="AM871" i="9"/>
  <c r="AL871" i="9"/>
  <c r="AK871" i="9"/>
  <c r="AO870" i="9"/>
  <c r="AN870" i="9"/>
  <c r="AM870" i="9"/>
  <c r="AL870" i="9"/>
  <c r="AK870" i="9"/>
  <c r="AO869" i="9"/>
  <c r="AN869" i="9"/>
  <c r="AM869" i="9"/>
  <c r="AL869" i="9"/>
  <c r="AK869" i="9"/>
  <c r="AO868" i="9"/>
  <c r="AN868" i="9"/>
  <c r="AM868" i="9"/>
  <c r="AL868" i="9"/>
  <c r="AK868" i="9"/>
  <c r="AO867" i="9"/>
  <c r="AN867" i="9"/>
  <c r="AM867" i="9"/>
  <c r="AL867" i="9"/>
  <c r="AK867" i="9"/>
  <c r="AO866" i="9"/>
  <c r="AN866" i="9"/>
  <c r="AM866" i="9"/>
  <c r="AL866" i="9"/>
  <c r="AK866" i="9"/>
  <c r="AO865" i="9"/>
  <c r="AN865" i="9"/>
  <c r="AM865" i="9"/>
  <c r="AL865" i="9"/>
  <c r="AK865" i="9"/>
  <c r="AO864" i="9"/>
  <c r="AN864" i="9"/>
  <c r="AM864" i="9"/>
  <c r="AL864" i="9"/>
  <c r="AK864" i="9"/>
  <c r="AO863" i="9"/>
  <c r="AN863" i="9"/>
  <c r="AM863" i="9"/>
  <c r="AL863" i="9"/>
  <c r="AK863" i="9"/>
  <c r="AO862" i="9"/>
  <c r="AN862" i="9"/>
  <c r="AM862" i="9"/>
  <c r="AL862" i="9"/>
  <c r="AK862" i="9"/>
  <c r="AO861" i="9"/>
  <c r="AN861" i="9"/>
  <c r="AM861" i="9"/>
  <c r="AL861" i="9"/>
  <c r="AK861" i="9"/>
  <c r="AO860" i="9"/>
  <c r="AN860" i="9"/>
  <c r="AM860" i="9"/>
  <c r="AL860" i="9"/>
  <c r="AK860" i="9"/>
  <c r="AO859" i="9"/>
  <c r="AN859" i="9"/>
  <c r="AM859" i="9"/>
  <c r="AL859" i="9"/>
  <c r="AK859" i="9"/>
  <c r="AO858" i="9"/>
  <c r="AN858" i="9"/>
  <c r="AM858" i="9"/>
  <c r="AL858" i="9"/>
  <c r="AK858" i="9"/>
  <c r="AO857" i="9"/>
  <c r="AN857" i="9"/>
  <c r="AM857" i="9"/>
  <c r="AL857" i="9"/>
  <c r="AK857" i="9"/>
  <c r="AO856" i="9"/>
  <c r="AN856" i="9"/>
  <c r="AM856" i="9"/>
  <c r="AL856" i="9"/>
  <c r="AK856" i="9"/>
  <c r="AO855" i="9"/>
  <c r="AN855" i="9"/>
  <c r="AM855" i="9"/>
  <c r="AL855" i="9"/>
  <c r="AK855" i="9"/>
  <c r="AO854" i="9"/>
  <c r="AN854" i="9"/>
  <c r="AM854" i="9"/>
  <c r="AL854" i="9"/>
  <c r="AK854" i="9"/>
  <c r="AO853" i="9"/>
  <c r="AN853" i="9"/>
  <c r="AM853" i="9"/>
  <c r="AL853" i="9"/>
  <c r="AK853" i="9"/>
  <c r="AO852" i="9"/>
  <c r="AN852" i="9"/>
  <c r="AM852" i="9"/>
  <c r="AL852" i="9"/>
  <c r="AK852" i="9"/>
  <c r="AO851" i="9"/>
  <c r="AN851" i="9"/>
  <c r="AM851" i="9"/>
  <c r="AL851" i="9"/>
  <c r="AK851" i="9"/>
  <c r="AO850" i="9"/>
  <c r="AN850" i="9"/>
  <c r="AM850" i="9"/>
  <c r="AL850" i="9"/>
  <c r="AK850" i="9"/>
  <c r="AO849" i="9"/>
  <c r="AN849" i="9"/>
  <c r="AM849" i="9"/>
  <c r="AL849" i="9"/>
  <c r="AK849" i="9"/>
  <c r="AO848" i="9"/>
  <c r="AN848" i="9"/>
  <c r="AM848" i="9"/>
  <c r="AL848" i="9"/>
  <c r="AK848" i="9"/>
  <c r="AO847" i="9"/>
  <c r="AN847" i="9"/>
  <c r="AM847" i="9"/>
  <c r="AL847" i="9"/>
  <c r="AK847" i="9"/>
  <c r="AO846" i="9"/>
  <c r="AN846" i="9"/>
  <c r="AM846" i="9"/>
  <c r="AL846" i="9"/>
  <c r="AK846" i="9"/>
  <c r="AO845" i="9"/>
  <c r="AN845" i="9"/>
  <c r="AM845" i="9"/>
  <c r="AL845" i="9"/>
  <c r="AK845" i="9"/>
  <c r="AO844" i="9"/>
  <c r="AN844" i="9"/>
  <c r="AM844" i="9"/>
  <c r="AL844" i="9"/>
  <c r="AK844" i="9"/>
  <c r="AO843" i="9"/>
  <c r="AN843" i="9"/>
  <c r="AM843" i="9"/>
  <c r="AL843" i="9"/>
  <c r="AK843" i="9"/>
  <c r="AO842" i="9"/>
  <c r="AN842" i="9"/>
  <c r="AM842" i="9"/>
  <c r="AL842" i="9"/>
  <c r="AK842" i="9"/>
  <c r="AO841" i="9"/>
  <c r="AN841" i="9"/>
  <c r="AM841" i="9"/>
  <c r="AL841" i="9"/>
  <c r="AK841" i="9"/>
  <c r="AO840" i="9"/>
  <c r="AN840" i="9"/>
  <c r="AM840" i="9"/>
  <c r="AL840" i="9"/>
  <c r="AK840" i="9"/>
  <c r="AO839" i="9"/>
  <c r="AN839" i="9"/>
  <c r="AM839" i="9"/>
  <c r="AL839" i="9"/>
  <c r="AK839" i="9"/>
  <c r="AO838" i="9"/>
  <c r="AN838" i="9"/>
  <c r="AM838" i="9"/>
  <c r="AL838" i="9"/>
  <c r="AK838" i="9"/>
  <c r="AO837" i="9"/>
  <c r="AN837" i="9"/>
  <c r="AM837" i="9"/>
  <c r="AL837" i="9"/>
  <c r="AK837" i="9"/>
  <c r="AO836" i="9"/>
  <c r="AN836" i="9"/>
  <c r="AM836" i="9"/>
  <c r="AL836" i="9"/>
  <c r="AK836" i="9"/>
  <c r="AO835" i="9"/>
  <c r="AN835" i="9"/>
  <c r="AM835" i="9"/>
  <c r="AL835" i="9"/>
  <c r="AK835" i="9"/>
  <c r="AO834" i="9"/>
  <c r="AN834" i="9"/>
  <c r="AM834" i="9"/>
  <c r="AL834" i="9"/>
  <c r="AK834" i="9"/>
  <c r="AO833" i="9"/>
  <c r="AN833" i="9"/>
  <c r="AM833" i="9"/>
  <c r="AL833" i="9"/>
  <c r="AK833" i="9"/>
  <c r="AO832" i="9"/>
  <c r="AN832" i="9"/>
  <c r="AM832" i="9"/>
  <c r="AL832" i="9"/>
  <c r="AK832" i="9"/>
  <c r="AO831" i="9"/>
  <c r="AN831" i="9"/>
  <c r="AM831" i="9"/>
  <c r="AL831" i="9"/>
  <c r="AK831" i="9"/>
  <c r="AO830" i="9"/>
  <c r="AN830" i="9"/>
  <c r="AM830" i="9"/>
  <c r="AL830" i="9"/>
  <c r="AK830" i="9"/>
  <c r="AO829" i="9"/>
  <c r="AN829" i="9"/>
  <c r="AM829" i="9"/>
  <c r="AL829" i="9"/>
  <c r="AK829" i="9"/>
  <c r="AO828" i="9"/>
  <c r="AN828" i="9"/>
  <c r="AM828" i="9"/>
  <c r="AL828" i="9"/>
  <c r="AK828" i="9"/>
  <c r="AO827" i="9"/>
  <c r="AN827" i="9"/>
  <c r="AM827" i="9"/>
  <c r="AL827" i="9"/>
  <c r="AK827" i="9"/>
  <c r="AO826" i="9"/>
  <c r="AN826" i="9"/>
  <c r="AM826" i="9"/>
  <c r="AL826" i="9"/>
  <c r="AK826" i="9"/>
  <c r="AO825" i="9"/>
  <c r="AN825" i="9"/>
  <c r="AM825" i="9"/>
  <c r="AL825" i="9"/>
  <c r="AK825" i="9"/>
  <c r="AO824" i="9"/>
  <c r="AN824" i="9"/>
  <c r="AM824" i="9"/>
  <c r="AL824" i="9"/>
  <c r="AK824" i="9"/>
  <c r="AO823" i="9"/>
  <c r="AN823" i="9"/>
  <c r="AM823" i="9"/>
  <c r="AL823" i="9"/>
  <c r="AK823" i="9"/>
  <c r="AO822" i="9"/>
  <c r="AN822" i="9"/>
  <c r="AM822" i="9"/>
  <c r="AL822" i="9"/>
  <c r="AK822" i="9"/>
  <c r="AO821" i="9"/>
  <c r="AN821" i="9"/>
  <c r="AM821" i="9"/>
  <c r="AL821" i="9"/>
  <c r="AK821" i="9"/>
  <c r="AO820" i="9"/>
  <c r="AN820" i="9"/>
  <c r="AM820" i="9"/>
  <c r="AL820" i="9"/>
  <c r="AK820" i="9"/>
  <c r="AO819" i="9"/>
  <c r="AN819" i="9"/>
  <c r="AM819" i="9"/>
  <c r="AL819" i="9"/>
  <c r="AK819" i="9"/>
  <c r="AO818" i="9"/>
  <c r="AN818" i="9"/>
  <c r="AM818" i="9"/>
  <c r="AL818" i="9"/>
  <c r="AK818" i="9"/>
  <c r="AO817" i="9"/>
  <c r="AN817" i="9"/>
  <c r="AM817" i="9"/>
  <c r="AL817" i="9"/>
  <c r="AK817" i="9"/>
  <c r="AO816" i="9"/>
  <c r="AN816" i="9"/>
  <c r="AM816" i="9"/>
  <c r="AL816" i="9"/>
  <c r="AK816" i="9"/>
  <c r="AO815" i="9"/>
  <c r="AN815" i="9"/>
  <c r="AM815" i="9"/>
  <c r="AL815" i="9"/>
  <c r="AK815" i="9"/>
  <c r="AO814" i="9"/>
  <c r="AN814" i="9"/>
  <c r="AM814" i="9"/>
  <c r="AL814" i="9"/>
  <c r="AK814" i="9"/>
  <c r="AO813" i="9"/>
  <c r="AN813" i="9"/>
  <c r="AM813" i="9"/>
  <c r="AL813" i="9"/>
  <c r="AK813" i="9"/>
  <c r="AO812" i="9"/>
  <c r="AN812" i="9"/>
  <c r="AM812" i="9"/>
  <c r="AL812" i="9"/>
  <c r="AK812" i="9"/>
  <c r="AO811" i="9"/>
  <c r="AN811" i="9"/>
  <c r="AM811" i="9"/>
  <c r="AL811" i="9"/>
  <c r="AK811" i="9"/>
  <c r="AO810" i="9"/>
  <c r="AN810" i="9"/>
  <c r="AM810" i="9"/>
  <c r="AL810" i="9"/>
  <c r="AK810" i="9"/>
  <c r="AO809" i="9"/>
  <c r="AN809" i="9"/>
  <c r="AM809" i="9"/>
  <c r="AL809" i="9"/>
  <c r="AK809" i="9"/>
  <c r="AO808" i="9"/>
  <c r="AN808" i="9"/>
  <c r="AM808" i="9"/>
  <c r="AL808" i="9"/>
  <c r="AK808" i="9"/>
  <c r="AO807" i="9"/>
  <c r="AN807" i="9"/>
  <c r="AM807" i="9"/>
  <c r="AL807" i="9"/>
  <c r="AK807" i="9"/>
  <c r="AO806" i="9"/>
  <c r="AN806" i="9"/>
  <c r="AM806" i="9"/>
  <c r="AL806" i="9"/>
  <c r="AK806" i="9"/>
  <c r="AO805" i="9"/>
  <c r="AN805" i="9"/>
  <c r="AM805" i="9"/>
  <c r="AL805" i="9"/>
  <c r="AK805" i="9"/>
  <c r="AO804" i="9"/>
  <c r="AN804" i="9"/>
  <c r="AM804" i="9"/>
  <c r="AL804" i="9"/>
  <c r="AK804" i="9"/>
  <c r="AO803" i="9"/>
  <c r="AN803" i="9"/>
  <c r="AM803" i="9"/>
  <c r="AL803" i="9"/>
  <c r="AK803" i="9"/>
  <c r="AO802" i="9"/>
  <c r="AN802" i="9"/>
  <c r="AM802" i="9"/>
  <c r="AL802" i="9"/>
  <c r="AK802" i="9"/>
  <c r="AO801" i="9"/>
  <c r="AN801" i="9"/>
  <c r="AM801" i="9"/>
  <c r="AL801" i="9"/>
  <c r="AK801" i="9"/>
  <c r="AO800" i="9"/>
  <c r="AN800" i="9"/>
  <c r="AM800" i="9"/>
  <c r="AL800" i="9"/>
  <c r="AK800" i="9"/>
  <c r="AO799" i="9"/>
  <c r="AN799" i="9"/>
  <c r="AM799" i="9"/>
  <c r="AL799" i="9"/>
  <c r="AK799" i="9"/>
  <c r="AO798" i="9"/>
  <c r="AN798" i="9"/>
  <c r="AM798" i="9"/>
  <c r="AL798" i="9"/>
  <c r="AK798" i="9"/>
  <c r="AO797" i="9"/>
  <c r="AN797" i="9"/>
  <c r="AM797" i="9"/>
  <c r="AL797" i="9"/>
  <c r="AK797" i="9"/>
  <c r="AO796" i="9"/>
  <c r="AN796" i="9"/>
  <c r="AM796" i="9"/>
  <c r="AL796" i="9"/>
  <c r="AK796" i="9"/>
  <c r="AO795" i="9"/>
  <c r="AN795" i="9"/>
  <c r="AM795" i="9"/>
  <c r="AL795" i="9"/>
  <c r="AK795" i="9"/>
  <c r="AO794" i="9"/>
  <c r="AN794" i="9"/>
  <c r="AM794" i="9"/>
  <c r="AL794" i="9"/>
  <c r="AK794" i="9"/>
  <c r="AO793" i="9"/>
  <c r="AN793" i="9"/>
  <c r="AM793" i="9"/>
  <c r="AL793" i="9"/>
  <c r="AK793" i="9"/>
  <c r="AO792" i="9"/>
  <c r="AN792" i="9"/>
  <c r="AM792" i="9"/>
  <c r="AL792" i="9"/>
  <c r="AK792" i="9"/>
  <c r="AO791" i="9"/>
  <c r="AN791" i="9"/>
  <c r="AM791" i="9"/>
  <c r="AL791" i="9"/>
  <c r="AK791" i="9"/>
  <c r="AO790" i="9"/>
  <c r="AN790" i="9"/>
  <c r="AM790" i="9"/>
  <c r="AL790" i="9"/>
  <c r="AK790" i="9"/>
  <c r="AO789" i="9"/>
  <c r="AN789" i="9"/>
  <c r="AM789" i="9"/>
  <c r="AL789" i="9"/>
  <c r="AK789" i="9"/>
  <c r="AO788" i="9"/>
  <c r="AN788" i="9"/>
  <c r="AM788" i="9"/>
  <c r="AL788" i="9"/>
  <c r="AK788" i="9"/>
  <c r="AO787" i="9"/>
  <c r="AN787" i="9"/>
  <c r="AM787" i="9"/>
  <c r="AL787" i="9"/>
  <c r="AK787" i="9"/>
  <c r="AO786" i="9"/>
  <c r="AN786" i="9"/>
  <c r="AM786" i="9"/>
  <c r="AL786" i="9"/>
  <c r="AK786" i="9"/>
  <c r="AO785" i="9"/>
  <c r="AN785" i="9"/>
  <c r="AM785" i="9"/>
  <c r="AL785" i="9"/>
  <c r="AK785" i="9"/>
  <c r="AO784" i="9"/>
  <c r="AN784" i="9"/>
  <c r="AM784" i="9"/>
  <c r="AL784" i="9"/>
  <c r="AK784" i="9"/>
  <c r="AO783" i="9"/>
  <c r="AN783" i="9"/>
  <c r="AM783" i="9"/>
  <c r="AL783" i="9"/>
  <c r="AK783" i="9"/>
  <c r="AO782" i="9"/>
  <c r="AN782" i="9"/>
  <c r="AM782" i="9"/>
  <c r="AL782" i="9"/>
  <c r="AK782" i="9"/>
  <c r="AO781" i="9"/>
  <c r="AN781" i="9"/>
  <c r="AM781" i="9"/>
  <c r="AL781" i="9"/>
  <c r="AK781" i="9"/>
  <c r="AO780" i="9"/>
  <c r="AN780" i="9"/>
  <c r="AM780" i="9"/>
  <c r="AL780" i="9"/>
  <c r="AK780" i="9"/>
  <c r="AO779" i="9"/>
  <c r="AN779" i="9"/>
  <c r="AM779" i="9"/>
  <c r="AL779" i="9"/>
  <c r="AK779" i="9"/>
  <c r="AO778" i="9"/>
  <c r="AN778" i="9"/>
  <c r="AM778" i="9"/>
  <c r="AL778" i="9"/>
  <c r="AK778" i="9"/>
  <c r="AO777" i="9"/>
  <c r="AN777" i="9"/>
  <c r="AM777" i="9"/>
  <c r="AL777" i="9"/>
  <c r="AK777" i="9"/>
  <c r="AO776" i="9"/>
  <c r="AN776" i="9"/>
  <c r="AM776" i="9"/>
  <c r="AL776" i="9"/>
  <c r="AK776" i="9"/>
  <c r="AO775" i="9"/>
  <c r="AN775" i="9"/>
  <c r="AM775" i="9"/>
  <c r="AL775" i="9"/>
  <c r="AK775" i="9"/>
  <c r="AO774" i="9"/>
  <c r="AN774" i="9"/>
  <c r="AM774" i="9"/>
  <c r="AL774" i="9"/>
  <c r="AK774" i="9"/>
  <c r="AO773" i="9"/>
  <c r="AN773" i="9"/>
  <c r="AM773" i="9"/>
  <c r="AL773" i="9"/>
  <c r="AK773" i="9"/>
  <c r="AO772" i="9"/>
  <c r="AN772" i="9"/>
  <c r="AM772" i="9"/>
  <c r="AL772" i="9"/>
  <c r="AK772" i="9"/>
  <c r="AO771" i="9"/>
  <c r="AN771" i="9"/>
  <c r="AM771" i="9"/>
  <c r="AL771" i="9"/>
  <c r="AK771" i="9"/>
  <c r="AO770" i="9"/>
  <c r="AN770" i="9"/>
  <c r="AM770" i="9"/>
  <c r="AL770" i="9"/>
  <c r="AK770" i="9"/>
  <c r="AO769" i="9"/>
  <c r="AN769" i="9"/>
  <c r="AM769" i="9"/>
  <c r="AL769" i="9"/>
  <c r="AK769" i="9"/>
  <c r="AO768" i="9"/>
  <c r="AN768" i="9"/>
  <c r="AM768" i="9"/>
  <c r="AL768" i="9"/>
  <c r="AK768" i="9"/>
  <c r="AO767" i="9"/>
  <c r="AN767" i="9"/>
  <c r="AM767" i="9"/>
  <c r="AL767" i="9"/>
  <c r="AK767" i="9"/>
  <c r="AO766" i="9"/>
  <c r="AN766" i="9"/>
  <c r="AM766" i="9"/>
  <c r="AL766" i="9"/>
  <c r="AK766" i="9"/>
  <c r="AO765" i="9"/>
  <c r="AN765" i="9"/>
  <c r="AM765" i="9"/>
  <c r="AL765" i="9"/>
  <c r="AK765" i="9"/>
  <c r="AO764" i="9"/>
  <c r="AN764" i="9"/>
  <c r="AM764" i="9"/>
  <c r="AL764" i="9"/>
  <c r="AK764" i="9"/>
  <c r="AO763" i="9"/>
  <c r="AN763" i="9"/>
  <c r="AM763" i="9"/>
  <c r="AL763" i="9"/>
  <c r="AK763" i="9"/>
  <c r="AO762" i="9"/>
  <c r="AN762" i="9"/>
  <c r="AM762" i="9"/>
  <c r="AL762" i="9"/>
  <c r="AK762" i="9"/>
  <c r="AO761" i="9"/>
  <c r="AN761" i="9"/>
  <c r="AM761" i="9"/>
  <c r="AL761" i="9"/>
  <c r="AK761" i="9"/>
  <c r="AO760" i="9"/>
  <c r="AN760" i="9"/>
  <c r="AM760" i="9"/>
  <c r="AL760" i="9"/>
  <c r="AK760" i="9"/>
  <c r="AO759" i="9"/>
  <c r="AN759" i="9"/>
  <c r="AM759" i="9"/>
  <c r="AL759" i="9"/>
  <c r="AK759" i="9"/>
  <c r="AO758" i="9"/>
  <c r="AN758" i="9"/>
  <c r="AM758" i="9"/>
  <c r="AL758" i="9"/>
  <c r="AK758" i="9"/>
  <c r="AO757" i="9"/>
  <c r="AN757" i="9"/>
  <c r="AM757" i="9"/>
  <c r="AL757" i="9"/>
  <c r="AK757" i="9"/>
  <c r="AO756" i="9"/>
  <c r="AN756" i="9"/>
  <c r="AM756" i="9"/>
  <c r="AL756" i="9"/>
  <c r="AK756" i="9"/>
  <c r="AO755" i="9"/>
  <c r="AN755" i="9"/>
  <c r="AM755" i="9"/>
  <c r="AL755" i="9"/>
  <c r="AK755" i="9"/>
  <c r="AO754" i="9"/>
  <c r="AN754" i="9"/>
  <c r="AM754" i="9"/>
  <c r="AL754" i="9"/>
  <c r="AK754" i="9"/>
  <c r="AO753" i="9"/>
  <c r="AN753" i="9"/>
  <c r="AM753" i="9"/>
  <c r="AL753" i="9"/>
  <c r="AK753" i="9"/>
  <c r="AO752" i="9"/>
  <c r="AN752" i="9"/>
  <c r="AM752" i="9"/>
  <c r="AL752" i="9"/>
  <c r="AK752" i="9"/>
  <c r="AO751" i="9"/>
  <c r="AN751" i="9"/>
  <c r="AM751" i="9"/>
  <c r="AL751" i="9"/>
  <c r="AK751" i="9"/>
  <c r="AO750" i="9"/>
  <c r="AN750" i="9"/>
  <c r="AM750" i="9"/>
  <c r="AL750" i="9"/>
  <c r="AK750" i="9"/>
  <c r="AO749" i="9"/>
  <c r="AN749" i="9"/>
  <c r="AM749" i="9"/>
  <c r="AL749" i="9"/>
  <c r="AK749" i="9"/>
  <c r="AO748" i="9"/>
  <c r="AN748" i="9"/>
  <c r="AM748" i="9"/>
  <c r="AL748" i="9"/>
  <c r="AK748" i="9"/>
  <c r="AO747" i="9"/>
  <c r="AN747" i="9"/>
  <c r="AM747" i="9"/>
  <c r="AL747" i="9"/>
  <c r="AK747" i="9"/>
  <c r="AO746" i="9"/>
  <c r="AN746" i="9"/>
  <c r="AM746" i="9"/>
  <c r="AL746" i="9"/>
  <c r="AK746" i="9"/>
  <c r="AO745" i="9"/>
  <c r="AN745" i="9"/>
  <c r="AM745" i="9"/>
  <c r="AL745" i="9"/>
  <c r="AK745" i="9"/>
  <c r="AO744" i="9"/>
  <c r="AN744" i="9"/>
  <c r="AM744" i="9"/>
  <c r="AL744" i="9"/>
  <c r="AK744" i="9"/>
  <c r="AO743" i="9"/>
  <c r="AN743" i="9"/>
  <c r="AM743" i="9"/>
  <c r="AL743" i="9"/>
  <c r="AK743" i="9"/>
  <c r="AO742" i="9"/>
  <c r="AN742" i="9"/>
  <c r="AM742" i="9"/>
  <c r="AL742" i="9"/>
  <c r="AK742" i="9"/>
  <c r="AO741" i="9"/>
  <c r="AN741" i="9"/>
  <c r="AM741" i="9"/>
  <c r="AL741" i="9"/>
  <c r="AK741" i="9"/>
  <c r="AO740" i="9"/>
  <c r="AN740" i="9"/>
  <c r="AM740" i="9"/>
  <c r="AL740" i="9"/>
  <c r="AK740" i="9"/>
  <c r="AO739" i="9"/>
  <c r="AN739" i="9"/>
  <c r="AM739" i="9"/>
  <c r="AL739" i="9"/>
  <c r="AK739" i="9"/>
  <c r="AO738" i="9"/>
  <c r="AN738" i="9"/>
  <c r="AM738" i="9"/>
  <c r="AL738" i="9"/>
  <c r="AK738" i="9"/>
  <c r="AO737" i="9"/>
  <c r="AN737" i="9"/>
  <c r="AM737" i="9"/>
  <c r="AL737" i="9"/>
  <c r="AK737" i="9"/>
  <c r="AO736" i="9"/>
  <c r="AN736" i="9"/>
  <c r="AM736" i="9"/>
  <c r="AL736" i="9"/>
  <c r="AK736" i="9"/>
  <c r="AO735" i="9"/>
  <c r="AN735" i="9"/>
  <c r="AM735" i="9"/>
  <c r="AL735" i="9"/>
  <c r="AK735" i="9"/>
  <c r="AO734" i="9"/>
  <c r="AN734" i="9"/>
  <c r="AM734" i="9"/>
  <c r="AL734" i="9"/>
  <c r="AK734" i="9"/>
  <c r="AO733" i="9"/>
  <c r="AN733" i="9"/>
  <c r="AM733" i="9"/>
  <c r="AL733" i="9"/>
  <c r="AK733" i="9"/>
  <c r="AO732" i="9"/>
  <c r="AN732" i="9"/>
  <c r="AM732" i="9"/>
  <c r="AL732" i="9"/>
  <c r="AK732" i="9"/>
  <c r="AO731" i="9"/>
  <c r="AN731" i="9"/>
  <c r="AM731" i="9"/>
  <c r="AL731" i="9"/>
  <c r="AK731" i="9"/>
  <c r="AO730" i="9"/>
  <c r="AN730" i="9"/>
  <c r="AM730" i="9"/>
  <c r="AL730" i="9"/>
  <c r="AK730" i="9"/>
  <c r="AO729" i="9"/>
  <c r="AN729" i="9"/>
  <c r="AM729" i="9"/>
  <c r="AL729" i="9"/>
  <c r="AK729" i="9"/>
  <c r="AO728" i="9"/>
  <c r="AN728" i="9"/>
  <c r="AM728" i="9"/>
  <c r="AL728" i="9"/>
  <c r="AK728" i="9"/>
  <c r="AO727" i="9"/>
  <c r="AN727" i="9"/>
  <c r="AM727" i="9"/>
  <c r="AL727" i="9"/>
  <c r="AK727" i="9"/>
  <c r="AO726" i="9"/>
  <c r="AN726" i="9"/>
  <c r="AM726" i="9"/>
  <c r="AL726" i="9"/>
  <c r="AK726" i="9"/>
  <c r="AO725" i="9"/>
  <c r="AN725" i="9"/>
  <c r="AM725" i="9"/>
  <c r="AL725" i="9"/>
  <c r="AK725" i="9"/>
  <c r="AO724" i="9"/>
  <c r="AN724" i="9"/>
  <c r="AM724" i="9"/>
  <c r="AL724" i="9"/>
  <c r="AK724" i="9"/>
  <c r="AO723" i="9"/>
  <c r="AN723" i="9"/>
  <c r="AM723" i="9"/>
  <c r="AL723" i="9"/>
  <c r="AK723" i="9"/>
  <c r="AO722" i="9"/>
  <c r="AN722" i="9"/>
  <c r="AM722" i="9"/>
  <c r="AL722" i="9"/>
  <c r="AK722" i="9"/>
  <c r="AO721" i="9"/>
  <c r="AN721" i="9"/>
  <c r="AM721" i="9"/>
  <c r="AL721" i="9"/>
  <c r="AK721" i="9"/>
  <c r="AO720" i="9"/>
  <c r="AN720" i="9"/>
  <c r="AM720" i="9"/>
  <c r="AL720" i="9"/>
  <c r="AK720" i="9"/>
  <c r="AO719" i="9"/>
  <c r="AN719" i="9"/>
  <c r="AM719" i="9"/>
  <c r="AL719" i="9"/>
  <c r="AK719" i="9"/>
  <c r="AO718" i="9"/>
  <c r="AN718" i="9"/>
  <c r="AM718" i="9"/>
  <c r="AL718" i="9"/>
  <c r="AK718" i="9"/>
  <c r="AO717" i="9"/>
  <c r="AN717" i="9"/>
  <c r="AM717" i="9"/>
  <c r="AL717" i="9"/>
  <c r="AK717" i="9"/>
  <c r="AO716" i="9"/>
  <c r="AN716" i="9"/>
  <c r="AM716" i="9"/>
  <c r="AL716" i="9"/>
  <c r="AK716" i="9"/>
  <c r="AO715" i="9"/>
  <c r="AN715" i="9"/>
  <c r="AM715" i="9"/>
  <c r="AL715" i="9"/>
  <c r="AK715" i="9"/>
  <c r="AO714" i="9"/>
  <c r="AN714" i="9"/>
  <c r="AM714" i="9"/>
  <c r="AL714" i="9"/>
  <c r="AK714" i="9"/>
  <c r="AO713" i="9"/>
  <c r="AN713" i="9"/>
  <c r="AM713" i="9"/>
  <c r="AL713" i="9"/>
  <c r="AK713" i="9"/>
  <c r="AO712" i="9"/>
  <c r="AN712" i="9"/>
  <c r="AM712" i="9"/>
  <c r="AL712" i="9"/>
  <c r="AK712" i="9"/>
  <c r="AO711" i="9"/>
  <c r="AN711" i="9"/>
  <c r="AM711" i="9"/>
  <c r="AL711" i="9"/>
  <c r="AK711" i="9"/>
  <c r="AO710" i="9"/>
  <c r="AN710" i="9"/>
  <c r="AM710" i="9"/>
  <c r="AL710" i="9"/>
  <c r="AK710" i="9"/>
  <c r="AO709" i="9"/>
  <c r="AN709" i="9"/>
  <c r="AM709" i="9"/>
  <c r="AL709" i="9"/>
  <c r="AK709" i="9"/>
  <c r="AO708" i="9"/>
  <c r="AN708" i="9"/>
  <c r="AM708" i="9"/>
  <c r="AL708" i="9"/>
  <c r="AK708" i="9"/>
  <c r="AO707" i="9"/>
  <c r="AN707" i="9"/>
  <c r="AM707" i="9"/>
  <c r="AL707" i="9"/>
  <c r="AK707" i="9"/>
  <c r="AO706" i="9"/>
  <c r="AN706" i="9"/>
  <c r="AM706" i="9"/>
  <c r="AL706" i="9"/>
  <c r="AK706" i="9"/>
  <c r="AO705" i="9"/>
  <c r="AN705" i="9"/>
  <c r="AM705" i="9"/>
  <c r="AL705" i="9"/>
  <c r="AK705" i="9"/>
  <c r="AO704" i="9"/>
  <c r="AN704" i="9"/>
  <c r="AM704" i="9"/>
  <c r="AL704" i="9"/>
  <c r="AK704" i="9"/>
  <c r="AO703" i="9"/>
  <c r="AN703" i="9"/>
  <c r="AM703" i="9"/>
  <c r="AL703" i="9"/>
  <c r="AK703" i="9"/>
  <c r="AO702" i="9"/>
  <c r="AN702" i="9"/>
  <c r="AM702" i="9"/>
  <c r="AL702" i="9"/>
  <c r="AK702" i="9"/>
  <c r="AO701" i="9"/>
  <c r="AN701" i="9"/>
  <c r="AM701" i="9"/>
  <c r="AL701" i="9"/>
  <c r="AK701" i="9"/>
  <c r="AO700" i="9"/>
  <c r="AN700" i="9"/>
  <c r="AM700" i="9"/>
  <c r="AL700" i="9"/>
  <c r="AK700" i="9"/>
  <c r="AO699" i="9"/>
  <c r="AN699" i="9"/>
  <c r="AM699" i="9"/>
  <c r="AL699" i="9"/>
  <c r="AK699" i="9"/>
  <c r="AO698" i="9"/>
  <c r="AN698" i="9"/>
  <c r="AM698" i="9"/>
  <c r="AL698" i="9"/>
  <c r="AK698" i="9"/>
  <c r="AO697" i="9"/>
  <c r="AN697" i="9"/>
  <c r="AM697" i="9"/>
  <c r="AL697" i="9"/>
  <c r="AK697" i="9"/>
  <c r="AO696" i="9"/>
  <c r="AN696" i="9"/>
  <c r="AM696" i="9"/>
  <c r="AL696" i="9"/>
  <c r="AK696" i="9"/>
  <c r="AO695" i="9"/>
  <c r="AN695" i="9"/>
  <c r="AM695" i="9"/>
  <c r="AL695" i="9"/>
  <c r="AK695" i="9"/>
  <c r="AO694" i="9"/>
  <c r="AN694" i="9"/>
  <c r="AM694" i="9"/>
  <c r="AL694" i="9"/>
  <c r="AK694" i="9"/>
  <c r="AO693" i="9"/>
  <c r="AN693" i="9"/>
  <c r="AM693" i="9"/>
  <c r="AL693" i="9"/>
  <c r="AK693" i="9"/>
  <c r="AO692" i="9"/>
  <c r="AN692" i="9"/>
  <c r="AM692" i="9"/>
  <c r="AL692" i="9"/>
  <c r="AK692" i="9"/>
  <c r="AO691" i="9"/>
  <c r="AN691" i="9"/>
  <c r="AM691" i="9"/>
  <c r="AL691" i="9"/>
  <c r="AK691" i="9"/>
  <c r="AO690" i="9"/>
  <c r="AN690" i="9"/>
  <c r="AM690" i="9"/>
  <c r="AL690" i="9"/>
  <c r="AK690" i="9"/>
  <c r="AO689" i="9"/>
  <c r="AN689" i="9"/>
  <c r="AM689" i="9"/>
  <c r="AL689" i="9"/>
  <c r="AK689" i="9"/>
  <c r="AO688" i="9"/>
  <c r="AN688" i="9"/>
  <c r="AM688" i="9"/>
  <c r="AL688" i="9"/>
  <c r="AK688" i="9"/>
  <c r="AO687" i="9"/>
  <c r="AN687" i="9"/>
  <c r="AM687" i="9"/>
  <c r="AL687" i="9"/>
  <c r="AK687" i="9"/>
  <c r="AO686" i="9"/>
  <c r="AN686" i="9"/>
  <c r="AM686" i="9"/>
  <c r="AL686" i="9"/>
  <c r="AK686" i="9"/>
  <c r="AO685" i="9"/>
  <c r="AN685" i="9"/>
  <c r="AM685" i="9"/>
  <c r="AL685" i="9"/>
  <c r="AK685" i="9"/>
  <c r="AO684" i="9"/>
  <c r="AN684" i="9"/>
  <c r="AM684" i="9"/>
  <c r="AL684" i="9"/>
  <c r="AK684" i="9"/>
  <c r="AO683" i="9"/>
  <c r="AN683" i="9"/>
  <c r="AM683" i="9"/>
  <c r="AL683" i="9"/>
  <c r="AK683" i="9"/>
  <c r="AO682" i="9"/>
  <c r="AN682" i="9"/>
  <c r="AM682" i="9"/>
  <c r="AL682" i="9"/>
  <c r="AK682" i="9"/>
  <c r="AO681" i="9"/>
  <c r="AN681" i="9"/>
  <c r="AM681" i="9"/>
  <c r="AL681" i="9"/>
  <c r="AK681" i="9"/>
  <c r="AO680" i="9"/>
  <c r="AN680" i="9"/>
  <c r="AM680" i="9"/>
  <c r="AL680" i="9"/>
  <c r="AK680" i="9"/>
  <c r="AO679" i="9"/>
  <c r="AN679" i="9"/>
  <c r="AM679" i="9"/>
  <c r="AL679" i="9"/>
  <c r="AK679" i="9"/>
  <c r="AO678" i="9"/>
  <c r="AN678" i="9"/>
  <c r="AM678" i="9"/>
  <c r="AL678" i="9"/>
  <c r="AK678" i="9"/>
  <c r="AO677" i="9"/>
  <c r="AN677" i="9"/>
  <c r="AM677" i="9"/>
  <c r="AL677" i="9"/>
  <c r="AK677" i="9"/>
  <c r="AO676" i="9"/>
  <c r="AN676" i="9"/>
  <c r="AM676" i="9"/>
  <c r="AL676" i="9"/>
  <c r="AK676" i="9"/>
  <c r="AO675" i="9"/>
  <c r="AN675" i="9"/>
  <c r="AM675" i="9"/>
  <c r="AL675" i="9"/>
  <c r="AK675" i="9"/>
  <c r="AO674" i="9"/>
  <c r="AN674" i="9"/>
  <c r="AM674" i="9"/>
  <c r="AL674" i="9"/>
  <c r="AK674" i="9"/>
  <c r="AO673" i="9"/>
  <c r="AN673" i="9"/>
  <c r="AM673" i="9"/>
  <c r="AL673" i="9"/>
  <c r="AK673" i="9"/>
  <c r="AO672" i="9"/>
  <c r="AN672" i="9"/>
  <c r="AM672" i="9"/>
  <c r="AL672" i="9"/>
  <c r="AK672" i="9"/>
  <c r="AO671" i="9"/>
  <c r="AN671" i="9"/>
  <c r="AM671" i="9"/>
  <c r="AL671" i="9"/>
  <c r="AK671" i="9"/>
  <c r="AO670" i="9"/>
  <c r="AN670" i="9"/>
  <c r="AM670" i="9"/>
  <c r="AL670" i="9"/>
  <c r="AK670" i="9"/>
  <c r="AO669" i="9"/>
  <c r="AN669" i="9"/>
  <c r="AM669" i="9"/>
  <c r="AL669" i="9"/>
  <c r="AK669" i="9"/>
  <c r="AO668" i="9"/>
  <c r="AN668" i="9"/>
  <c r="AM668" i="9"/>
  <c r="AL668" i="9"/>
  <c r="AK668" i="9"/>
  <c r="AO667" i="9"/>
  <c r="AN667" i="9"/>
  <c r="AM667" i="9"/>
  <c r="AL667" i="9"/>
  <c r="AK667" i="9"/>
  <c r="AO666" i="9"/>
  <c r="AN666" i="9"/>
  <c r="AM666" i="9"/>
  <c r="AL666" i="9"/>
  <c r="AK666" i="9"/>
  <c r="AO665" i="9"/>
  <c r="AN665" i="9"/>
  <c r="AM665" i="9"/>
  <c r="AL665" i="9"/>
  <c r="AK665" i="9"/>
  <c r="AO664" i="9"/>
  <c r="AN664" i="9"/>
  <c r="AM664" i="9"/>
  <c r="AL664" i="9"/>
  <c r="AK664" i="9"/>
  <c r="AO663" i="9"/>
  <c r="AN663" i="9"/>
  <c r="AM663" i="9"/>
  <c r="AL663" i="9"/>
  <c r="AK663" i="9"/>
  <c r="AO662" i="9"/>
  <c r="AN662" i="9"/>
  <c r="AM662" i="9"/>
  <c r="AL662" i="9"/>
  <c r="AK662" i="9"/>
  <c r="AO661" i="9"/>
  <c r="AN661" i="9"/>
  <c r="AM661" i="9"/>
  <c r="AL661" i="9"/>
  <c r="AK661" i="9"/>
  <c r="AO660" i="9"/>
  <c r="AN660" i="9"/>
  <c r="AM660" i="9"/>
  <c r="AL660" i="9"/>
  <c r="AK660" i="9"/>
  <c r="AO659" i="9"/>
  <c r="AN659" i="9"/>
  <c r="AM659" i="9"/>
  <c r="AL659" i="9"/>
  <c r="AK659" i="9"/>
  <c r="AO658" i="9"/>
  <c r="AN658" i="9"/>
  <c r="AM658" i="9"/>
  <c r="AL658" i="9"/>
  <c r="AK658" i="9"/>
  <c r="AO657" i="9"/>
  <c r="AN657" i="9"/>
  <c r="AM657" i="9"/>
  <c r="AL657" i="9"/>
  <c r="AK657" i="9"/>
  <c r="AO656" i="9"/>
  <c r="AN656" i="9"/>
  <c r="AM656" i="9"/>
  <c r="AL656" i="9"/>
  <c r="AK656" i="9"/>
  <c r="AO655" i="9"/>
  <c r="AN655" i="9"/>
  <c r="AM655" i="9"/>
  <c r="AL655" i="9"/>
  <c r="AK655" i="9"/>
  <c r="AO654" i="9"/>
  <c r="AN654" i="9"/>
  <c r="AM654" i="9"/>
  <c r="AL654" i="9"/>
  <c r="AK654" i="9"/>
  <c r="AO653" i="9"/>
  <c r="AN653" i="9"/>
  <c r="AM653" i="9"/>
  <c r="AL653" i="9"/>
  <c r="AK653" i="9"/>
  <c r="AO652" i="9"/>
  <c r="AN652" i="9"/>
  <c r="AM652" i="9"/>
  <c r="AL652" i="9"/>
  <c r="AK652" i="9"/>
  <c r="AO651" i="9"/>
  <c r="AN651" i="9"/>
  <c r="AM651" i="9"/>
  <c r="AL651" i="9"/>
  <c r="AK651" i="9"/>
  <c r="AO650" i="9"/>
  <c r="AN650" i="9"/>
  <c r="AM650" i="9"/>
  <c r="AL650" i="9"/>
  <c r="AK650" i="9"/>
  <c r="AO649" i="9"/>
  <c r="AN649" i="9"/>
  <c r="AM649" i="9"/>
  <c r="AL649" i="9"/>
  <c r="AK649" i="9"/>
  <c r="AO648" i="9"/>
  <c r="AN648" i="9"/>
  <c r="AM648" i="9"/>
  <c r="AL648" i="9"/>
  <c r="AK648" i="9"/>
  <c r="AO647" i="9"/>
  <c r="AN647" i="9"/>
  <c r="AM647" i="9"/>
  <c r="AL647" i="9"/>
  <c r="AK647" i="9"/>
  <c r="AO646" i="9"/>
  <c r="AN646" i="9"/>
  <c r="AM646" i="9"/>
  <c r="AL646" i="9"/>
  <c r="AK646" i="9"/>
  <c r="AO645" i="9"/>
  <c r="AN645" i="9"/>
  <c r="AM645" i="9"/>
  <c r="AL645" i="9"/>
  <c r="AK645" i="9"/>
  <c r="AO644" i="9"/>
  <c r="AN644" i="9"/>
  <c r="AM644" i="9"/>
  <c r="AL644" i="9"/>
  <c r="AK644" i="9"/>
  <c r="AO643" i="9"/>
  <c r="AN643" i="9"/>
  <c r="AM643" i="9"/>
  <c r="AL643" i="9"/>
  <c r="AK643" i="9"/>
  <c r="AO642" i="9"/>
  <c r="AN642" i="9"/>
  <c r="AM642" i="9"/>
  <c r="AL642" i="9"/>
  <c r="AK642" i="9"/>
  <c r="AO641" i="9"/>
  <c r="AN641" i="9"/>
  <c r="AM641" i="9"/>
  <c r="AL641" i="9"/>
  <c r="AK641" i="9"/>
  <c r="AO640" i="9"/>
  <c r="AN640" i="9"/>
  <c r="AM640" i="9"/>
  <c r="AL640" i="9"/>
  <c r="AK640" i="9"/>
  <c r="AO639" i="9"/>
  <c r="AN639" i="9"/>
  <c r="AM639" i="9"/>
  <c r="AL639" i="9"/>
  <c r="AK639" i="9"/>
  <c r="AO638" i="9"/>
  <c r="AN638" i="9"/>
  <c r="AM638" i="9"/>
  <c r="AL638" i="9"/>
  <c r="AK638" i="9"/>
  <c r="AO637" i="9"/>
  <c r="AN637" i="9"/>
  <c r="AM637" i="9"/>
  <c r="AL637" i="9"/>
  <c r="AK637" i="9"/>
  <c r="AO636" i="9"/>
  <c r="AN636" i="9"/>
  <c r="AM636" i="9"/>
  <c r="AL636" i="9"/>
  <c r="AK636" i="9"/>
  <c r="AO635" i="9"/>
  <c r="AN635" i="9"/>
  <c r="AM635" i="9"/>
  <c r="AL635" i="9"/>
  <c r="AK635" i="9"/>
  <c r="AO634" i="9"/>
  <c r="AN634" i="9"/>
  <c r="AM634" i="9"/>
  <c r="AL634" i="9"/>
  <c r="AK634" i="9"/>
  <c r="AO633" i="9"/>
  <c r="AN633" i="9"/>
  <c r="AM633" i="9"/>
  <c r="AL633" i="9"/>
  <c r="AK633" i="9"/>
  <c r="AO632" i="9"/>
  <c r="AN632" i="9"/>
  <c r="AM632" i="9"/>
  <c r="AL632" i="9"/>
  <c r="AK632" i="9"/>
  <c r="AO631" i="9"/>
  <c r="AN631" i="9"/>
  <c r="AM631" i="9"/>
  <c r="AL631" i="9"/>
  <c r="AK631" i="9"/>
  <c r="AO630" i="9"/>
  <c r="AN630" i="9"/>
  <c r="AM630" i="9"/>
  <c r="AL630" i="9"/>
  <c r="AK630" i="9"/>
  <c r="AO629" i="9"/>
  <c r="AN629" i="9"/>
  <c r="AM629" i="9"/>
  <c r="AL629" i="9"/>
  <c r="AK629" i="9"/>
  <c r="AO628" i="9"/>
  <c r="AN628" i="9"/>
  <c r="AM628" i="9"/>
  <c r="AL628" i="9"/>
  <c r="AK628" i="9"/>
  <c r="AO627" i="9"/>
  <c r="AN627" i="9"/>
  <c r="AM627" i="9"/>
  <c r="AL627" i="9"/>
  <c r="AK627" i="9"/>
  <c r="AO626" i="9"/>
  <c r="AN626" i="9"/>
  <c r="AM626" i="9"/>
  <c r="AL626" i="9"/>
  <c r="AK626" i="9"/>
  <c r="AO625" i="9"/>
  <c r="AN625" i="9"/>
  <c r="AM625" i="9"/>
  <c r="AL625" i="9"/>
  <c r="AK625" i="9"/>
  <c r="AO624" i="9"/>
  <c r="AN624" i="9"/>
  <c r="AM624" i="9"/>
  <c r="AL624" i="9"/>
  <c r="AK624" i="9"/>
  <c r="AO623" i="9"/>
  <c r="AN623" i="9"/>
  <c r="AM623" i="9"/>
  <c r="AL623" i="9"/>
  <c r="AK623" i="9"/>
  <c r="AO622" i="9"/>
  <c r="AN622" i="9"/>
  <c r="AM622" i="9"/>
  <c r="AL622" i="9"/>
  <c r="AK622" i="9"/>
  <c r="AO621" i="9"/>
  <c r="AN621" i="9"/>
  <c r="AM621" i="9"/>
  <c r="AL621" i="9"/>
  <c r="AK621" i="9"/>
  <c r="AO620" i="9"/>
  <c r="AN620" i="9"/>
  <c r="AM620" i="9"/>
  <c r="AL620" i="9"/>
  <c r="AK620" i="9"/>
  <c r="AO619" i="9"/>
  <c r="AN619" i="9"/>
  <c r="AM619" i="9"/>
  <c r="AL619" i="9"/>
  <c r="AK619" i="9"/>
  <c r="AO618" i="9"/>
  <c r="AN618" i="9"/>
  <c r="AM618" i="9"/>
  <c r="AL618" i="9"/>
  <c r="AK618" i="9"/>
  <c r="AO617" i="9"/>
  <c r="AN617" i="9"/>
  <c r="AM617" i="9"/>
  <c r="AL617" i="9"/>
  <c r="AK617" i="9"/>
  <c r="AO616" i="9"/>
  <c r="AN616" i="9"/>
  <c r="AM616" i="9"/>
  <c r="AL616" i="9"/>
  <c r="AK616" i="9"/>
  <c r="AO615" i="9"/>
  <c r="AN615" i="9"/>
  <c r="AM615" i="9"/>
  <c r="AL615" i="9"/>
  <c r="AK615" i="9"/>
  <c r="AO614" i="9"/>
  <c r="AN614" i="9"/>
  <c r="AM614" i="9"/>
  <c r="AL614" i="9"/>
  <c r="AK614" i="9"/>
  <c r="AO613" i="9"/>
  <c r="AN613" i="9"/>
  <c r="AM613" i="9"/>
  <c r="AL613" i="9"/>
  <c r="AK613" i="9"/>
  <c r="AO612" i="9"/>
  <c r="AN612" i="9"/>
  <c r="AM612" i="9"/>
  <c r="AL612" i="9"/>
  <c r="AK612" i="9"/>
  <c r="AO611" i="9"/>
  <c r="AN611" i="9"/>
  <c r="AM611" i="9"/>
  <c r="AL611" i="9"/>
  <c r="AK611" i="9"/>
  <c r="AO610" i="9"/>
  <c r="AN610" i="9"/>
  <c r="AM610" i="9"/>
  <c r="AL610" i="9"/>
  <c r="AK610" i="9"/>
  <c r="AO609" i="9"/>
  <c r="AN609" i="9"/>
  <c r="AM609" i="9"/>
  <c r="AL609" i="9"/>
  <c r="AK609" i="9"/>
  <c r="AO608" i="9"/>
  <c r="AN608" i="9"/>
  <c r="AM608" i="9"/>
  <c r="AL608" i="9"/>
  <c r="AK608" i="9"/>
  <c r="AO607" i="9"/>
  <c r="AN607" i="9"/>
  <c r="AM607" i="9"/>
  <c r="AL607" i="9"/>
  <c r="AK607" i="9"/>
  <c r="AO606" i="9"/>
  <c r="AN606" i="9"/>
  <c r="AM606" i="9"/>
  <c r="AL606" i="9"/>
  <c r="AK606" i="9"/>
  <c r="AO605" i="9"/>
  <c r="AN605" i="9"/>
  <c r="AM605" i="9"/>
  <c r="AL605" i="9"/>
  <c r="AK605" i="9"/>
  <c r="AO604" i="9"/>
  <c r="AN604" i="9"/>
  <c r="AM604" i="9"/>
  <c r="AL604" i="9"/>
  <c r="AK604" i="9"/>
  <c r="AO603" i="9"/>
  <c r="AN603" i="9"/>
  <c r="AM603" i="9"/>
  <c r="AL603" i="9"/>
  <c r="AK603" i="9"/>
  <c r="AO602" i="9"/>
  <c r="AN602" i="9"/>
  <c r="AM602" i="9"/>
  <c r="AL602" i="9"/>
  <c r="AK602" i="9"/>
  <c r="AO601" i="9"/>
  <c r="AN601" i="9"/>
  <c r="AM601" i="9"/>
  <c r="AL601" i="9"/>
  <c r="AK601" i="9"/>
  <c r="AO600" i="9"/>
  <c r="AN600" i="9"/>
  <c r="AM600" i="9"/>
  <c r="AL600" i="9"/>
  <c r="AK600" i="9"/>
  <c r="AO599" i="9"/>
  <c r="AN599" i="9"/>
  <c r="AM599" i="9"/>
  <c r="AL599" i="9"/>
  <c r="AK599" i="9"/>
  <c r="AO598" i="9"/>
  <c r="AN598" i="9"/>
  <c r="AM598" i="9"/>
  <c r="AL598" i="9"/>
  <c r="AK598" i="9"/>
  <c r="AO597" i="9"/>
  <c r="AN597" i="9"/>
  <c r="AM597" i="9"/>
  <c r="AL597" i="9"/>
  <c r="AK597" i="9"/>
  <c r="AO596" i="9"/>
  <c r="AN596" i="9"/>
  <c r="AM596" i="9"/>
  <c r="AL596" i="9"/>
  <c r="AK596" i="9"/>
  <c r="AO595" i="9"/>
  <c r="AN595" i="9"/>
  <c r="AM595" i="9"/>
  <c r="AL595" i="9"/>
  <c r="AK595" i="9"/>
  <c r="AO594" i="9"/>
  <c r="AN594" i="9"/>
  <c r="AM594" i="9"/>
  <c r="AL594" i="9"/>
  <c r="AK594" i="9"/>
  <c r="AO593" i="9"/>
  <c r="AN593" i="9"/>
  <c r="AM593" i="9"/>
  <c r="AL593" i="9"/>
  <c r="AK593" i="9"/>
  <c r="AO592" i="9"/>
  <c r="AN592" i="9"/>
  <c r="AM592" i="9"/>
  <c r="AL592" i="9"/>
  <c r="AK592" i="9"/>
  <c r="AO591" i="9"/>
  <c r="AN591" i="9"/>
  <c r="AM591" i="9"/>
  <c r="AL591" i="9"/>
  <c r="AK591" i="9"/>
  <c r="AO590" i="9"/>
  <c r="AN590" i="9"/>
  <c r="AM590" i="9"/>
  <c r="AL590" i="9"/>
  <c r="AK590" i="9"/>
  <c r="AO589" i="9"/>
  <c r="AN589" i="9"/>
  <c r="AM589" i="9"/>
  <c r="AL589" i="9"/>
  <c r="AK589" i="9"/>
  <c r="AO588" i="9"/>
  <c r="AN588" i="9"/>
  <c r="AM588" i="9"/>
  <c r="AL588" i="9"/>
  <c r="AK588" i="9"/>
  <c r="AO587" i="9"/>
  <c r="AN587" i="9"/>
  <c r="AM587" i="9"/>
  <c r="AL587" i="9"/>
  <c r="AK587" i="9"/>
  <c r="AO586" i="9"/>
  <c r="AN586" i="9"/>
  <c r="AM586" i="9"/>
  <c r="AL586" i="9"/>
  <c r="AK586" i="9"/>
  <c r="AO585" i="9"/>
  <c r="AN585" i="9"/>
  <c r="AM585" i="9"/>
  <c r="AL585" i="9"/>
  <c r="AK585" i="9"/>
  <c r="AO584" i="9"/>
  <c r="AN584" i="9"/>
  <c r="AM584" i="9"/>
  <c r="AL584" i="9"/>
  <c r="AK584" i="9"/>
  <c r="AO583" i="9"/>
  <c r="AN583" i="9"/>
  <c r="AM583" i="9"/>
  <c r="AL583" i="9"/>
  <c r="AK583" i="9"/>
  <c r="AO582" i="9"/>
  <c r="AN582" i="9"/>
  <c r="AM582" i="9"/>
  <c r="AL582" i="9"/>
  <c r="AK582" i="9"/>
  <c r="AO581" i="9"/>
  <c r="AN581" i="9"/>
  <c r="AM581" i="9"/>
  <c r="AL581" i="9"/>
  <c r="AK581" i="9"/>
  <c r="AO580" i="9"/>
  <c r="AN580" i="9"/>
  <c r="AM580" i="9"/>
  <c r="AL580" i="9"/>
  <c r="AK580" i="9"/>
  <c r="AO579" i="9"/>
  <c r="AN579" i="9"/>
  <c r="AM579" i="9"/>
  <c r="AL579" i="9"/>
  <c r="AK579" i="9"/>
  <c r="AO578" i="9"/>
  <c r="AN578" i="9"/>
  <c r="AM578" i="9"/>
  <c r="AL578" i="9"/>
  <c r="AK578" i="9"/>
  <c r="AO577" i="9"/>
  <c r="AN577" i="9"/>
  <c r="AM577" i="9"/>
  <c r="AL577" i="9"/>
  <c r="AK577" i="9"/>
  <c r="AO576" i="9"/>
  <c r="AN576" i="9"/>
  <c r="AM576" i="9"/>
  <c r="AL576" i="9"/>
  <c r="AK576" i="9"/>
  <c r="AO575" i="9"/>
  <c r="AN575" i="9"/>
  <c r="AM575" i="9"/>
  <c r="AL575" i="9"/>
  <c r="AK575" i="9"/>
  <c r="AO574" i="9"/>
  <c r="AN574" i="9"/>
  <c r="AM574" i="9"/>
  <c r="AL574" i="9"/>
  <c r="AK574" i="9"/>
  <c r="AO573" i="9"/>
  <c r="AN573" i="9"/>
  <c r="AM573" i="9"/>
  <c r="AL573" i="9"/>
  <c r="AK573" i="9"/>
  <c r="AO572" i="9"/>
  <c r="AN572" i="9"/>
  <c r="AM572" i="9"/>
  <c r="AL572" i="9"/>
  <c r="AK572" i="9"/>
  <c r="AO571" i="9"/>
  <c r="AN571" i="9"/>
  <c r="AM571" i="9"/>
  <c r="AL571" i="9"/>
  <c r="AK571" i="9"/>
  <c r="AO570" i="9"/>
  <c r="AN570" i="9"/>
  <c r="AM570" i="9"/>
  <c r="AL570" i="9"/>
  <c r="AK570" i="9"/>
  <c r="AO569" i="9"/>
  <c r="AN569" i="9"/>
  <c r="AM569" i="9"/>
  <c r="AL569" i="9"/>
  <c r="AK569" i="9"/>
  <c r="AO568" i="9"/>
  <c r="AN568" i="9"/>
  <c r="AM568" i="9"/>
  <c r="AL568" i="9"/>
  <c r="AK568" i="9"/>
  <c r="AO567" i="9"/>
  <c r="AN567" i="9"/>
  <c r="AM567" i="9"/>
  <c r="AL567" i="9"/>
  <c r="AK567" i="9"/>
  <c r="AO566" i="9"/>
  <c r="AN566" i="9"/>
  <c r="AM566" i="9"/>
  <c r="AL566" i="9"/>
  <c r="AK566" i="9"/>
  <c r="AO565" i="9"/>
  <c r="AN565" i="9"/>
  <c r="AM565" i="9"/>
  <c r="AL565" i="9"/>
  <c r="AK565" i="9"/>
  <c r="AO564" i="9"/>
  <c r="AN564" i="9"/>
  <c r="AM564" i="9"/>
  <c r="AL564" i="9"/>
  <c r="AK564" i="9"/>
  <c r="AO563" i="9"/>
  <c r="AN563" i="9"/>
  <c r="AM563" i="9"/>
  <c r="AL563" i="9"/>
  <c r="AK563" i="9"/>
  <c r="AO562" i="9"/>
  <c r="AN562" i="9"/>
  <c r="AM562" i="9"/>
  <c r="AL562" i="9"/>
  <c r="AK562" i="9"/>
  <c r="AO561" i="9"/>
  <c r="AN561" i="9"/>
  <c r="AM561" i="9"/>
  <c r="AL561" i="9"/>
  <c r="AK561" i="9"/>
  <c r="AO560" i="9"/>
  <c r="AN560" i="9"/>
  <c r="AM560" i="9"/>
  <c r="AL560" i="9"/>
  <c r="AK560" i="9"/>
  <c r="AO559" i="9"/>
  <c r="AN559" i="9"/>
  <c r="AM559" i="9"/>
  <c r="AL559" i="9"/>
  <c r="AK559" i="9"/>
  <c r="AO558" i="9"/>
  <c r="AN558" i="9"/>
  <c r="AM558" i="9"/>
  <c r="AL558" i="9"/>
  <c r="AK558" i="9"/>
  <c r="AO557" i="9"/>
  <c r="AN557" i="9"/>
  <c r="AM557" i="9"/>
  <c r="AL557" i="9"/>
  <c r="AK557" i="9"/>
  <c r="AO556" i="9"/>
  <c r="AN556" i="9"/>
  <c r="AM556" i="9"/>
  <c r="AL556" i="9"/>
  <c r="AK556" i="9"/>
  <c r="AO555" i="9"/>
  <c r="AN555" i="9"/>
  <c r="AM555" i="9"/>
  <c r="AL555" i="9"/>
  <c r="AK555" i="9"/>
  <c r="AO554" i="9"/>
  <c r="AN554" i="9"/>
  <c r="AM554" i="9"/>
  <c r="AL554" i="9"/>
  <c r="AK554" i="9"/>
  <c r="AO553" i="9"/>
  <c r="AN553" i="9"/>
  <c r="AM553" i="9"/>
  <c r="AL553" i="9"/>
  <c r="AK553" i="9"/>
  <c r="AO552" i="9"/>
  <c r="AN552" i="9"/>
  <c r="AM552" i="9"/>
  <c r="AL552" i="9"/>
  <c r="AK552" i="9"/>
  <c r="AO551" i="9"/>
  <c r="AN551" i="9"/>
  <c r="AM551" i="9"/>
  <c r="AL551" i="9"/>
  <c r="AK551" i="9"/>
  <c r="AO550" i="9"/>
  <c r="AN550" i="9"/>
  <c r="AM550" i="9"/>
  <c r="AL550" i="9"/>
  <c r="AK550" i="9"/>
  <c r="AO549" i="9"/>
  <c r="AN549" i="9"/>
  <c r="AM549" i="9"/>
  <c r="AL549" i="9"/>
  <c r="AK549" i="9"/>
  <c r="AO548" i="9"/>
  <c r="AN548" i="9"/>
  <c r="AM548" i="9"/>
  <c r="AL548" i="9"/>
  <c r="AK548" i="9"/>
  <c r="AO547" i="9"/>
  <c r="AN547" i="9"/>
  <c r="AM547" i="9"/>
  <c r="AL547" i="9"/>
  <c r="AK547" i="9"/>
  <c r="AO546" i="9"/>
  <c r="AN546" i="9"/>
  <c r="AM546" i="9"/>
  <c r="AL546" i="9"/>
  <c r="AK546" i="9"/>
  <c r="AO545" i="9"/>
  <c r="AN545" i="9"/>
  <c r="AM545" i="9"/>
  <c r="AL545" i="9"/>
  <c r="AK545" i="9"/>
  <c r="AO544" i="9"/>
  <c r="AN544" i="9"/>
  <c r="AM544" i="9"/>
  <c r="AL544" i="9"/>
  <c r="AK544" i="9"/>
  <c r="AO543" i="9"/>
  <c r="AN543" i="9"/>
  <c r="AM543" i="9"/>
  <c r="AL543" i="9"/>
  <c r="AK543" i="9"/>
  <c r="AO542" i="9"/>
  <c r="AN542" i="9"/>
  <c r="AM542" i="9"/>
  <c r="AL542" i="9"/>
  <c r="AK542" i="9"/>
  <c r="AO541" i="9"/>
  <c r="AN541" i="9"/>
  <c r="AM541" i="9"/>
  <c r="AL541" i="9"/>
  <c r="AK541" i="9"/>
  <c r="AO540" i="9"/>
  <c r="AN540" i="9"/>
  <c r="AM540" i="9"/>
  <c r="AL540" i="9"/>
  <c r="AK540" i="9"/>
  <c r="AO539" i="9"/>
  <c r="AN539" i="9"/>
  <c r="AM539" i="9"/>
  <c r="AL539" i="9"/>
  <c r="AK539" i="9"/>
  <c r="AO538" i="9"/>
  <c r="AN538" i="9"/>
  <c r="AM538" i="9"/>
  <c r="AL538" i="9"/>
  <c r="AK538" i="9"/>
  <c r="AO537" i="9"/>
  <c r="AN537" i="9"/>
  <c r="AM537" i="9"/>
  <c r="AL537" i="9"/>
  <c r="AK537" i="9"/>
  <c r="AO536" i="9"/>
  <c r="AN536" i="9"/>
  <c r="AM536" i="9"/>
  <c r="AL536" i="9"/>
  <c r="AK536" i="9"/>
  <c r="AO535" i="9"/>
  <c r="AN535" i="9"/>
  <c r="AM535" i="9"/>
  <c r="AL535" i="9"/>
  <c r="AK535" i="9"/>
  <c r="AO534" i="9"/>
  <c r="AN534" i="9"/>
  <c r="AM534" i="9"/>
  <c r="AL534" i="9"/>
  <c r="AK534" i="9"/>
  <c r="AO533" i="9"/>
  <c r="AN533" i="9"/>
  <c r="AM533" i="9"/>
  <c r="AL533" i="9"/>
  <c r="AK533" i="9"/>
  <c r="AO532" i="9"/>
  <c r="AN532" i="9"/>
  <c r="AM532" i="9"/>
  <c r="AL532" i="9"/>
  <c r="AK532" i="9"/>
  <c r="AO531" i="9"/>
  <c r="AN531" i="9"/>
  <c r="AM531" i="9"/>
  <c r="AL531" i="9"/>
  <c r="AK531" i="9"/>
  <c r="AO530" i="9"/>
  <c r="AN530" i="9"/>
  <c r="AM530" i="9"/>
  <c r="AL530" i="9"/>
  <c r="AK530" i="9"/>
  <c r="AO529" i="9"/>
  <c r="AN529" i="9"/>
  <c r="AM529" i="9"/>
  <c r="AL529" i="9"/>
  <c r="AK529" i="9"/>
  <c r="AO528" i="9"/>
  <c r="AN528" i="9"/>
  <c r="AM528" i="9"/>
  <c r="AL528" i="9"/>
  <c r="AK528" i="9"/>
  <c r="AO527" i="9"/>
  <c r="AN527" i="9"/>
  <c r="AM527" i="9"/>
  <c r="AL527" i="9"/>
  <c r="AK527" i="9"/>
  <c r="AO526" i="9"/>
  <c r="AN526" i="9"/>
  <c r="AM526" i="9"/>
  <c r="AL526" i="9"/>
  <c r="AK526" i="9"/>
  <c r="AO525" i="9"/>
  <c r="AN525" i="9"/>
  <c r="AM525" i="9"/>
  <c r="AL525" i="9"/>
  <c r="AK525" i="9"/>
  <c r="AO524" i="9"/>
  <c r="AN524" i="9"/>
  <c r="AM524" i="9"/>
  <c r="AL524" i="9"/>
  <c r="AK524" i="9"/>
  <c r="AO523" i="9"/>
  <c r="AN523" i="9"/>
  <c r="AM523" i="9"/>
  <c r="AL523" i="9"/>
  <c r="AK523" i="9"/>
  <c r="AO522" i="9"/>
  <c r="AN522" i="9"/>
  <c r="AM522" i="9"/>
  <c r="AL522" i="9"/>
  <c r="AK522" i="9"/>
  <c r="AO521" i="9"/>
  <c r="AN521" i="9"/>
  <c r="AM521" i="9"/>
  <c r="AL521" i="9"/>
  <c r="AK521" i="9"/>
  <c r="AO520" i="9"/>
  <c r="AN520" i="9"/>
  <c r="AM520" i="9"/>
  <c r="AL520" i="9"/>
  <c r="AK520" i="9"/>
  <c r="AO519" i="9"/>
  <c r="AN519" i="9"/>
  <c r="AM519" i="9"/>
  <c r="AL519" i="9"/>
  <c r="AK519" i="9"/>
  <c r="AO518" i="9"/>
  <c r="AN518" i="9"/>
  <c r="AM518" i="9"/>
  <c r="AL518" i="9"/>
  <c r="AK518" i="9"/>
  <c r="AO517" i="9"/>
  <c r="AN517" i="9"/>
  <c r="AM517" i="9"/>
  <c r="AL517" i="9"/>
  <c r="AK517" i="9"/>
  <c r="AO516" i="9"/>
  <c r="AN516" i="9"/>
  <c r="AM516" i="9"/>
  <c r="AL516" i="9"/>
  <c r="AK516" i="9"/>
  <c r="AO515" i="9"/>
  <c r="AN515" i="9"/>
  <c r="AM515" i="9"/>
  <c r="AL515" i="9"/>
  <c r="AK515" i="9"/>
  <c r="AO514" i="9"/>
  <c r="AN514" i="9"/>
  <c r="AM514" i="9"/>
  <c r="AL514" i="9"/>
  <c r="AK514" i="9"/>
  <c r="AO513" i="9"/>
  <c r="AN513" i="9"/>
  <c r="AM513" i="9"/>
  <c r="AL513" i="9"/>
  <c r="AK513" i="9"/>
  <c r="AO512" i="9"/>
  <c r="AN512" i="9"/>
  <c r="AM512" i="9"/>
  <c r="AL512" i="9"/>
  <c r="AK512" i="9"/>
  <c r="AO511" i="9"/>
  <c r="AN511" i="9"/>
  <c r="AM511" i="9"/>
  <c r="AL511" i="9"/>
  <c r="AK511" i="9"/>
  <c r="AO510" i="9"/>
  <c r="AN510" i="9"/>
  <c r="AM510" i="9"/>
  <c r="AL510" i="9"/>
  <c r="AK510" i="9"/>
  <c r="AO509" i="9"/>
  <c r="AN509" i="9"/>
  <c r="AM509" i="9"/>
  <c r="AL509" i="9"/>
  <c r="AK509" i="9"/>
  <c r="AO508" i="9"/>
  <c r="AN508" i="9"/>
  <c r="AM508" i="9"/>
  <c r="AL508" i="9"/>
  <c r="AK508" i="9"/>
  <c r="AO507" i="9"/>
  <c r="AN507" i="9"/>
  <c r="AM507" i="9"/>
  <c r="AL507" i="9"/>
  <c r="AK507" i="9"/>
  <c r="AO506" i="9"/>
  <c r="AN506" i="9"/>
  <c r="AM506" i="9"/>
  <c r="AL506" i="9"/>
  <c r="AK506" i="9"/>
  <c r="AO505" i="9"/>
  <c r="AN505" i="9"/>
  <c r="AM505" i="9"/>
  <c r="AL505" i="9"/>
  <c r="AK505" i="9"/>
  <c r="AO504" i="9"/>
  <c r="AN504" i="9"/>
  <c r="AM504" i="9"/>
  <c r="AL504" i="9"/>
  <c r="AK504" i="9"/>
  <c r="AO503" i="9"/>
  <c r="AN503" i="9"/>
  <c r="AM503" i="9"/>
  <c r="AL503" i="9"/>
  <c r="AK503" i="9"/>
  <c r="AO502" i="9"/>
  <c r="AN502" i="9"/>
  <c r="AM502" i="9"/>
  <c r="AL502" i="9"/>
  <c r="AK502" i="9"/>
  <c r="AO501" i="9"/>
  <c r="AN501" i="9"/>
  <c r="AM501" i="9"/>
  <c r="AL501" i="9"/>
  <c r="AK501" i="9"/>
  <c r="AO500" i="9"/>
  <c r="AN500" i="9"/>
  <c r="AM500" i="9"/>
  <c r="AL500" i="9"/>
  <c r="AK500" i="9"/>
  <c r="AO499" i="9"/>
  <c r="AN499" i="9"/>
  <c r="AM499" i="9"/>
  <c r="AL499" i="9"/>
  <c r="AK499" i="9"/>
  <c r="AO498" i="9"/>
  <c r="AN498" i="9"/>
  <c r="AM498" i="9"/>
  <c r="AL498" i="9"/>
  <c r="AK498" i="9"/>
  <c r="AO497" i="9"/>
  <c r="AN497" i="9"/>
  <c r="AM497" i="9"/>
  <c r="AL497" i="9"/>
  <c r="AK497" i="9"/>
  <c r="AO496" i="9"/>
  <c r="AN496" i="9"/>
  <c r="AM496" i="9"/>
  <c r="AL496" i="9"/>
  <c r="AK496" i="9"/>
  <c r="AO495" i="9"/>
  <c r="AN495" i="9"/>
  <c r="AM495" i="9"/>
  <c r="AL495" i="9"/>
  <c r="AK495" i="9"/>
  <c r="AO494" i="9"/>
  <c r="AN494" i="9"/>
  <c r="AM494" i="9"/>
  <c r="AL494" i="9"/>
  <c r="AK494" i="9"/>
  <c r="AO493" i="9"/>
  <c r="AN493" i="9"/>
  <c r="AM493" i="9"/>
  <c r="AL493" i="9"/>
  <c r="AK493" i="9"/>
  <c r="AO492" i="9"/>
  <c r="AN492" i="9"/>
  <c r="AM492" i="9"/>
  <c r="AL492" i="9"/>
  <c r="AK492" i="9"/>
  <c r="AO491" i="9"/>
  <c r="AN491" i="9"/>
  <c r="AM491" i="9"/>
  <c r="AL491" i="9"/>
  <c r="AK491" i="9"/>
  <c r="AO490" i="9"/>
  <c r="AN490" i="9"/>
  <c r="AM490" i="9"/>
  <c r="AL490" i="9"/>
  <c r="AK490" i="9"/>
  <c r="AO489" i="9"/>
  <c r="AN489" i="9"/>
  <c r="AM489" i="9"/>
  <c r="AL489" i="9"/>
  <c r="AK489" i="9"/>
  <c r="AO488" i="9"/>
  <c r="AN488" i="9"/>
  <c r="AM488" i="9"/>
  <c r="AL488" i="9"/>
  <c r="AK488" i="9"/>
  <c r="AO487" i="9"/>
  <c r="AN487" i="9"/>
  <c r="AM487" i="9"/>
  <c r="AL487" i="9"/>
  <c r="AK487" i="9"/>
  <c r="AO486" i="9"/>
  <c r="AN486" i="9"/>
  <c r="AM486" i="9"/>
  <c r="AL486" i="9"/>
  <c r="AK486" i="9"/>
  <c r="AO485" i="9"/>
  <c r="AN485" i="9"/>
  <c r="AM485" i="9"/>
  <c r="AL485" i="9"/>
  <c r="AK485" i="9"/>
  <c r="AO484" i="9"/>
  <c r="AN484" i="9"/>
  <c r="AM484" i="9"/>
  <c r="AL484" i="9"/>
  <c r="AK484" i="9"/>
  <c r="AO483" i="9"/>
  <c r="AN483" i="9"/>
  <c r="AM483" i="9"/>
  <c r="AL483" i="9"/>
  <c r="AK483" i="9"/>
  <c r="AO482" i="9"/>
  <c r="AN482" i="9"/>
  <c r="AM482" i="9"/>
  <c r="AL482" i="9"/>
  <c r="AK482" i="9"/>
  <c r="AO481" i="9"/>
  <c r="AN481" i="9"/>
  <c r="AM481" i="9"/>
  <c r="AL481" i="9"/>
  <c r="AK481" i="9"/>
  <c r="AO480" i="9"/>
  <c r="AN480" i="9"/>
  <c r="AM480" i="9"/>
  <c r="AL480" i="9"/>
  <c r="AK480" i="9"/>
  <c r="AO479" i="9"/>
  <c r="AN479" i="9"/>
  <c r="AM479" i="9"/>
  <c r="AL479" i="9"/>
  <c r="AK479" i="9"/>
  <c r="AO478" i="9"/>
  <c r="AN478" i="9"/>
  <c r="AM478" i="9"/>
  <c r="AL478" i="9"/>
  <c r="AK478" i="9"/>
  <c r="AO477" i="9"/>
  <c r="AN477" i="9"/>
  <c r="AM477" i="9"/>
  <c r="AL477" i="9"/>
  <c r="AK477" i="9"/>
  <c r="AO476" i="9"/>
  <c r="AN476" i="9"/>
  <c r="AM476" i="9"/>
  <c r="AL476" i="9"/>
  <c r="AK476" i="9"/>
  <c r="AO475" i="9"/>
  <c r="AN475" i="9"/>
  <c r="AM475" i="9"/>
  <c r="AL475" i="9"/>
  <c r="AK475" i="9"/>
  <c r="AO474" i="9"/>
  <c r="AN474" i="9"/>
  <c r="AM474" i="9"/>
  <c r="AL474" i="9"/>
  <c r="AK474" i="9"/>
  <c r="AO473" i="9"/>
  <c r="AN473" i="9"/>
  <c r="AM473" i="9"/>
  <c r="AL473" i="9"/>
  <c r="AK473" i="9"/>
  <c r="AO472" i="9"/>
  <c r="AN472" i="9"/>
  <c r="AM472" i="9"/>
  <c r="AL472" i="9"/>
  <c r="AK472" i="9"/>
  <c r="AO471" i="9"/>
  <c r="AN471" i="9"/>
  <c r="AM471" i="9"/>
  <c r="AL471" i="9"/>
  <c r="AK471" i="9"/>
  <c r="AO470" i="9"/>
  <c r="AN470" i="9"/>
  <c r="AM470" i="9"/>
  <c r="AL470" i="9"/>
  <c r="AK470" i="9"/>
  <c r="AO469" i="9"/>
  <c r="AN469" i="9"/>
  <c r="AM469" i="9"/>
  <c r="AL469" i="9"/>
  <c r="AK469" i="9"/>
  <c r="AO468" i="9"/>
  <c r="AN468" i="9"/>
  <c r="AM468" i="9"/>
  <c r="AL468" i="9"/>
  <c r="AK468" i="9"/>
  <c r="AO467" i="9"/>
  <c r="AN467" i="9"/>
  <c r="AM467" i="9"/>
  <c r="AL467" i="9"/>
  <c r="AK467" i="9"/>
  <c r="AO466" i="9"/>
  <c r="AN466" i="9"/>
  <c r="AM466" i="9"/>
  <c r="AL466" i="9"/>
  <c r="AK466" i="9"/>
  <c r="AO465" i="9"/>
  <c r="AN465" i="9"/>
  <c r="AM465" i="9"/>
  <c r="AL465" i="9"/>
  <c r="AK465" i="9"/>
  <c r="AO464" i="9"/>
  <c r="AN464" i="9"/>
  <c r="AM464" i="9"/>
  <c r="AL464" i="9"/>
  <c r="AK464" i="9"/>
  <c r="AO463" i="9"/>
  <c r="AN463" i="9"/>
  <c r="AM463" i="9"/>
  <c r="AL463" i="9"/>
  <c r="AK463" i="9"/>
  <c r="AO462" i="9"/>
  <c r="AN462" i="9"/>
  <c r="AM462" i="9"/>
  <c r="AL462" i="9"/>
  <c r="AK462" i="9"/>
  <c r="AO461" i="9"/>
  <c r="AN461" i="9"/>
  <c r="AM461" i="9"/>
  <c r="AL461" i="9"/>
  <c r="AK461" i="9"/>
  <c r="AO460" i="9"/>
  <c r="AN460" i="9"/>
  <c r="AM460" i="9"/>
  <c r="AL460" i="9"/>
  <c r="AK460" i="9"/>
  <c r="AO459" i="9"/>
  <c r="AN459" i="9"/>
  <c r="AM459" i="9"/>
  <c r="AL459" i="9"/>
  <c r="AK459" i="9"/>
  <c r="AO458" i="9"/>
  <c r="AN458" i="9"/>
  <c r="AM458" i="9"/>
  <c r="AL458" i="9"/>
  <c r="AK458" i="9"/>
  <c r="AO457" i="9"/>
  <c r="AN457" i="9"/>
  <c r="AM457" i="9"/>
  <c r="AL457" i="9"/>
  <c r="AK457" i="9"/>
  <c r="AO456" i="9"/>
  <c r="AN456" i="9"/>
  <c r="AM456" i="9"/>
  <c r="AL456" i="9"/>
  <c r="AK456" i="9"/>
  <c r="AO455" i="9"/>
  <c r="AN455" i="9"/>
  <c r="AM455" i="9"/>
  <c r="AL455" i="9"/>
  <c r="AK455" i="9"/>
  <c r="AO454" i="9"/>
  <c r="AN454" i="9"/>
  <c r="AM454" i="9"/>
  <c r="AL454" i="9"/>
  <c r="AK454" i="9"/>
  <c r="AO453" i="9"/>
  <c r="AN453" i="9"/>
  <c r="AM453" i="9"/>
  <c r="AL453" i="9"/>
  <c r="AK453" i="9"/>
  <c r="AO452" i="9"/>
  <c r="AN452" i="9"/>
  <c r="AM452" i="9"/>
  <c r="AL452" i="9"/>
  <c r="AK452" i="9"/>
  <c r="AO451" i="9"/>
  <c r="AN451" i="9"/>
  <c r="AM451" i="9"/>
  <c r="AL451" i="9"/>
  <c r="AK451" i="9"/>
  <c r="AO450" i="9"/>
  <c r="AN450" i="9"/>
  <c r="AM450" i="9"/>
  <c r="AL450" i="9"/>
  <c r="AK450" i="9"/>
  <c r="AO449" i="9"/>
  <c r="AN449" i="9"/>
  <c r="AM449" i="9"/>
  <c r="AL449" i="9"/>
  <c r="AK449" i="9"/>
  <c r="AO448" i="9"/>
  <c r="AN448" i="9"/>
  <c r="AM448" i="9"/>
  <c r="AL448" i="9"/>
  <c r="AK448" i="9"/>
  <c r="AO447" i="9"/>
  <c r="AN447" i="9"/>
  <c r="AM447" i="9"/>
  <c r="AL447" i="9"/>
  <c r="AK447" i="9"/>
  <c r="AO446" i="9"/>
  <c r="AN446" i="9"/>
  <c r="AM446" i="9"/>
  <c r="AL446" i="9"/>
  <c r="AK446" i="9"/>
  <c r="AO445" i="9"/>
  <c r="AN445" i="9"/>
  <c r="AM445" i="9"/>
  <c r="AL445" i="9"/>
  <c r="AK445" i="9"/>
  <c r="AO444" i="9"/>
  <c r="AN444" i="9"/>
  <c r="AM444" i="9"/>
  <c r="AL444" i="9"/>
  <c r="AK444" i="9"/>
  <c r="AO443" i="9"/>
  <c r="AN443" i="9"/>
  <c r="AM443" i="9"/>
  <c r="AL443" i="9"/>
  <c r="AK443" i="9"/>
  <c r="AO442" i="9"/>
  <c r="AN442" i="9"/>
  <c r="AM442" i="9"/>
  <c r="AL442" i="9"/>
  <c r="AK442" i="9"/>
  <c r="AO441" i="9"/>
  <c r="AN441" i="9"/>
  <c r="AM441" i="9"/>
  <c r="AL441" i="9"/>
  <c r="AK441" i="9"/>
  <c r="AO440" i="9"/>
  <c r="AN440" i="9"/>
  <c r="AM440" i="9"/>
  <c r="AL440" i="9"/>
  <c r="AK440" i="9"/>
  <c r="AO439" i="9"/>
  <c r="AN439" i="9"/>
  <c r="AM439" i="9"/>
  <c r="AL439" i="9"/>
  <c r="AK439" i="9"/>
  <c r="AO438" i="9"/>
  <c r="AN438" i="9"/>
  <c r="AM438" i="9"/>
  <c r="AL438" i="9"/>
  <c r="AK438" i="9"/>
  <c r="AO437" i="9"/>
  <c r="AN437" i="9"/>
  <c r="AM437" i="9"/>
  <c r="AL437" i="9"/>
  <c r="AK437" i="9"/>
  <c r="AO436" i="9"/>
  <c r="AN436" i="9"/>
  <c r="AM436" i="9"/>
  <c r="AL436" i="9"/>
  <c r="AK436" i="9"/>
  <c r="AO435" i="9"/>
  <c r="AN435" i="9"/>
  <c r="AM435" i="9"/>
  <c r="AL435" i="9"/>
  <c r="AK435" i="9"/>
  <c r="AO434" i="9"/>
  <c r="AN434" i="9"/>
  <c r="AM434" i="9"/>
  <c r="AL434" i="9"/>
  <c r="AK434" i="9"/>
  <c r="AO433" i="9"/>
  <c r="AN433" i="9"/>
  <c r="AM433" i="9"/>
  <c r="AL433" i="9"/>
  <c r="AK433" i="9"/>
  <c r="AO432" i="9"/>
  <c r="AN432" i="9"/>
  <c r="AM432" i="9"/>
  <c r="AL432" i="9"/>
  <c r="AK432" i="9"/>
  <c r="AO431" i="9"/>
  <c r="AN431" i="9"/>
  <c r="AM431" i="9"/>
  <c r="AL431" i="9"/>
  <c r="AK431" i="9"/>
  <c r="AO430" i="9"/>
  <c r="AN430" i="9"/>
  <c r="AM430" i="9"/>
  <c r="AL430" i="9"/>
  <c r="AK430" i="9"/>
  <c r="AO429" i="9"/>
  <c r="AN429" i="9"/>
  <c r="AM429" i="9"/>
  <c r="AL429" i="9"/>
  <c r="AK429" i="9"/>
  <c r="AO428" i="9"/>
  <c r="AN428" i="9"/>
  <c r="AM428" i="9"/>
  <c r="AL428" i="9"/>
  <c r="AK428" i="9"/>
  <c r="AO427" i="9"/>
  <c r="AN427" i="9"/>
  <c r="AM427" i="9"/>
  <c r="AL427" i="9"/>
  <c r="AK427" i="9"/>
  <c r="AO426" i="9"/>
  <c r="AN426" i="9"/>
  <c r="AM426" i="9"/>
  <c r="AL426" i="9"/>
  <c r="AK426" i="9"/>
  <c r="AO425" i="9"/>
  <c r="AN425" i="9"/>
  <c r="AM425" i="9"/>
  <c r="AL425" i="9"/>
  <c r="AK425" i="9"/>
  <c r="AO424" i="9"/>
  <c r="AN424" i="9"/>
  <c r="AM424" i="9"/>
  <c r="AL424" i="9"/>
  <c r="AK424" i="9"/>
  <c r="AO423" i="9"/>
  <c r="AN423" i="9"/>
  <c r="AM423" i="9"/>
  <c r="AL423" i="9"/>
  <c r="AK423" i="9"/>
  <c r="AO422" i="9"/>
  <c r="AN422" i="9"/>
  <c r="AM422" i="9"/>
  <c r="AL422" i="9"/>
  <c r="AK422" i="9"/>
  <c r="AO421" i="9"/>
  <c r="AN421" i="9"/>
  <c r="AM421" i="9"/>
  <c r="AL421" i="9"/>
  <c r="AK421" i="9"/>
  <c r="AO420" i="9"/>
  <c r="AN420" i="9"/>
  <c r="AM420" i="9"/>
  <c r="AL420" i="9"/>
  <c r="AK420" i="9"/>
  <c r="AO419" i="9"/>
  <c r="AN419" i="9"/>
  <c r="AM419" i="9"/>
  <c r="AL419" i="9"/>
  <c r="AK419" i="9"/>
  <c r="AO418" i="9"/>
  <c r="AN418" i="9"/>
  <c r="AM418" i="9"/>
  <c r="AL418" i="9"/>
  <c r="AK418" i="9"/>
  <c r="AO417" i="9"/>
  <c r="AN417" i="9"/>
  <c r="AM417" i="9"/>
  <c r="AL417" i="9"/>
  <c r="AK417" i="9"/>
  <c r="AO416" i="9"/>
  <c r="AN416" i="9"/>
  <c r="AM416" i="9"/>
  <c r="AL416" i="9"/>
  <c r="AK416" i="9"/>
  <c r="AO415" i="9"/>
  <c r="AN415" i="9"/>
  <c r="AM415" i="9"/>
  <c r="AL415" i="9"/>
  <c r="AK415" i="9"/>
  <c r="AO414" i="9"/>
  <c r="AN414" i="9"/>
  <c r="AM414" i="9"/>
  <c r="AL414" i="9"/>
  <c r="AK414" i="9"/>
  <c r="AO413" i="9"/>
  <c r="AN413" i="9"/>
  <c r="AM413" i="9"/>
  <c r="AL413" i="9"/>
  <c r="AK413" i="9"/>
  <c r="AO412" i="9"/>
  <c r="AN412" i="9"/>
  <c r="AM412" i="9"/>
  <c r="AL412" i="9"/>
  <c r="AK412" i="9"/>
  <c r="AO411" i="9"/>
  <c r="AN411" i="9"/>
  <c r="AM411" i="9"/>
  <c r="AL411" i="9"/>
  <c r="AK411" i="9"/>
  <c r="AO410" i="9"/>
  <c r="AN410" i="9"/>
  <c r="AM410" i="9"/>
  <c r="AL410" i="9"/>
  <c r="AK410" i="9"/>
  <c r="AO409" i="9"/>
  <c r="AN409" i="9"/>
  <c r="AM409" i="9"/>
  <c r="AL409" i="9"/>
  <c r="AK409" i="9"/>
  <c r="AO408" i="9"/>
  <c r="AN408" i="9"/>
  <c r="AM408" i="9"/>
  <c r="AL408" i="9"/>
  <c r="AK408" i="9"/>
  <c r="AO407" i="9"/>
  <c r="AN407" i="9"/>
  <c r="AM407" i="9"/>
  <c r="AL407" i="9"/>
  <c r="AK407" i="9"/>
  <c r="AO406" i="9"/>
  <c r="AN406" i="9"/>
  <c r="AM406" i="9"/>
  <c r="AL406" i="9"/>
  <c r="AK406" i="9"/>
  <c r="AO405" i="9"/>
  <c r="AN405" i="9"/>
  <c r="AM405" i="9"/>
  <c r="AL405" i="9"/>
  <c r="AK405" i="9"/>
  <c r="AO404" i="9"/>
  <c r="AN404" i="9"/>
  <c r="AM404" i="9"/>
  <c r="AL404" i="9"/>
  <c r="AK404" i="9"/>
  <c r="AO403" i="9"/>
  <c r="AN403" i="9"/>
  <c r="AM403" i="9"/>
  <c r="AL403" i="9"/>
  <c r="AK403" i="9"/>
  <c r="AO402" i="9"/>
  <c r="AN402" i="9"/>
  <c r="AM402" i="9"/>
  <c r="AL402" i="9"/>
  <c r="AK402" i="9"/>
  <c r="AO401" i="9"/>
  <c r="AN401" i="9"/>
  <c r="AM401" i="9"/>
  <c r="AL401" i="9"/>
  <c r="AK401" i="9"/>
  <c r="AO400" i="9"/>
  <c r="AN400" i="9"/>
  <c r="AM400" i="9"/>
  <c r="AL400" i="9"/>
  <c r="AK400" i="9"/>
  <c r="AO399" i="9"/>
  <c r="AN399" i="9"/>
  <c r="AM399" i="9"/>
  <c r="AL399" i="9"/>
  <c r="AK399" i="9"/>
  <c r="AO398" i="9"/>
  <c r="AN398" i="9"/>
  <c r="AM398" i="9"/>
  <c r="AL398" i="9"/>
  <c r="AK398" i="9"/>
  <c r="AO397" i="9"/>
  <c r="AN397" i="9"/>
  <c r="AM397" i="9"/>
  <c r="AL397" i="9"/>
  <c r="AK397" i="9"/>
  <c r="AO396" i="9"/>
  <c r="AN396" i="9"/>
  <c r="AM396" i="9"/>
  <c r="AL396" i="9"/>
  <c r="AK396" i="9"/>
  <c r="AO395" i="9"/>
  <c r="AN395" i="9"/>
  <c r="AM395" i="9"/>
  <c r="AL395" i="9"/>
  <c r="AK395" i="9"/>
  <c r="AO394" i="9"/>
  <c r="AN394" i="9"/>
  <c r="AM394" i="9"/>
  <c r="AL394" i="9"/>
  <c r="AK394" i="9"/>
  <c r="AO393" i="9"/>
  <c r="AN393" i="9"/>
  <c r="AM393" i="9"/>
  <c r="AL393" i="9"/>
  <c r="AK393" i="9"/>
  <c r="AO392" i="9"/>
  <c r="AN392" i="9"/>
  <c r="AM392" i="9"/>
  <c r="AL392" i="9"/>
  <c r="AK392" i="9"/>
  <c r="AO391" i="9"/>
  <c r="AN391" i="9"/>
  <c r="AM391" i="9"/>
  <c r="AL391" i="9"/>
  <c r="AK391" i="9"/>
  <c r="AO390" i="9"/>
  <c r="AN390" i="9"/>
  <c r="AM390" i="9"/>
  <c r="AL390" i="9"/>
  <c r="AK390" i="9"/>
  <c r="AO389" i="9"/>
  <c r="AN389" i="9"/>
  <c r="AM389" i="9"/>
  <c r="AL389" i="9"/>
  <c r="AK389" i="9"/>
  <c r="AO388" i="9"/>
  <c r="AN388" i="9"/>
  <c r="AM388" i="9"/>
  <c r="AL388" i="9"/>
  <c r="AK388" i="9"/>
  <c r="AO387" i="9"/>
  <c r="AN387" i="9"/>
  <c r="AM387" i="9"/>
  <c r="AL387" i="9"/>
  <c r="AK387" i="9"/>
  <c r="AO386" i="9"/>
  <c r="AN386" i="9"/>
  <c r="AM386" i="9"/>
  <c r="AL386" i="9"/>
  <c r="AK386" i="9"/>
  <c r="AO385" i="9"/>
  <c r="AN385" i="9"/>
  <c r="AM385" i="9"/>
  <c r="AL385" i="9"/>
  <c r="AK385" i="9"/>
  <c r="AO384" i="9"/>
  <c r="AN384" i="9"/>
  <c r="AM384" i="9"/>
  <c r="AL384" i="9"/>
  <c r="AK384" i="9"/>
  <c r="AO383" i="9"/>
  <c r="AN383" i="9"/>
  <c r="AM383" i="9"/>
  <c r="AL383" i="9"/>
  <c r="AK383" i="9"/>
  <c r="AO382" i="9"/>
  <c r="AN382" i="9"/>
  <c r="AM382" i="9"/>
  <c r="AL382" i="9"/>
  <c r="AK382" i="9"/>
  <c r="AO381" i="9"/>
  <c r="AN381" i="9"/>
  <c r="AM381" i="9"/>
  <c r="AL381" i="9"/>
  <c r="AK381" i="9"/>
  <c r="AO380" i="9"/>
  <c r="AN380" i="9"/>
  <c r="AM380" i="9"/>
  <c r="AL380" i="9"/>
  <c r="AK380" i="9"/>
  <c r="AO379" i="9"/>
  <c r="AN379" i="9"/>
  <c r="AM379" i="9"/>
  <c r="AL379" i="9"/>
  <c r="AK379" i="9"/>
  <c r="AO378" i="9"/>
  <c r="AN378" i="9"/>
  <c r="AM378" i="9"/>
  <c r="AL378" i="9"/>
  <c r="AK378" i="9"/>
  <c r="AO377" i="9"/>
  <c r="AN377" i="9"/>
  <c r="AM377" i="9"/>
  <c r="AL377" i="9"/>
  <c r="AK377" i="9"/>
  <c r="AO376" i="9"/>
  <c r="AN376" i="9"/>
  <c r="AM376" i="9"/>
  <c r="AL376" i="9"/>
  <c r="AK376" i="9"/>
  <c r="AO375" i="9"/>
  <c r="AN375" i="9"/>
  <c r="AM375" i="9"/>
  <c r="AL375" i="9"/>
  <c r="AK375" i="9"/>
  <c r="AO374" i="9"/>
  <c r="AN374" i="9"/>
  <c r="AM374" i="9"/>
  <c r="AL374" i="9"/>
  <c r="AK374" i="9"/>
  <c r="AO373" i="9"/>
  <c r="AN373" i="9"/>
  <c r="AM373" i="9"/>
  <c r="AL373" i="9"/>
  <c r="AK373" i="9"/>
  <c r="AO372" i="9"/>
  <c r="AN372" i="9"/>
  <c r="AM372" i="9"/>
  <c r="AL372" i="9"/>
  <c r="AK372" i="9"/>
  <c r="AO371" i="9"/>
  <c r="AN371" i="9"/>
  <c r="AM371" i="9"/>
  <c r="AL371" i="9"/>
  <c r="AK371" i="9"/>
  <c r="AO370" i="9"/>
  <c r="AN370" i="9"/>
  <c r="AM370" i="9"/>
  <c r="AL370" i="9"/>
  <c r="AK370" i="9"/>
  <c r="AO369" i="9"/>
  <c r="AN369" i="9"/>
  <c r="AM369" i="9"/>
  <c r="AL369" i="9"/>
  <c r="AK369" i="9"/>
  <c r="AO368" i="9"/>
  <c r="AN368" i="9"/>
  <c r="AM368" i="9"/>
  <c r="AL368" i="9"/>
  <c r="AK368" i="9"/>
  <c r="AO367" i="9"/>
  <c r="AN367" i="9"/>
  <c r="AM367" i="9"/>
  <c r="AL367" i="9"/>
  <c r="AK367" i="9"/>
  <c r="AO366" i="9"/>
  <c r="AN366" i="9"/>
  <c r="AM366" i="9"/>
  <c r="AL366" i="9"/>
  <c r="AK366" i="9"/>
  <c r="AO365" i="9"/>
  <c r="AN365" i="9"/>
  <c r="AM365" i="9"/>
  <c r="AL365" i="9"/>
  <c r="AK365" i="9"/>
  <c r="AO364" i="9"/>
  <c r="AN364" i="9"/>
  <c r="AM364" i="9"/>
  <c r="AL364" i="9"/>
  <c r="AK364" i="9"/>
  <c r="AO363" i="9"/>
  <c r="AN363" i="9"/>
  <c r="AM363" i="9"/>
  <c r="AL363" i="9"/>
  <c r="AK363" i="9"/>
  <c r="AO362" i="9"/>
  <c r="AN362" i="9"/>
  <c r="AM362" i="9"/>
  <c r="AL362" i="9"/>
  <c r="AK362" i="9"/>
  <c r="AO361" i="9"/>
  <c r="AN361" i="9"/>
  <c r="AM361" i="9"/>
  <c r="AL361" i="9"/>
  <c r="AK361" i="9"/>
  <c r="AO360" i="9"/>
  <c r="AN360" i="9"/>
  <c r="AM360" i="9"/>
  <c r="AL360" i="9"/>
  <c r="AK360" i="9"/>
  <c r="AO359" i="9"/>
  <c r="AN359" i="9"/>
  <c r="AM359" i="9"/>
  <c r="AL359" i="9"/>
  <c r="AK359" i="9"/>
  <c r="AO358" i="9"/>
  <c r="AN358" i="9"/>
  <c r="AM358" i="9"/>
  <c r="AL358" i="9"/>
  <c r="AK358" i="9"/>
  <c r="AO357" i="9"/>
  <c r="AN357" i="9"/>
  <c r="AM357" i="9"/>
  <c r="AL357" i="9"/>
  <c r="AK357" i="9"/>
  <c r="AO356" i="9"/>
  <c r="AN356" i="9"/>
  <c r="AM356" i="9"/>
  <c r="AL356" i="9"/>
  <c r="AK356" i="9"/>
  <c r="AO355" i="9"/>
  <c r="AN355" i="9"/>
  <c r="AM355" i="9"/>
  <c r="AL355" i="9"/>
  <c r="AK355" i="9"/>
  <c r="AO354" i="9"/>
  <c r="AN354" i="9"/>
  <c r="AM354" i="9"/>
  <c r="AL354" i="9"/>
  <c r="AK354" i="9"/>
  <c r="AO353" i="9"/>
  <c r="AN353" i="9"/>
  <c r="AM353" i="9"/>
  <c r="AL353" i="9"/>
  <c r="AK353" i="9"/>
  <c r="AO352" i="9"/>
  <c r="AN352" i="9"/>
  <c r="AM352" i="9"/>
  <c r="AL352" i="9"/>
  <c r="AK352" i="9"/>
  <c r="AO351" i="9"/>
  <c r="AN351" i="9"/>
  <c r="AM351" i="9"/>
  <c r="AL351" i="9"/>
  <c r="AK351" i="9"/>
  <c r="AO350" i="9"/>
  <c r="AN350" i="9"/>
  <c r="AM350" i="9"/>
  <c r="AL350" i="9"/>
  <c r="AK350" i="9"/>
  <c r="AO349" i="9"/>
  <c r="AN349" i="9"/>
  <c r="AM349" i="9"/>
  <c r="AL349" i="9"/>
  <c r="AK349" i="9"/>
  <c r="AO348" i="9"/>
  <c r="AN348" i="9"/>
  <c r="AM348" i="9"/>
  <c r="AL348" i="9"/>
  <c r="AK348" i="9"/>
  <c r="AO347" i="9"/>
  <c r="AN347" i="9"/>
  <c r="AM347" i="9"/>
  <c r="AL347" i="9"/>
  <c r="AK347" i="9"/>
  <c r="AO346" i="9"/>
  <c r="AN346" i="9"/>
  <c r="AM346" i="9"/>
  <c r="AL346" i="9"/>
  <c r="AK346" i="9"/>
  <c r="AO345" i="9"/>
  <c r="AN345" i="9"/>
  <c r="AM345" i="9"/>
  <c r="AL345" i="9"/>
  <c r="AK345" i="9"/>
  <c r="AO344" i="9"/>
  <c r="AN344" i="9"/>
  <c r="AM344" i="9"/>
  <c r="AL344" i="9"/>
  <c r="AK344" i="9"/>
  <c r="AO343" i="9"/>
  <c r="AN343" i="9"/>
  <c r="AM343" i="9"/>
  <c r="AL343" i="9"/>
  <c r="AK343" i="9"/>
  <c r="AO342" i="9"/>
  <c r="AN342" i="9"/>
  <c r="AM342" i="9"/>
  <c r="AL342" i="9"/>
  <c r="AK342" i="9"/>
  <c r="AO341" i="9"/>
  <c r="AN341" i="9"/>
  <c r="AM341" i="9"/>
  <c r="AL341" i="9"/>
  <c r="AK341" i="9"/>
  <c r="AO340" i="9"/>
  <c r="AN340" i="9"/>
  <c r="AM340" i="9"/>
  <c r="AL340" i="9"/>
  <c r="AK340" i="9"/>
  <c r="AO339" i="9"/>
  <c r="AN339" i="9"/>
  <c r="AM339" i="9"/>
  <c r="AL339" i="9"/>
  <c r="AK339" i="9"/>
  <c r="AO338" i="9"/>
  <c r="AN338" i="9"/>
  <c r="AM338" i="9"/>
  <c r="AL338" i="9"/>
  <c r="AK338" i="9"/>
  <c r="AO337" i="9"/>
  <c r="AN337" i="9"/>
  <c r="AM337" i="9"/>
  <c r="AL337" i="9"/>
  <c r="AK337" i="9"/>
  <c r="AO336" i="9"/>
  <c r="AN336" i="9"/>
  <c r="AM336" i="9"/>
  <c r="AL336" i="9"/>
  <c r="AK336" i="9"/>
  <c r="AO335" i="9"/>
  <c r="AN335" i="9"/>
  <c r="AM335" i="9"/>
  <c r="AL335" i="9"/>
  <c r="AK335" i="9"/>
  <c r="AO334" i="9"/>
  <c r="AN334" i="9"/>
  <c r="AM334" i="9"/>
  <c r="AL334" i="9"/>
  <c r="AK334" i="9"/>
  <c r="AO333" i="9"/>
  <c r="AN333" i="9"/>
  <c r="AM333" i="9"/>
  <c r="AL333" i="9"/>
  <c r="AK333" i="9"/>
  <c r="AO332" i="9"/>
  <c r="AN332" i="9"/>
  <c r="AM332" i="9"/>
  <c r="AL332" i="9"/>
  <c r="AK332" i="9"/>
  <c r="AO331" i="9"/>
  <c r="AN331" i="9"/>
  <c r="AM331" i="9"/>
  <c r="AL331" i="9"/>
  <c r="AK331" i="9"/>
  <c r="AO330" i="9"/>
  <c r="AN330" i="9"/>
  <c r="AM330" i="9"/>
  <c r="AL330" i="9"/>
  <c r="AK330" i="9"/>
  <c r="AO329" i="9"/>
  <c r="AN329" i="9"/>
  <c r="AM329" i="9"/>
  <c r="AL329" i="9"/>
  <c r="AK329" i="9"/>
  <c r="AO328" i="9"/>
  <c r="AN328" i="9"/>
  <c r="AM328" i="9"/>
  <c r="AL328" i="9"/>
  <c r="AK328" i="9"/>
  <c r="AO327" i="9"/>
  <c r="AN327" i="9"/>
  <c r="AM327" i="9"/>
  <c r="AL327" i="9"/>
  <c r="AK327" i="9"/>
  <c r="AO326" i="9"/>
  <c r="AN326" i="9"/>
  <c r="AM326" i="9"/>
  <c r="AL326" i="9"/>
  <c r="AK326" i="9"/>
  <c r="AO325" i="9"/>
  <c r="AN325" i="9"/>
  <c r="AM325" i="9"/>
  <c r="AL325" i="9"/>
  <c r="AK325" i="9"/>
  <c r="AO324" i="9"/>
  <c r="AN324" i="9"/>
  <c r="AM324" i="9"/>
  <c r="AL324" i="9"/>
  <c r="AK324" i="9"/>
  <c r="AO323" i="9"/>
  <c r="AN323" i="9"/>
  <c r="AM323" i="9"/>
  <c r="AL323" i="9"/>
  <c r="AK323" i="9"/>
  <c r="AO322" i="9"/>
  <c r="AN322" i="9"/>
  <c r="AM322" i="9"/>
  <c r="AL322" i="9"/>
  <c r="AK322" i="9"/>
  <c r="AO321" i="9"/>
  <c r="AN321" i="9"/>
  <c r="AM321" i="9"/>
  <c r="AL321" i="9"/>
  <c r="AK321" i="9"/>
  <c r="AO320" i="9"/>
  <c r="AN320" i="9"/>
  <c r="AM320" i="9"/>
  <c r="AL320" i="9"/>
  <c r="AK320" i="9"/>
  <c r="AO319" i="9"/>
  <c r="AN319" i="9"/>
  <c r="AM319" i="9"/>
  <c r="AL319" i="9"/>
  <c r="AK319" i="9"/>
  <c r="AO318" i="9"/>
  <c r="AN318" i="9"/>
  <c r="AM318" i="9"/>
  <c r="AL318" i="9"/>
  <c r="AK318" i="9"/>
  <c r="AO317" i="9"/>
  <c r="AN317" i="9"/>
  <c r="AM317" i="9"/>
  <c r="AL317" i="9"/>
  <c r="AK317" i="9"/>
  <c r="AO316" i="9"/>
  <c r="AN316" i="9"/>
  <c r="AM316" i="9"/>
  <c r="AL316" i="9"/>
  <c r="AK316" i="9"/>
  <c r="AO315" i="9"/>
  <c r="AN315" i="9"/>
  <c r="AM315" i="9"/>
  <c r="AL315" i="9"/>
  <c r="AK315" i="9"/>
  <c r="AO314" i="9"/>
  <c r="AN314" i="9"/>
  <c r="AM314" i="9"/>
  <c r="AL314" i="9"/>
  <c r="AK314" i="9"/>
  <c r="AO313" i="9"/>
  <c r="AN313" i="9"/>
  <c r="AM313" i="9"/>
  <c r="AL313" i="9"/>
  <c r="AK313" i="9"/>
  <c r="AO312" i="9"/>
  <c r="AN312" i="9"/>
  <c r="AM312" i="9"/>
  <c r="AL312" i="9"/>
  <c r="AK312" i="9"/>
  <c r="AO311" i="9"/>
  <c r="AN311" i="9"/>
  <c r="AM311" i="9"/>
  <c r="AL311" i="9"/>
  <c r="AK311" i="9"/>
  <c r="AO310" i="9"/>
  <c r="AN310" i="9"/>
  <c r="AM310" i="9"/>
  <c r="AL310" i="9"/>
  <c r="AK310" i="9"/>
  <c r="AO309" i="9"/>
  <c r="AN309" i="9"/>
  <c r="AM309" i="9"/>
  <c r="AL309" i="9"/>
  <c r="AK309" i="9"/>
  <c r="AO308" i="9"/>
  <c r="AN308" i="9"/>
  <c r="AM308" i="9"/>
  <c r="AL308" i="9"/>
  <c r="AK308" i="9"/>
  <c r="AO307" i="9"/>
  <c r="AN307" i="9"/>
  <c r="AM307" i="9"/>
  <c r="AL307" i="9"/>
  <c r="AK307" i="9"/>
  <c r="AO306" i="9"/>
  <c r="AN306" i="9"/>
  <c r="AM306" i="9"/>
  <c r="AL306" i="9"/>
  <c r="AK306" i="9"/>
  <c r="AO305" i="9"/>
  <c r="AN305" i="9"/>
  <c r="AM305" i="9"/>
  <c r="AL305" i="9"/>
  <c r="AK305" i="9"/>
  <c r="AO304" i="9"/>
  <c r="AN304" i="9"/>
  <c r="AM304" i="9"/>
  <c r="AL304" i="9"/>
  <c r="AK304" i="9"/>
  <c r="AO303" i="9"/>
  <c r="AN303" i="9"/>
  <c r="AM303" i="9"/>
  <c r="AL303" i="9"/>
  <c r="AK303" i="9"/>
  <c r="AO302" i="9"/>
  <c r="AN302" i="9"/>
  <c r="AM302" i="9"/>
  <c r="AL302" i="9"/>
  <c r="AK302" i="9"/>
  <c r="AO301" i="9"/>
  <c r="AN301" i="9"/>
  <c r="AM301" i="9"/>
  <c r="AL301" i="9"/>
  <c r="AK301" i="9"/>
  <c r="AO300" i="9"/>
  <c r="AN300" i="9"/>
  <c r="AM300" i="9"/>
  <c r="AL300" i="9"/>
  <c r="AK300" i="9"/>
  <c r="AO299" i="9"/>
  <c r="AN299" i="9"/>
  <c r="AM299" i="9"/>
  <c r="AL299" i="9"/>
  <c r="AK299" i="9"/>
  <c r="AO298" i="9"/>
  <c r="AN298" i="9"/>
  <c r="AM298" i="9"/>
  <c r="AL298" i="9"/>
  <c r="AK298" i="9"/>
  <c r="AO297" i="9"/>
  <c r="AN297" i="9"/>
  <c r="AM297" i="9"/>
  <c r="AL297" i="9"/>
  <c r="AK297" i="9"/>
  <c r="AO296" i="9"/>
  <c r="AN296" i="9"/>
  <c r="AM296" i="9"/>
  <c r="AL296" i="9"/>
  <c r="AK296" i="9"/>
  <c r="AO295" i="9"/>
  <c r="AN295" i="9"/>
  <c r="AM295" i="9"/>
  <c r="AL295" i="9"/>
  <c r="AK295" i="9"/>
  <c r="AO294" i="9"/>
  <c r="AN294" i="9"/>
  <c r="AM294" i="9"/>
  <c r="AL294" i="9"/>
  <c r="AK294" i="9"/>
  <c r="AO293" i="9"/>
  <c r="AN293" i="9"/>
  <c r="AM293" i="9"/>
  <c r="AL293" i="9"/>
  <c r="AK293" i="9"/>
  <c r="AO292" i="9"/>
  <c r="AN292" i="9"/>
  <c r="AM292" i="9"/>
  <c r="AL292" i="9"/>
  <c r="AK292" i="9"/>
  <c r="AO291" i="9"/>
  <c r="AN291" i="9"/>
  <c r="AM291" i="9"/>
  <c r="AL291" i="9"/>
  <c r="AK291" i="9"/>
  <c r="AO290" i="9"/>
  <c r="AN290" i="9"/>
  <c r="AM290" i="9"/>
  <c r="AL290" i="9"/>
  <c r="AK290" i="9"/>
  <c r="AO289" i="9"/>
  <c r="AN289" i="9"/>
  <c r="AM289" i="9"/>
  <c r="AL289" i="9"/>
  <c r="AK289" i="9"/>
  <c r="AO288" i="9"/>
  <c r="AN288" i="9"/>
  <c r="AM288" i="9"/>
  <c r="AL288" i="9"/>
  <c r="AK288" i="9"/>
  <c r="AO287" i="9"/>
  <c r="AN287" i="9"/>
  <c r="AM287" i="9"/>
  <c r="AL287" i="9"/>
  <c r="AK287" i="9"/>
  <c r="AO286" i="9"/>
  <c r="AN286" i="9"/>
  <c r="AM286" i="9"/>
  <c r="AL286" i="9"/>
  <c r="AK286" i="9"/>
  <c r="AO285" i="9"/>
  <c r="AN285" i="9"/>
  <c r="AM285" i="9"/>
  <c r="AL285" i="9"/>
  <c r="AK285" i="9"/>
  <c r="AO284" i="9"/>
  <c r="AN284" i="9"/>
  <c r="AM284" i="9"/>
  <c r="AL284" i="9"/>
  <c r="AK284" i="9"/>
  <c r="AO283" i="9"/>
  <c r="AN283" i="9"/>
  <c r="AM283" i="9"/>
  <c r="AL283" i="9"/>
  <c r="AK283" i="9"/>
  <c r="AO282" i="9"/>
  <c r="AN282" i="9"/>
  <c r="AM282" i="9"/>
  <c r="AL282" i="9"/>
  <c r="AK282" i="9"/>
  <c r="AO281" i="9"/>
  <c r="AN281" i="9"/>
  <c r="AM281" i="9"/>
  <c r="AL281" i="9"/>
  <c r="AK281" i="9"/>
  <c r="AO280" i="9"/>
  <c r="AN280" i="9"/>
  <c r="AM280" i="9"/>
  <c r="AL280" i="9"/>
  <c r="AK280" i="9"/>
  <c r="AO279" i="9"/>
  <c r="AN279" i="9"/>
  <c r="AM279" i="9"/>
  <c r="AL279" i="9"/>
  <c r="AK279" i="9"/>
  <c r="AO278" i="9"/>
  <c r="AN278" i="9"/>
  <c r="AM278" i="9"/>
  <c r="AL278" i="9"/>
  <c r="AK278" i="9"/>
  <c r="AO277" i="9"/>
  <c r="AN277" i="9"/>
  <c r="AM277" i="9"/>
  <c r="AL277" i="9"/>
  <c r="AK277" i="9"/>
  <c r="AO276" i="9"/>
  <c r="AN276" i="9"/>
  <c r="AM276" i="9"/>
  <c r="AL276" i="9"/>
  <c r="AK276" i="9"/>
  <c r="AO275" i="9"/>
  <c r="AN275" i="9"/>
  <c r="AM275" i="9"/>
  <c r="AL275" i="9"/>
  <c r="AK275" i="9"/>
  <c r="AO274" i="9"/>
  <c r="AN274" i="9"/>
  <c r="AM274" i="9"/>
  <c r="AL274" i="9"/>
  <c r="AK274" i="9"/>
  <c r="AO273" i="9"/>
  <c r="AN273" i="9"/>
  <c r="AM273" i="9"/>
  <c r="AL273" i="9"/>
  <c r="AK273" i="9"/>
  <c r="AO272" i="9"/>
  <c r="AN272" i="9"/>
  <c r="AM272" i="9"/>
  <c r="AL272" i="9"/>
  <c r="AK272" i="9"/>
  <c r="AO271" i="9"/>
  <c r="AN271" i="9"/>
  <c r="AM271" i="9"/>
  <c r="AL271" i="9"/>
  <c r="AK271" i="9"/>
  <c r="AO270" i="9"/>
  <c r="AN270" i="9"/>
  <c r="AM270" i="9"/>
  <c r="AL270" i="9"/>
  <c r="AK270" i="9"/>
  <c r="AO269" i="9"/>
  <c r="AN269" i="9"/>
  <c r="AM269" i="9"/>
  <c r="AL269" i="9"/>
  <c r="AK269" i="9"/>
  <c r="AO268" i="9"/>
  <c r="AN268" i="9"/>
  <c r="AM268" i="9"/>
  <c r="AL268" i="9"/>
  <c r="AK268" i="9"/>
  <c r="AO267" i="9"/>
  <c r="AN267" i="9"/>
  <c r="AM267" i="9"/>
  <c r="AL267" i="9"/>
  <c r="AK267" i="9"/>
  <c r="AO266" i="9"/>
  <c r="AN266" i="9"/>
  <c r="AM266" i="9"/>
  <c r="AL266" i="9"/>
  <c r="AK266" i="9"/>
  <c r="AO265" i="9"/>
  <c r="AN265" i="9"/>
  <c r="AM265" i="9"/>
  <c r="AL265" i="9"/>
  <c r="AK265" i="9"/>
  <c r="AO264" i="9"/>
  <c r="AN264" i="9"/>
  <c r="AM264" i="9"/>
  <c r="AL264" i="9"/>
  <c r="AK264" i="9"/>
  <c r="AO263" i="9"/>
  <c r="AN263" i="9"/>
  <c r="AM263" i="9"/>
  <c r="AL263" i="9"/>
  <c r="AK263" i="9"/>
  <c r="AO262" i="9"/>
  <c r="AN262" i="9"/>
  <c r="AM262" i="9"/>
  <c r="AL262" i="9"/>
  <c r="AK262" i="9"/>
  <c r="AO261" i="9"/>
  <c r="AN261" i="9"/>
  <c r="AM261" i="9"/>
  <c r="AL261" i="9"/>
  <c r="AK261" i="9"/>
  <c r="AO260" i="9"/>
  <c r="AN260" i="9"/>
  <c r="AM260" i="9"/>
  <c r="AL260" i="9"/>
  <c r="AK260" i="9"/>
  <c r="AO259" i="9"/>
  <c r="AN259" i="9"/>
  <c r="AM259" i="9"/>
  <c r="AL259" i="9"/>
  <c r="AK259" i="9"/>
  <c r="AO258" i="9"/>
  <c r="AN258" i="9"/>
  <c r="AM258" i="9"/>
  <c r="AL258" i="9"/>
  <c r="AK258" i="9"/>
  <c r="AO257" i="9"/>
  <c r="AN257" i="9"/>
  <c r="AM257" i="9"/>
  <c r="AL257" i="9"/>
  <c r="AK257" i="9"/>
  <c r="AO256" i="9"/>
  <c r="AN256" i="9"/>
  <c r="AM256" i="9"/>
  <c r="AL256" i="9"/>
  <c r="AK256" i="9"/>
  <c r="AO255" i="9"/>
  <c r="AN255" i="9"/>
  <c r="AM255" i="9"/>
  <c r="AL255" i="9"/>
  <c r="AK255" i="9"/>
  <c r="AO254" i="9"/>
  <c r="AN254" i="9"/>
  <c r="AM254" i="9"/>
  <c r="AL254" i="9"/>
  <c r="AK254" i="9"/>
  <c r="AO253" i="9"/>
  <c r="AN253" i="9"/>
  <c r="AM253" i="9"/>
  <c r="AL253" i="9"/>
  <c r="AK253" i="9"/>
  <c r="AO252" i="9"/>
  <c r="AN252" i="9"/>
  <c r="AM252" i="9"/>
  <c r="AL252" i="9"/>
  <c r="AK252" i="9"/>
  <c r="AO251" i="9"/>
  <c r="AN251" i="9"/>
  <c r="AM251" i="9"/>
  <c r="AL251" i="9"/>
  <c r="AK251" i="9"/>
  <c r="AO250" i="9"/>
  <c r="AN250" i="9"/>
  <c r="AM250" i="9"/>
  <c r="AL250" i="9"/>
  <c r="AK250" i="9"/>
  <c r="AO249" i="9"/>
  <c r="AN249" i="9"/>
  <c r="AM249" i="9"/>
  <c r="AL249" i="9"/>
  <c r="AK249" i="9"/>
  <c r="AO248" i="9"/>
  <c r="AN248" i="9"/>
  <c r="AM248" i="9"/>
  <c r="AL248" i="9"/>
  <c r="AK248" i="9"/>
  <c r="AO247" i="9"/>
  <c r="AN247" i="9"/>
  <c r="AM247" i="9"/>
  <c r="AL247" i="9"/>
  <c r="AK247" i="9"/>
  <c r="AO246" i="9"/>
  <c r="AN246" i="9"/>
  <c r="AM246" i="9"/>
  <c r="AL246" i="9"/>
  <c r="AK246" i="9"/>
  <c r="AO245" i="9"/>
  <c r="AN245" i="9"/>
  <c r="AM245" i="9"/>
  <c r="AL245" i="9"/>
  <c r="AK245" i="9"/>
  <c r="AO244" i="9"/>
  <c r="AN244" i="9"/>
  <c r="AM244" i="9"/>
  <c r="AL244" i="9"/>
  <c r="AK244" i="9"/>
  <c r="AO243" i="9"/>
  <c r="AN243" i="9"/>
  <c r="AM243" i="9"/>
  <c r="AL243" i="9"/>
  <c r="AK243" i="9"/>
  <c r="AO242" i="9"/>
  <c r="AN242" i="9"/>
  <c r="AM242" i="9"/>
  <c r="AL242" i="9"/>
  <c r="AK242" i="9"/>
  <c r="AO241" i="9"/>
  <c r="AN241" i="9"/>
  <c r="AM241" i="9"/>
  <c r="AL241" i="9"/>
  <c r="AK241" i="9"/>
  <c r="AO240" i="9"/>
  <c r="AN240" i="9"/>
  <c r="AM240" i="9"/>
  <c r="AL240" i="9"/>
  <c r="AK240" i="9"/>
  <c r="AO239" i="9"/>
  <c r="AN239" i="9"/>
  <c r="AM239" i="9"/>
  <c r="AL239" i="9"/>
  <c r="AK239" i="9"/>
  <c r="AO238" i="9"/>
  <c r="AN238" i="9"/>
  <c r="AM238" i="9"/>
  <c r="AL238" i="9"/>
  <c r="AK238" i="9"/>
  <c r="AO237" i="9"/>
  <c r="AN237" i="9"/>
  <c r="AM237" i="9"/>
  <c r="AL237" i="9"/>
  <c r="AK237" i="9"/>
  <c r="AO236" i="9"/>
  <c r="AN236" i="9"/>
  <c r="AM236" i="9"/>
  <c r="AL236" i="9"/>
  <c r="AK236" i="9"/>
  <c r="AO235" i="9"/>
  <c r="AN235" i="9"/>
  <c r="AM235" i="9"/>
  <c r="AL235" i="9"/>
  <c r="AK235" i="9"/>
  <c r="AO234" i="9"/>
  <c r="AN234" i="9"/>
  <c r="AM234" i="9"/>
  <c r="AL234" i="9"/>
  <c r="AK234" i="9"/>
  <c r="AO233" i="9"/>
  <c r="AN233" i="9"/>
  <c r="AM233" i="9"/>
  <c r="AL233" i="9"/>
  <c r="AK233" i="9"/>
  <c r="AO232" i="9"/>
  <c r="AN232" i="9"/>
  <c r="AM232" i="9"/>
  <c r="AL232" i="9"/>
  <c r="AK232" i="9"/>
  <c r="AO231" i="9"/>
  <c r="AN231" i="9"/>
  <c r="AM231" i="9"/>
  <c r="AL231" i="9"/>
  <c r="AK231" i="9"/>
  <c r="AO230" i="9"/>
  <c r="AN230" i="9"/>
  <c r="AM230" i="9"/>
  <c r="AL230" i="9"/>
  <c r="AK230" i="9"/>
  <c r="AO229" i="9"/>
  <c r="AN229" i="9"/>
  <c r="AM229" i="9"/>
  <c r="AL229" i="9"/>
  <c r="AK229" i="9"/>
  <c r="AO228" i="9"/>
  <c r="AN228" i="9"/>
  <c r="AM228" i="9"/>
  <c r="AL228" i="9"/>
  <c r="AK228" i="9"/>
  <c r="AO227" i="9"/>
  <c r="AN227" i="9"/>
  <c r="AM227" i="9"/>
  <c r="AL227" i="9"/>
  <c r="AK227" i="9"/>
  <c r="AO226" i="9"/>
  <c r="AN226" i="9"/>
  <c r="AM226" i="9"/>
  <c r="AL226" i="9"/>
  <c r="AK226" i="9"/>
  <c r="AO225" i="9"/>
  <c r="AN225" i="9"/>
  <c r="AM225" i="9"/>
  <c r="AL225" i="9"/>
  <c r="AK225" i="9"/>
  <c r="AO224" i="9"/>
  <c r="AN224" i="9"/>
  <c r="AM224" i="9"/>
  <c r="AL224" i="9"/>
  <c r="AK224" i="9"/>
  <c r="AO223" i="9"/>
  <c r="AN223" i="9"/>
  <c r="AM223" i="9"/>
  <c r="AL223" i="9"/>
  <c r="AK223" i="9"/>
  <c r="AO222" i="9"/>
  <c r="AN222" i="9"/>
  <c r="AM222" i="9"/>
  <c r="AL222" i="9"/>
  <c r="AK222" i="9"/>
  <c r="AO221" i="9"/>
  <c r="AN221" i="9"/>
  <c r="AM221" i="9"/>
  <c r="AL221" i="9"/>
  <c r="AK221" i="9"/>
  <c r="AO220" i="9"/>
  <c r="AN220" i="9"/>
  <c r="AM220" i="9"/>
  <c r="AL220" i="9"/>
  <c r="AK220" i="9"/>
  <c r="AO219" i="9"/>
  <c r="AN219" i="9"/>
  <c r="AM219" i="9"/>
  <c r="AL219" i="9"/>
  <c r="AK219" i="9"/>
  <c r="AO218" i="9"/>
  <c r="AN218" i="9"/>
  <c r="AM218" i="9"/>
  <c r="AL218" i="9"/>
  <c r="AK218" i="9"/>
  <c r="AO217" i="9"/>
  <c r="AN217" i="9"/>
  <c r="AM217" i="9"/>
  <c r="AL217" i="9"/>
  <c r="AK217" i="9"/>
  <c r="AO216" i="9"/>
  <c r="AN216" i="9"/>
  <c r="AM216" i="9"/>
  <c r="AL216" i="9"/>
  <c r="AK216" i="9"/>
  <c r="AO215" i="9"/>
  <c r="AN215" i="9"/>
  <c r="AM215" i="9"/>
  <c r="AL215" i="9"/>
  <c r="AK215" i="9"/>
  <c r="AO214" i="9"/>
  <c r="AN214" i="9"/>
  <c r="AM214" i="9"/>
  <c r="AL214" i="9"/>
  <c r="AK214" i="9"/>
  <c r="AO213" i="9"/>
  <c r="AN213" i="9"/>
  <c r="AM213" i="9"/>
  <c r="AL213" i="9"/>
  <c r="AK213" i="9"/>
  <c r="AO212" i="9"/>
  <c r="AN212" i="9"/>
  <c r="AM212" i="9"/>
  <c r="AL212" i="9"/>
  <c r="AK212" i="9"/>
  <c r="AO211" i="9"/>
  <c r="AN211" i="9"/>
  <c r="AM211" i="9"/>
  <c r="AL211" i="9"/>
  <c r="AK211" i="9"/>
  <c r="AO210" i="9"/>
  <c r="AN210" i="9"/>
  <c r="AM210" i="9"/>
  <c r="AL210" i="9"/>
  <c r="AK210" i="9"/>
  <c r="AO209" i="9"/>
  <c r="AN209" i="9"/>
  <c r="AM209" i="9"/>
  <c r="AL209" i="9"/>
  <c r="AK209" i="9"/>
  <c r="AO208" i="9"/>
  <c r="AN208" i="9"/>
  <c r="AM208" i="9"/>
  <c r="AL208" i="9"/>
  <c r="AK208" i="9"/>
  <c r="AO207" i="9"/>
  <c r="AN207" i="9"/>
  <c r="AM207" i="9"/>
  <c r="AL207" i="9"/>
  <c r="AK207" i="9"/>
  <c r="AO206" i="9"/>
  <c r="AN206" i="9"/>
  <c r="AM206" i="9"/>
  <c r="AL206" i="9"/>
  <c r="AK206" i="9"/>
  <c r="AO205" i="9"/>
  <c r="AN205" i="9"/>
  <c r="AM205" i="9"/>
  <c r="AL205" i="9"/>
  <c r="AK205" i="9"/>
  <c r="AO204" i="9"/>
  <c r="AN204" i="9"/>
  <c r="AM204" i="9"/>
  <c r="AL204" i="9"/>
  <c r="AK204" i="9"/>
  <c r="AO203" i="9"/>
  <c r="AN203" i="9"/>
  <c r="AM203" i="9"/>
  <c r="AL203" i="9"/>
  <c r="AK203" i="9"/>
  <c r="AO202" i="9"/>
  <c r="AN202" i="9"/>
  <c r="AM202" i="9"/>
  <c r="AL202" i="9"/>
  <c r="AK202" i="9"/>
  <c r="AO201" i="9"/>
  <c r="AN201" i="9"/>
  <c r="AM201" i="9"/>
  <c r="AL201" i="9"/>
  <c r="AK201" i="9"/>
  <c r="AO200" i="9"/>
  <c r="AN200" i="9"/>
  <c r="AM200" i="9"/>
  <c r="AL200" i="9"/>
  <c r="AK200" i="9"/>
  <c r="AO199" i="9"/>
  <c r="AN199" i="9"/>
  <c r="AM199" i="9"/>
  <c r="AL199" i="9"/>
  <c r="AK199" i="9"/>
  <c r="AO198" i="9"/>
  <c r="AN198" i="9"/>
  <c r="AM198" i="9"/>
  <c r="AL198" i="9"/>
  <c r="AK198" i="9"/>
  <c r="AO197" i="9"/>
  <c r="AN197" i="9"/>
  <c r="AM197" i="9"/>
  <c r="AL197" i="9"/>
  <c r="AK197" i="9"/>
  <c r="AO196" i="9"/>
  <c r="AN196" i="9"/>
  <c r="AM196" i="9"/>
  <c r="AL196" i="9"/>
  <c r="AK196" i="9"/>
  <c r="AO195" i="9"/>
  <c r="AN195" i="9"/>
  <c r="AM195" i="9"/>
  <c r="AL195" i="9"/>
  <c r="AK195" i="9"/>
  <c r="AO194" i="9"/>
  <c r="AN194" i="9"/>
  <c r="AM194" i="9"/>
  <c r="AL194" i="9"/>
  <c r="AK194" i="9"/>
  <c r="AO193" i="9"/>
  <c r="AN193" i="9"/>
  <c r="AM193" i="9"/>
  <c r="AL193" i="9"/>
  <c r="AK193" i="9"/>
  <c r="AO192" i="9"/>
  <c r="AN192" i="9"/>
  <c r="AM192" i="9"/>
  <c r="AL192" i="9"/>
  <c r="AK192" i="9"/>
  <c r="AO191" i="9"/>
  <c r="AN191" i="9"/>
  <c r="AM191" i="9"/>
  <c r="AL191" i="9"/>
  <c r="AK191" i="9"/>
  <c r="AO190" i="9"/>
  <c r="AN190" i="9"/>
  <c r="AM190" i="9"/>
  <c r="AL190" i="9"/>
  <c r="AK190" i="9"/>
  <c r="AO189" i="9"/>
  <c r="AN189" i="9"/>
  <c r="AM189" i="9"/>
  <c r="AL189" i="9"/>
  <c r="AK189" i="9"/>
  <c r="AO188" i="9"/>
  <c r="AN188" i="9"/>
  <c r="AM188" i="9"/>
  <c r="AL188" i="9"/>
  <c r="AK188" i="9"/>
  <c r="AO187" i="9"/>
  <c r="AN187" i="9"/>
  <c r="AM187" i="9"/>
  <c r="AL187" i="9"/>
  <c r="AK187" i="9"/>
  <c r="AO186" i="9"/>
  <c r="AN186" i="9"/>
  <c r="AM186" i="9"/>
  <c r="AL186" i="9"/>
  <c r="AK186" i="9"/>
  <c r="AO185" i="9"/>
  <c r="AN185" i="9"/>
  <c r="AM185" i="9"/>
  <c r="AL185" i="9"/>
  <c r="AK185" i="9"/>
  <c r="AO184" i="9"/>
  <c r="AN184" i="9"/>
  <c r="AM184" i="9"/>
  <c r="AL184" i="9"/>
  <c r="AK184" i="9"/>
  <c r="AO183" i="9"/>
  <c r="AN183" i="9"/>
  <c r="AM183" i="9"/>
  <c r="AL183" i="9"/>
  <c r="AK183" i="9"/>
  <c r="AO182" i="9"/>
  <c r="AN182" i="9"/>
  <c r="AM182" i="9"/>
  <c r="AL182" i="9"/>
  <c r="AK182" i="9"/>
  <c r="AO181" i="9"/>
  <c r="AN181" i="9"/>
  <c r="AM181" i="9"/>
  <c r="AL181" i="9"/>
  <c r="AK181" i="9"/>
  <c r="AO180" i="9"/>
  <c r="AN180" i="9"/>
  <c r="AM180" i="9"/>
  <c r="AL180" i="9"/>
  <c r="AK180" i="9"/>
  <c r="AO179" i="9"/>
  <c r="AN179" i="9"/>
  <c r="AM179" i="9"/>
  <c r="AL179" i="9"/>
  <c r="AK179" i="9"/>
  <c r="AO178" i="9"/>
  <c r="AN178" i="9"/>
  <c r="AM178" i="9"/>
  <c r="AL178" i="9"/>
  <c r="AK178" i="9"/>
  <c r="AO177" i="9"/>
  <c r="AN177" i="9"/>
  <c r="AM177" i="9"/>
  <c r="AL177" i="9"/>
  <c r="AK177" i="9"/>
  <c r="AO176" i="9"/>
  <c r="AN176" i="9"/>
  <c r="AM176" i="9"/>
  <c r="AL176" i="9"/>
  <c r="AK176" i="9"/>
  <c r="AO175" i="9"/>
  <c r="AN175" i="9"/>
  <c r="AM175" i="9"/>
  <c r="AL175" i="9"/>
  <c r="AK175" i="9"/>
  <c r="AO174" i="9"/>
  <c r="AN174" i="9"/>
  <c r="AM174" i="9"/>
  <c r="AL174" i="9"/>
  <c r="AK174" i="9"/>
  <c r="AO173" i="9"/>
  <c r="AN173" i="9"/>
  <c r="AM173" i="9"/>
  <c r="AL173" i="9"/>
  <c r="AK173" i="9"/>
  <c r="AO172" i="9"/>
  <c r="AN172" i="9"/>
  <c r="AM172" i="9"/>
  <c r="AL172" i="9"/>
  <c r="AK172" i="9"/>
  <c r="AO171" i="9"/>
  <c r="AN171" i="9"/>
  <c r="AM171" i="9"/>
  <c r="AL171" i="9"/>
  <c r="AK171" i="9"/>
  <c r="AO170" i="9"/>
  <c r="AN170" i="9"/>
  <c r="AM170" i="9"/>
  <c r="AL170" i="9"/>
  <c r="AK170" i="9"/>
  <c r="AO169" i="9"/>
  <c r="AN169" i="9"/>
  <c r="AM169" i="9"/>
  <c r="AL169" i="9"/>
  <c r="AK169" i="9"/>
  <c r="AO168" i="9"/>
  <c r="AN168" i="9"/>
  <c r="AM168" i="9"/>
  <c r="AL168" i="9"/>
  <c r="AK168" i="9"/>
  <c r="AO167" i="9"/>
  <c r="AN167" i="9"/>
  <c r="AM167" i="9"/>
  <c r="AL167" i="9"/>
  <c r="AK167" i="9"/>
  <c r="AO166" i="9"/>
  <c r="AN166" i="9"/>
  <c r="AM166" i="9"/>
  <c r="AL166" i="9"/>
  <c r="AK166" i="9"/>
  <c r="AO165" i="9"/>
  <c r="AN165" i="9"/>
  <c r="AM165" i="9"/>
  <c r="AL165" i="9"/>
  <c r="AK165" i="9"/>
  <c r="AO164" i="9"/>
  <c r="AN164" i="9"/>
  <c r="AM164" i="9"/>
  <c r="AL164" i="9"/>
  <c r="AK164" i="9"/>
  <c r="AO163" i="9"/>
  <c r="AN163" i="9"/>
  <c r="AM163" i="9"/>
  <c r="AL163" i="9"/>
  <c r="AK163" i="9"/>
  <c r="AO162" i="9"/>
  <c r="AN162" i="9"/>
  <c r="AM162" i="9"/>
  <c r="AL162" i="9"/>
  <c r="AK162" i="9"/>
  <c r="AO161" i="9"/>
  <c r="AN161" i="9"/>
  <c r="AM161" i="9"/>
  <c r="AL161" i="9"/>
  <c r="AK161" i="9"/>
  <c r="AO160" i="9"/>
  <c r="AN160" i="9"/>
  <c r="AM160" i="9"/>
  <c r="AL160" i="9"/>
  <c r="AK160" i="9"/>
  <c r="AO159" i="9"/>
  <c r="AN159" i="9"/>
  <c r="AM159" i="9"/>
  <c r="AL159" i="9"/>
  <c r="AK159" i="9"/>
  <c r="AO158" i="9"/>
  <c r="AN158" i="9"/>
  <c r="AM158" i="9"/>
  <c r="AL158" i="9"/>
  <c r="AK158" i="9"/>
  <c r="AO157" i="9"/>
  <c r="AN157" i="9"/>
  <c r="AM157" i="9"/>
  <c r="AL157" i="9"/>
  <c r="AK157" i="9"/>
  <c r="AO156" i="9"/>
  <c r="AN156" i="9"/>
  <c r="AM156" i="9"/>
  <c r="AL156" i="9"/>
  <c r="AK156" i="9"/>
  <c r="AO155" i="9"/>
  <c r="AN155" i="9"/>
  <c r="AM155" i="9"/>
  <c r="AL155" i="9"/>
  <c r="AK155" i="9"/>
  <c r="AO154" i="9"/>
  <c r="AN154" i="9"/>
  <c r="AM154" i="9"/>
  <c r="AL154" i="9"/>
  <c r="AK154" i="9"/>
  <c r="AO153" i="9"/>
  <c r="AN153" i="9"/>
  <c r="AM153" i="9"/>
  <c r="AL153" i="9"/>
  <c r="AK153" i="9"/>
  <c r="AO152" i="9"/>
  <c r="AN152" i="9"/>
  <c r="AM152" i="9"/>
  <c r="AL152" i="9"/>
  <c r="AK152" i="9"/>
  <c r="AO151" i="9"/>
  <c r="AN151" i="9"/>
  <c r="AM151" i="9"/>
  <c r="AL151" i="9"/>
  <c r="AK151" i="9"/>
  <c r="AO150" i="9"/>
  <c r="AN150" i="9"/>
  <c r="AM150" i="9"/>
  <c r="AL150" i="9"/>
  <c r="AK150" i="9"/>
  <c r="AO149" i="9"/>
  <c r="AN149" i="9"/>
  <c r="AM149" i="9"/>
  <c r="AL149" i="9"/>
  <c r="AK149" i="9"/>
  <c r="AO148" i="9"/>
  <c r="AN148" i="9"/>
  <c r="AM148" i="9"/>
  <c r="AL148" i="9"/>
  <c r="AK148" i="9"/>
  <c r="AO147" i="9"/>
  <c r="AN147" i="9"/>
  <c r="AM147" i="9"/>
  <c r="AL147" i="9"/>
  <c r="AK147" i="9"/>
  <c r="AO146" i="9"/>
  <c r="AN146" i="9"/>
  <c r="AM146" i="9"/>
  <c r="AL146" i="9"/>
  <c r="AK146" i="9"/>
  <c r="AO145" i="9"/>
  <c r="AN145" i="9"/>
  <c r="AM145" i="9"/>
  <c r="AL145" i="9"/>
  <c r="AK145" i="9"/>
  <c r="AO144" i="9"/>
  <c r="AN144" i="9"/>
  <c r="AM144" i="9"/>
  <c r="AL144" i="9"/>
  <c r="AK144" i="9"/>
  <c r="AO143" i="9"/>
  <c r="AN143" i="9"/>
  <c r="AM143" i="9"/>
  <c r="AL143" i="9"/>
  <c r="AK143" i="9"/>
  <c r="AO142" i="9"/>
  <c r="AN142" i="9"/>
  <c r="AM142" i="9"/>
  <c r="AL142" i="9"/>
  <c r="AK142" i="9"/>
  <c r="AO141" i="9"/>
  <c r="AN141" i="9"/>
  <c r="AM141" i="9"/>
  <c r="AL141" i="9"/>
  <c r="AK141" i="9"/>
  <c r="AO140" i="9"/>
  <c r="AN140" i="9"/>
  <c r="AM140" i="9"/>
  <c r="AL140" i="9"/>
  <c r="AK140" i="9"/>
  <c r="AO139" i="9"/>
  <c r="AN139" i="9"/>
  <c r="AM139" i="9"/>
  <c r="AL139" i="9"/>
  <c r="AK139" i="9"/>
  <c r="AO138" i="9"/>
  <c r="AN138" i="9"/>
  <c r="AM138" i="9"/>
  <c r="AL138" i="9"/>
  <c r="AK138" i="9"/>
  <c r="AO137" i="9"/>
  <c r="AN137" i="9"/>
  <c r="AM137" i="9"/>
  <c r="AL137" i="9"/>
  <c r="AK137" i="9"/>
  <c r="AO136" i="9"/>
  <c r="AN136" i="9"/>
  <c r="AM136" i="9"/>
  <c r="AL136" i="9"/>
  <c r="AK136" i="9"/>
  <c r="AO135" i="9"/>
  <c r="AN135" i="9"/>
  <c r="AM135" i="9"/>
  <c r="AL135" i="9"/>
  <c r="AK135" i="9"/>
  <c r="AO134" i="9"/>
  <c r="AN134" i="9"/>
  <c r="AM134" i="9"/>
  <c r="AL134" i="9"/>
  <c r="AK134" i="9"/>
  <c r="AO133" i="9"/>
  <c r="AN133" i="9"/>
  <c r="AM133" i="9"/>
  <c r="AL133" i="9"/>
  <c r="AK133" i="9"/>
  <c r="AO132" i="9"/>
  <c r="AN132" i="9"/>
  <c r="AM132" i="9"/>
  <c r="AL132" i="9"/>
  <c r="AK132" i="9"/>
  <c r="AO131" i="9"/>
  <c r="AN131" i="9"/>
  <c r="AM131" i="9"/>
  <c r="AL131" i="9"/>
  <c r="AK131" i="9"/>
  <c r="AO130" i="9"/>
  <c r="AN130" i="9"/>
  <c r="AM130" i="9"/>
  <c r="AL130" i="9"/>
  <c r="AK130" i="9"/>
  <c r="AO129" i="9"/>
  <c r="AN129" i="9"/>
  <c r="AM129" i="9"/>
  <c r="AL129" i="9"/>
  <c r="AK129" i="9"/>
  <c r="AO128" i="9"/>
  <c r="AN128" i="9"/>
  <c r="AM128" i="9"/>
  <c r="AL128" i="9"/>
  <c r="AK128" i="9"/>
  <c r="AO127" i="9"/>
  <c r="AN127" i="9"/>
  <c r="AM127" i="9"/>
  <c r="AL127" i="9"/>
  <c r="AK127" i="9"/>
  <c r="AO126" i="9"/>
  <c r="AN126" i="9"/>
  <c r="AM126" i="9"/>
  <c r="AL126" i="9"/>
  <c r="AK126" i="9"/>
  <c r="AO125" i="9"/>
  <c r="AN125" i="9"/>
  <c r="AM125" i="9"/>
  <c r="AL125" i="9"/>
  <c r="AK125" i="9"/>
  <c r="AO124" i="9"/>
  <c r="AN124" i="9"/>
  <c r="AM124" i="9"/>
  <c r="AL124" i="9"/>
  <c r="AK124" i="9"/>
  <c r="AO123" i="9"/>
  <c r="AN123" i="9"/>
  <c r="AM123" i="9"/>
  <c r="AL123" i="9"/>
  <c r="AK123" i="9"/>
  <c r="AO122" i="9"/>
  <c r="AN122" i="9"/>
  <c r="AM122" i="9"/>
  <c r="AL122" i="9"/>
  <c r="AK122" i="9"/>
  <c r="AO121" i="9"/>
  <c r="AN121" i="9"/>
  <c r="AM121" i="9"/>
  <c r="AL121" i="9"/>
  <c r="AK121" i="9"/>
  <c r="AO120" i="9"/>
  <c r="AN120" i="9"/>
  <c r="AM120" i="9"/>
  <c r="AL120" i="9"/>
  <c r="AK120" i="9"/>
  <c r="AO119" i="9"/>
  <c r="AN119" i="9"/>
  <c r="AM119" i="9"/>
  <c r="AL119" i="9"/>
  <c r="AK119" i="9"/>
  <c r="AO118" i="9"/>
  <c r="AN118" i="9"/>
  <c r="AM118" i="9"/>
  <c r="AL118" i="9"/>
  <c r="AK118" i="9"/>
  <c r="AO117" i="9"/>
  <c r="AN117" i="9"/>
  <c r="AM117" i="9"/>
  <c r="AL117" i="9"/>
  <c r="AK117" i="9"/>
  <c r="AO116" i="9"/>
  <c r="AN116" i="9"/>
  <c r="AM116" i="9"/>
  <c r="AL116" i="9"/>
  <c r="AK116" i="9"/>
  <c r="AO115" i="9"/>
  <c r="AN115" i="9"/>
  <c r="AM115" i="9"/>
  <c r="AL115" i="9"/>
  <c r="AK115" i="9"/>
  <c r="AO114" i="9"/>
  <c r="AN114" i="9"/>
  <c r="AM114" i="9"/>
  <c r="AL114" i="9"/>
  <c r="AK114" i="9"/>
  <c r="AO113" i="9"/>
  <c r="AN113" i="9"/>
  <c r="AM113" i="9"/>
  <c r="AL113" i="9"/>
  <c r="AK113" i="9"/>
  <c r="AO112" i="9"/>
  <c r="AN112" i="9"/>
  <c r="AM112" i="9"/>
  <c r="AL112" i="9"/>
  <c r="AK112" i="9"/>
  <c r="AO111" i="9"/>
  <c r="AN111" i="9"/>
  <c r="AM111" i="9"/>
  <c r="AL111" i="9"/>
  <c r="AK111" i="9"/>
  <c r="AO110" i="9"/>
  <c r="AN110" i="9"/>
  <c r="AM110" i="9"/>
  <c r="AL110" i="9"/>
  <c r="AK110" i="9"/>
  <c r="AO109" i="9"/>
  <c r="AN109" i="9"/>
  <c r="AM109" i="9"/>
  <c r="AL109" i="9"/>
  <c r="AK109" i="9"/>
  <c r="AO108" i="9"/>
  <c r="AN108" i="9"/>
  <c r="AM108" i="9"/>
  <c r="AL108" i="9"/>
  <c r="AK108" i="9"/>
  <c r="AO107" i="9"/>
  <c r="AN107" i="9"/>
  <c r="AM107" i="9"/>
  <c r="AL107" i="9"/>
  <c r="AK107" i="9"/>
  <c r="AO106" i="9"/>
  <c r="AN106" i="9"/>
  <c r="AM106" i="9"/>
  <c r="AL106" i="9"/>
  <c r="AK106" i="9"/>
  <c r="AO105" i="9"/>
  <c r="AN105" i="9"/>
  <c r="AM105" i="9"/>
  <c r="AL105" i="9"/>
  <c r="AK105" i="9"/>
  <c r="AO104" i="9"/>
  <c r="AN104" i="9"/>
  <c r="AM104" i="9"/>
  <c r="AL104" i="9"/>
  <c r="AK104" i="9"/>
  <c r="AO103" i="9"/>
  <c r="AN103" i="9"/>
  <c r="AM103" i="9"/>
  <c r="AL103" i="9"/>
  <c r="AK103" i="9"/>
  <c r="AO102" i="9"/>
  <c r="AN102" i="9"/>
  <c r="AM102" i="9"/>
  <c r="AL102" i="9"/>
  <c r="AK102" i="9"/>
  <c r="AO101" i="9"/>
  <c r="AN101" i="9"/>
  <c r="AM101" i="9"/>
  <c r="AL101" i="9"/>
  <c r="AK101" i="9"/>
  <c r="AO100" i="9"/>
  <c r="AN100" i="9"/>
  <c r="AM100" i="9"/>
  <c r="AL100" i="9"/>
  <c r="AK100" i="9"/>
  <c r="AO99" i="9"/>
  <c r="AN99" i="9"/>
  <c r="AM99" i="9"/>
  <c r="AL99" i="9"/>
  <c r="AK99" i="9"/>
  <c r="AO98" i="9"/>
  <c r="AN98" i="9"/>
  <c r="AM98" i="9"/>
  <c r="AL98" i="9"/>
  <c r="AK98" i="9"/>
  <c r="AO97" i="9"/>
  <c r="AN97" i="9"/>
  <c r="AM97" i="9"/>
  <c r="AL97" i="9"/>
  <c r="AK97" i="9"/>
  <c r="AO96" i="9"/>
  <c r="AN96" i="9"/>
  <c r="AM96" i="9"/>
  <c r="AL96" i="9"/>
  <c r="AK96" i="9"/>
  <c r="AO95" i="9"/>
  <c r="AN95" i="9"/>
  <c r="AM95" i="9"/>
  <c r="AL95" i="9"/>
  <c r="AK95" i="9"/>
  <c r="AO94" i="9"/>
  <c r="AN94" i="9"/>
  <c r="AM94" i="9"/>
  <c r="AL94" i="9"/>
  <c r="AK94" i="9"/>
  <c r="AO93" i="9"/>
  <c r="AN93" i="9"/>
  <c r="AM93" i="9"/>
  <c r="AL93" i="9"/>
  <c r="AK93" i="9"/>
  <c r="AO92" i="9"/>
  <c r="AN92" i="9"/>
  <c r="AM92" i="9"/>
  <c r="AL92" i="9"/>
  <c r="AK92" i="9"/>
  <c r="AO91" i="9"/>
  <c r="AN91" i="9"/>
  <c r="AM91" i="9"/>
  <c r="AL91" i="9"/>
  <c r="AK91" i="9"/>
  <c r="AO90" i="9"/>
  <c r="AN90" i="9"/>
  <c r="AM90" i="9"/>
  <c r="AL90" i="9"/>
  <c r="AK90" i="9"/>
  <c r="AO89" i="9"/>
  <c r="AN89" i="9"/>
  <c r="AM89" i="9"/>
  <c r="AL89" i="9"/>
  <c r="AK89" i="9"/>
  <c r="AO88" i="9"/>
  <c r="AN88" i="9"/>
  <c r="AM88" i="9"/>
  <c r="AL88" i="9"/>
  <c r="AK88" i="9"/>
  <c r="AO87" i="9"/>
  <c r="AN87" i="9"/>
  <c r="AM87" i="9"/>
  <c r="AL87" i="9"/>
  <c r="AK87" i="9"/>
  <c r="AO86" i="9"/>
  <c r="AN86" i="9"/>
  <c r="AM86" i="9"/>
  <c r="AL86" i="9"/>
  <c r="AK86" i="9"/>
  <c r="AO85" i="9"/>
  <c r="AN85" i="9"/>
  <c r="AM85" i="9"/>
  <c r="AL85" i="9"/>
  <c r="AK85" i="9"/>
  <c r="AO84" i="9"/>
  <c r="AN84" i="9"/>
  <c r="AM84" i="9"/>
  <c r="AL84" i="9"/>
  <c r="AK84" i="9"/>
  <c r="AO83" i="9"/>
  <c r="AN83" i="9"/>
  <c r="AM83" i="9"/>
  <c r="AL83" i="9"/>
  <c r="AK83" i="9"/>
  <c r="AO82" i="9"/>
  <c r="AN82" i="9"/>
  <c r="AM82" i="9"/>
  <c r="AL82" i="9"/>
  <c r="AK82" i="9"/>
  <c r="AO81" i="9"/>
  <c r="AN81" i="9"/>
  <c r="AM81" i="9"/>
  <c r="AL81" i="9"/>
  <c r="AK81" i="9"/>
  <c r="AO80" i="9"/>
  <c r="AN80" i="9"/>
  <c r="AM80" i="9"/>
  <c r="AL80" i="9"/>
  <c r="AK80" i="9"/>
  <c r="AO79" i="9"/>
  <c r="AN79" i="9"/>
  <c r="AM79" i="9"/>
  <c r="AL79" i="9"/>
  <c r="AK79" i="9"/>
  <c r="AO78" i="9"/>
  <c r="AN78" i="9"/>
  <c r="AM78" i="9"/>
  <c r="AL78" i="9"/>
  <c r="AK78" i="9"/>
  <c r="AO77" i="9"/>
  <c r="AN77" i="9"/>
  <c r="AM77" i="9"/>
  <c r="AL77" i="9"/>
  <c r="AK77" i="9"/>
  <c r="AO76" i="9"/>
  <c r="AN76" i="9"/>
  <c r="AM76" i="9"/>
  <c r="AL76" i="9"/>
  <c r="AK76" i="9"/>
  <c r="AO75" i="9"/>
  <c r="AN75" i="9"/>
  <c r="AM75" i="9"/>
  <c r="AL75" i="9"/>
  <c r="AK75" i="9"/>
  <c r="AO74" i="9"/>
  <c r="AN74" i="9"/>
  <c r="AM74" i="9"/>
  <c r="AL74" i="9"/>
  <c r="AK74" i="9"/>
  <c r="AO73" i="9"/>
  <c r="AN73" i="9"/>
  <c r="AM73" i="9"/>
  <c r="AL73" i="9"/>
  <c r="AK73" i="9"/>
  <c r="AO72" i="9"/>
  <c r="AN72" i="9"/>
  <c r="AM72" i="9"/>
  <c r="AL72" i="9"/>
  <c r="AK72" i="9"/>
  <c r="AO71" i="9"/>
  <c r="AN71" i="9"/>
  <c r="AM71" i="9"/>
  <c r="AL71" i="9"/>
  <c r="AK71" i="9"/>
  <c r="AO70" i="9"/>
  <c r="AN70" i="9"/>
  <c r="AM70" i="9"/>
  <c r="AL70" i="9"/>
  <c r="AK70" i="9"/>
  <c r="AO69" i="9"/>
  <c r="AN69" i="9"/>
  <c r="AM69" i="9"/>
  <c r="AL69" i="9"/>
  <c r="AK69" i="9"/>
  <c r="AO68" i="9"/>
  <c r="AN68" i="9"/>
  <c r="AM68" i="9"/>
  <c r="AL68" i="9"/>
  <c r="AK68" i="9"/>
  <c r="AO67" i="9"/>
  <c r="AN67" i="9"/>
  <c r="AM67" i="9"/>
  <c r="AL67" i="9"/>
  <c r="AK67" i="9"/>
  <c r="AO66" i="9"/>
  <c r="AN66" i="9"/>
  <c r="AM66" i="9"/>
  <c r="AL66" i="9"/>
  <c r="AK66" i="9"/>
  <c r="AO65" i="9"/>
  <c r="AN65" i="9"/>
  <c r="AM65" i="9"/>
  <c r="AL65" i="9"/>
  <c r="AK65" i="9"/>
  <c r="AO64" i="9"/>
  <c r="AN64" i="9"/>
  <c r="AM64" i="9"/>
  <c r="AL64" i="9"/>
  <c r="AK64" i="9"/>
  <c r="AO63" i="9"/>
  <c r="AN63" i="9"/>
  <c r="AM63" i="9"/>
  <c r="AL63" i="9"/>
  <c r="AK63" i="9"/>
  <c r="AO62" i="9"/>
  <c r="AN62" i="9"/>
  <c r="AM62" i="9"/>
  <c r="AL62" i="9"/>
  <c r="AK62" i="9"/>
  <c r="AO61" i="9"/>
  <c r="AN61" i="9"/>
  <c r="AM61" i="9"/>
  <c r="AL61" i="9"/>
  <c r="AK61" i="9"/>
  <c r="AO60" i="9"/>
  <c r="AN60" i="9"/>
  <c r="AM60" i="9"/>
  <c r="AL60" i="9"/>
  <c r="AK60" i="9"/>
  <c r="AO59" i="9"/>
  <c r="AN59" i="9"/>
  <c r="AM59" i="9"/>
  <c r="AL59" i="9"/>
  <c r="AK59" i="9"/>
  <c r="AO58" i="9"/>
  <c r="AN58" i="9"/>
  <c r="AM58" i="9"/>
  <c r="AL58" i="9"/>
  <c r="AK58" i="9"/>
  <c r="AO57" i="9"/>
  <c r="AN57" i="9"/>
  <c r="AM57" i="9"/>
  <c r="AL57" i="9"/>
  <c r="AK57" i="9"/>
  <c r="AO56" i="9"/>
  <c r="AN56" i="9"/>
  <c r="AM56" i="9"/>
  <c r="AL56" i="9"/>
  <c r="AK56" i="9"/>
  <c r="AO55" i="9"/>
  <c r="AN55" i="9"/>
  <c r="AM55" i="9"/>
  <c r="AL55" i="9"/>
  <c r="AK55" i="9"/>
  <c r="AO54" i="9"/>
  <c r="AN54" i="9"/>
  <c r="AM54" i="9"/>
  <c r="AL54" i="9"/>
  <c r="AK54" i="9"/>
  <c r="AO53" i="9"/>
  <c r="AN53" i="9"/>
  <c r="AM53" i="9"/>
  <c r="AL53" i="9"/>
  <c r="AK53" i="9"/>
  <c r="AO52" i="9"/>
  <c r="AN52" i="9"/>
  <c r="AM52" i="9"/>
  <c r="AL52" i="9"/>
  <c r="AK52" i="9"/>
  <c r="AO51" i="9"/>
  <c r="AN51" i="9"/>
  <c r="AM51" i="9"/>
  <c r="AL51" i="9"/>
  <c r="AK51" i="9"/>
  <c r="AO50" i="9"/>
  <c r="AN50" i="9"/>
  <c r="AM50" i="9"/>
  <c r="AL50" i="9"/>
  <c r="AK50" i="9"/>
  <c r="AO49" i="9"/>
  <c r="AN49" i="9"/>
  <c r="AM49" i="9"/>
  <c r="AL49" i="9"/>
  <c r="AK49" i="9"/>
  <c r="AO48" i="9"/>
  <c r="AN48" i="9"/>
  <c r="AM48" i="9"/>
  <c r="AL48" i="9"/>
  <c r="AK48" i="9"/>
  <c r="AO47" i="9"/>
  <c r="AN47" i="9"/>
  <c r="AM47" i="9"/>
  <c r="AL47" i="9"/>
  <c r="AK47" i="9"/>
  <c r="AO46" i="9"/>
  <c r="AN46" i="9"/>
  <c r="AM46" i="9"/>
  <c r="AL46" i="9"/>
  <c r="AK46" i="9"/>
  <c r="AO45" i="9"/>
  <c r="AN45" i="9"/>
  <c r="AM45" i="9"/>
  <c r="AL45" i="9"/>
  <c r="AK45" i="9"/>
  <c r="AO44" i="9"/>
  <c r="AN44" i="9"/>
  <c r="AM44" i="9"/>
  <c r="AL44" i="9"/>
  <c r="AK44" i="9"/>
  <c r="AO43" i="9"/>
  <c r="AN43" i="9"/>
  <c r="AM43" i="9"/>
  <c r="AL43" i="9"/>
  <c r="AK43" i="9"/>
  <c r="AO42" i="9"/>
  <c r="AN42" i="9"/>
  <c r="AM42" i="9"/>
  <c r="AL42" i="9"/>
  <c r="AK42" i="9"/>
  <c r="AO41" i="9"/>
  <c r="AN41" i="9"/>
  <c r="AM41" i="9"/>
  <c r="AL41" i="9"/>
  <c r="AK41" i="9"/>
  <c r="AO40" i="9"/>
  <c r="AN40" i="9"/>
  <c r="AM40" i="9"/>
  <c r="AL40" i="9"/>
  <c r="AK40" i="9"/>
  <c r="AO39" i="9"/>
  <c r="AN39" i="9"/>
  <c r="AM39" i="9"/>
  <c r="AL39" i="9"/>
  <c r="AK39" i="9"/>
  <c r="AO38" i="9"/>
  <c r="AN38" i="9"/>
  <c r="AM38" i="9"/>
  <c r="AL38" i="9"/>
  <c r="AK38" i="9"/>
  <c r="AO37" i="9"/>
  <c r="AN37" i="9"/>
  <c r="AM37" i="9"/>
  <c r="AL37" i="9"/>
  <c r="AK37" i="9"/>
  <c r="AO36" i="9"/>
  <c r="AN36" i="9"/>
  <c r="AM36" i="9"/>
  <c r="AL36" i="9"/>
  <c r="AK36" i="9"/>
  <c r="AO35" i="9"/>
  <c r="AN35" i="9"/>
  <c r="AM35" i="9"/>
  <c r="AL35" i="9"/>
  <c r="AK35" i="9"/>
  <c r="AO34" i="9"/>
  <c r="AN34" i="9"/>
  <c r="AM34" i="9"/>
  <c r="AL34" i="9"/>
  <c r="AK34" i="9"/>
  <c r="AO33" i="9"/>
  <c r="AN33" i="9"/>
  <c r="AM33" i="9"/>
  <c r="AL33" i="9"/>
  <c r="AK33" i="9"/>
  <c r="AO32" i="9"/>
  <c r="AN32" i="9"/>
  <c r="AM32" i="9"/>
  <c r="AL32" i="9"/>
  <c r="AK32" i="9"/>
  <c r="AO31" i="9"/>
  <c r="AN31" i="9"/>
  <c r="AM31" i="9"/>
  <c r="AL31" i="9"/>
  <c r="AK31" i="9"/>
  <c r="AO30" i="9"/>
  <c r="AN30" i="9"/>
  <c r="AM30" i="9"/>
  <c r="AL30" i="9"/>
  <c r="AK30" i="9"/>
  <c r="AO29" i="9"/>
  <c r="AN29" i="9"/>
  <c r="AM29" i="9"/>
  <c r="AL29" i="9"/>
  <c r="AK29" i="9"/>
  <c r="AO28" i="9"/>
  <c r="AN28" i="9"/>
  <c r="AM28" i="9"/>
  <c r="AL28" i="9"/>
  <c r="AK28" i="9"/>
  <c r="AO27" i="9"/>
  <c r="AN27" i="9"/>
  <c r="AM27" i="9"/>
  <c r="AL27" i="9"/>
  <c r="AK27" i="9"/>
  <c r="AO26" i="9"/>
  <c r="AN26" i="9"/>
  <c r="AM26" i="9"/>
  <c r="AL26" i="9"/>
  <c r="AK26" i="9"/>
  <c r="AO25" i="9"/>
  <c r="AN25" i="9"/>
  <c r="AM25" i="9"/>
  <c r="AL25" i="9"/>
  <c r="AK25" i="9"/>
  <c r="AO24" i="9"/>
  <c r="AN24" i="9"/>
  <c r="AM24" i="9"/>
  <c r="AL24" i="9"/>
  <c r="AK24" i="9"/>
  <c r="AO23" i="9"/>
  <c r="AN23" i="9"/>
  <c r="AM23" i="9"/>
  <c r="AL23" i="9"/>
  <c r="AK23" i="9"/>
  <c r="AO22" i="9"/>
  <c r="AN22" i="9"/>
  <c r="AM22" i="9"/>
  <c r="AL22" i="9"/>
  <c r="AK22" i="9"/>
  <c r="AO21" i="9"/>
  <c r="AN21" i="9"/>
  <c r="AM21" i="9"/>
  <c r="AL21" i="9"/>
  <c r="AK21" i="9"/>
  <c r="AO20" i="9"/>
  <c r="AN20" i="9"/>
  <c r="AM20" i="9"/>
  <c r="AL20" i="9"/>
  <c r="AK20" i="9"/>
  <c r="AO19" i="9"/>
  <c r="AN19" i="9"/>
  <c r="AM19" i="9"/>
  <c r="AL19" i="9"/>
  <c r="AK19" i="9"/>
  <c r="AO18" i="9"/>
  <c r="AN18" i="9"/>
  <c r="AM18" i="9"/>
  <c r="AL18" i="9"/>
  <c r="AK18" i="9"/>
  <c r="AO17" i="9"/>
  <c r="AN17" i="9"/>
  <c r="AM17" i="9"/>
  <c r="AL17" i="9"/>
  <c r="AK17" i="9"/>
  <c r="AO16" i="9"/>
  <c r="AN16" i="9"/>
  <c r="AM16" i="9"/>
  <c r="AL16" i="9"/>
  <c r="AK16" i="9"/>
  <c r="AO15" i="9"/>
  <c r="AN15" i="9"/>
  <c r="AM15" i="9"/>
  <c r="AL15" i="9"/>
  <c r="AK15" i="9"/>
  <c r="AO14" i="9"/>
  <c r="AN14" i="9"/>
  <c r="AM14" i="9"/>
  <c r="AL14" i="9"/>
  <c r="AK14" i="9"/>
  <c r="AO13" i="9"/>
  <c r="AN13" i="9"/>
  <c r="AM13" i="9"/>
  <c r="AL13" i="9"/>
  <c r="AK13" i="9"/>
  <c r="AO12" i="9"/>
  <c r="AN12" i="9"/>
  <c r="AM12" i="9"/>
  <c r="AL12" i="9"/>
  <c r="AK12" i="9"/>
  <c r="AO11" i="9"/>
  <c r="AN11" i="9"/>
  <c r="AM11" i="9"/>
  <c r="AL11" i="9"/>
  <c r="AK11" i="9"/>
  <c r="AO10" i="9"/>
  <c r="AN10" i="9"/>
  <c r="AM10" i="9"/>
  <c r="AL10" i="9"/>
  <c r="AK10" i="9"/>
  <c r="AO9" i="9"/>
  <c r="AN9" i="9"/>
  <c r="AM9" i="9"/>
  <c r="AL9" i="9"/>
  <c r="AK9" i="9"/>
  <c r="AO8" i="9"/>
  <c r="AN8" i="9"/>
  <c r="AM8" i="9"/>
  <c r="AL8" i="9"/>
  <c r="AK8" i="9"/>
  <c r="AO7" i="9"/>
  <c r="AN7" i="9"/>
  <c r="AM7" i="9"/>
  <c r="AL7" i="9"/>
  <c r="AK7" i="9"/>
  <c r="AO6" i="9"/>
  <c r="AN6" i="9"/>
  <c r="AM6" i="9"/>
  <c r="AL6" i="9"/>
  <c r="AK6" i="9"/>
  <c r="AO5" i="9"/>
  <c r="AN5" i="9"/>
  <c r="AM5" i="9"/>
  <c r="AL5" i="9"/>
  <c r="AK5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65" i="9"/>
  <c r="AJ66" i="9"/>
  <c r="AJ67" i="9"/>
  <c r="AJ68" i="9"/>
  <c r="AJ69" i="9"/>
  <c r="AJ70" i="9"/>
  <c r="AJ71" i="9"/>
  <c r="AJ72" i="9"/>
  <c r="AJ73" i="9"/>
  <c r="AJ74" i="9"/>
  <c r="AJ75" i="9"/>
  <c r="AJ76" i="9"/>
  <c r="AJ77" i="9"/>
  <c r="AJ78" i="9"/>
  <c r="AJ79" i="9"/>
  <c r="AJ80" i="9"/>
  <c r="AJ81" i="9"/>
  <c r="AJ82" i="9"/>
  <c r="AJ83" i="9"/>
  <c r="AJ8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185" i="9"/>
  <c r="AJ186" i="9"/>
  <c r="AJ187" i="9"/>
  <c r="AJ188" i="9"/>
  <c r="AJ189" i="9"/>
  <c r="AJ190" i="9"/>
  <c r="AJ191" i="9"/>
  <c r="AJ192" i="9"/>
  <c r="AJ193" i="9"/>
  <c r="AJ194" i="9"/>
  <c r="AJ195" i="9"/>
  <c r="AJ196" i="9"/>
  <c r="AJ197" i="9"/>
  <c r="AJ198" i="9"/>
  <c r="AJ199" i="9"/>
  <c r="AJ200" i="9"/>
  <c r="AJ201" i="9"/>
  <c r="AJ202" i="9"/>
  <c r="AJ203" i="9"/>
  <c r="AJ20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05" i="9"/>
  <c r="AJ606" i="9"/>
  <c r="AJ607" i="9"/>
  <c r="AJ608" i="9"/>
  <c r="AJ609" i="9"/>
  <c r="AJ610" i="9"/>
  <c r="AJ611" i="9"/>
  <c r="AJ612" i="9"/>
  <c r="AJ613" i="9"/>
  <c r="AJ614" i="9"/>
  <c r="AJ615" i="9"/>
  <c r="AJ616" i="9"/>
  <c r="AJ617" i="9"/>
  <c r="AJ618" i="9"/>
  <c r="AJ619" i="9"/>
  <c r="AJ620" i="9"/>
  <c r="AJ621" i="9"/>
  <c r="AJ622" i="9"/>
  <c r="AJ623" i="9"/>
  <c r="AJ624" i="9"/>
  <c r="AJ625" i="9"/>
  <c r="AJ626" i="9"/>
  <c r="AJ627" i="9"/>
  <c r="AJ628" i="9"/>
  <c r="AJ629" i="9"/>
  <c r="AJ630" i="9"/>
  <c r="AJ631" i="9"/>
  <c r="AJ632" i="9"/>
  <c r="AJ633" i="9"/>
  <c r="AJ634" i="9"/>
  <c r="AJ635" i="9"/>
  <c r="AJ636" i="9"/>
  <c r="AJ637" i="9"/>
  <c r="AJ638" i="9"/>
  <c r="AJ639" i="9"/>
  <c r="AJ640" i="9"/>
  <c r="AJ641" i="9"/>
  <c r="AJ642" i="9"/>
  <c r="AJ643" i="9"/>
  <c r="AJ644" i="9"/>
  <c r="AJ645" i="9"/>
  <c r="AJ646" i="9"/>
  <c r="AJ647" i="9"/>
  <c r="AJ648" i="9"/>
  <c r="AJ649" i="9"/>
  <c r="AJ650" i="9"/>
  <c r="AJ651" i="9"/>
  <c r="AJ652" i="9"/>
  <c r="AJ653" i="9"/>
  <c r="AJ654" i="9"/>
  <c r="AJ655" i="9"/>
  <c r="AJ656" i="9"/>
  <c r="AJ657" i="9"/>
  <c r="AJ658" i="9"/>
  <c r="AJ659" i="9"/>
  <c r="AJ660" i="9"/>
  <c r="AJ661" i="9"/>
  <c r="AJ662" i="9"/>
  <c r="AJ663" i="9"/>
  <c r="AJ664" i="9"/>
  <c r="AJ665" i="9"/>
  <c r="AJ666" i="9"/>
  <c r="AJ667" i="9"/>
  <c r="AJ668" i="9"/>
  <c r="AJ669" i="9"/>
  <c r="AJ670" i="9"/>
  <c r="AJ671" i="9"/>
  <c r="AJ672" i="9"/>
  <c r="AJ673" i="9"/>
  <c r="AJ674" i="9"/>
  <c r="AJ675" i="9"/>
  <c r="AJ676" i="9"/>
  <c r="AJ677" i="9"/>
  <c r="AJ678" i="9"/>
  <c r="AJ679" i="9"/>
  <c r="AJ680" i="9"/>
  <c r="AJ681" i="9"/>
  <c r="AJ682" i="9"/>
  <c r="AJ683" i="9"/>
  <c r="AJ684" i="9"/>
  <c r="AJ685" i="9"/>
  <c r="AJ686" i="9"/>
  <c r="AJ687" i="9"/>
  <c r="AJ688" i="9"/>
  <c r="AJ689" i="9"/>
  <c r="AJ690" i="9"/>
  <c r="AJ691" i="9"/>
  <c r="AJ692" i="9"/>
  <c r="AJ693" i="9"/>
  <c r="AJ694" i="9"/>
  <c r="AJ695" i="9"/>
  <c r="AJ696" i="9"/>
  <c r="AJ697" i="9"/>
  <c r="AJ698" i="9"/>
  <c r="AJ699" i="9"/>
  <c r="AJ700" i="9"/>
  <c r="AJ701" i="9"/>
  <c r="AJ702" i="9"/>
  <c r="AJ703" i="9"/>
  <c r="AJ704" i="9"/>
  <c r="AJ705" i="9"/>
  <c r="AJ706" i="9"/>
  <c r="AJ707" i="9"/>
  <c r="AJ708" i="9"/>
  <c r="AJ709" i="9"/>
  <c r="AJ710" i="9"/>
  <c r="AJ711" i="9"/>
  <c r="AJ712" i="9"/>
  <c r="AJ713" i="9"/>
  <c r="AJ714" i="9"/>
  <c r="AJ715" i="9"/>
  <c r="AJ716" i="9"/>
  <c r="AJ717" i="9"/>
  <c r="AJ718" i="9"/>
  <c r="AJ719" i="9"/>
  <c r="AJ720" i="9"/>
  <c r="AJ721" i="9"/>
  <c r="AJ722" i="9"/>
  <c r="AJ723" i="9"/>
  <c r="AJ724" i="9"/>
  <c r="AJ725" i="9"/>
  <c r="AJ726" i="9"/>
  <c r="AJ727" i="9"/>
  <c r="AJ728" i="9"/>
  <c r="AJ729" i="9"/>
  <c r="AJ730" i="9"/>
  <c r="AJ731" i="9"/>
  <c r="AJ732" i="9"/>
  <c r="AJ733" i="9"/>
  <c r="AJ734" i="9"/>
  <c r="AJ735" i="9"/>
  <c r="AJ736" i="9"/>
  <c r="AJ737" i="9"/>
  <c r="AJ738" i="9"/>
  <c r="AJ739" i="9"/>
  <c r="AJ740" i="9"/>
  <c r="AJ741" i="9"/>
  <c r="AJ742" i="9"/>
  <c r="AJ743" i="9"/>
  <c r="AJ744" i="9"/>
  <c r="AJ745" i="9"/>
  <c r="AJ746" i="9"/>
  <c r="AJ747" i="9"/>
  <c r="AJ748" i="9"/>
  <c r="AJ749" i="9"/>
  <c r="AJ750" i="9"/>
  <c r="AJ751" i="9"/>
  <c r="AJ752" i="9"/>
  <c r="AJ753" i="9"/>
  <c r="AJ754" i="9"/>
  <c r="AJ755" i="9"/>
  <c r="AJ756" i="9"/>
  <c r="AJ757" i="9"/>
  <c r="AJ758" i="9"/>
  <c r="AJ759" i="9"/>
  <c r="AJ760" i="9"/>
  <c r="AJ761" i="9"/>
  <c r="AJ762" i="9"/>
  <c r="AJ763" i="9"/>
  <c r="AJ764" i="9"/>
  <c r="AJ765" i="9"/>
  <c r="AJ766" i="9"/>
  <c r="AJ767" i="9"/>
  <c r="AJ768" i="9"/>
  <c r="AJ769" i="9"/>
  <c r="AJ770" i="9"/>
  <c r="AJ771" i="9"/>
  <c r="AJ772" i="9"/>
  <c r="AJ773" i="9"/>
  <c r="AJ774" i="9"/>
  <c r="AJ775" i="9"/>
  <c r="AJ776" i="9"/>
  <c r="AJ777" i="9"/>
  <c r="AJ778" i="9"/>
  <c r="AJ779" i="9"/>
  <c r="AJ780" i="9"/>
  <c r="AJ781" i="9"/>
  <c r="AJ782" i="9"/>
  <c r="AJ783" i="9"/>
  <c r="AJ784" i="9"/>
  <c r="AJ785" i="9"/>
  <c r="AJ786" i="9"/>
  <c r="AJ787" i="9"/>
  <c r="AJ788" i="9"/>
  <c r="AJ789" i="9"/>
  <c r="AJ790" i="9"/>
  <c r="AJ791" i="9"/>
  <c r="AJ792" i="9"/>
  <c r="AJ793" i="9"/>
  <c r="AJ794" i="9"/>
  <c r="AJ795" i="9"/>
  <c r="AJ796" i="9"/>
  <c r="AJ797" i="9"/>
  <c r="AJ798" i="9"/>
  <c r="AJ799" i="9"/>
  <c r="AJ800" i="9"/>
  <c r="AJ801" i="9"/>
  <c r="AJ802" i="9"/>
  <c r="AJ803" i="9"/>
  <c r="AJ804" i="9"/>
  <c r="AJ805" i="9"/>
  <c r="AJ806" i="9"/>
  <c r="AJ807" i="9"/>
  <c r="AJ808" i="9"/>
  <c r="AJ809" i="9"/>
  <c r="AJ810" i="9"/>
  <c r="AJ811" i="9"/>
  <c r="AJ812" i="9"/>
  <c r="AJ813" i="9"/>
  <c r="AJ814" i="9"/>
  <c r="AJ815" i="9"/>
  <c r="AJ816" i="9"/>
  <c r="AJ817" i="9"/>
  <c r="AJ818" i="9"/>
  <c r="AJ819" i="9"/>
  <c r="AJ820" i="9"/>
  <c r="AJ821" i="9"/>
  <c r="AJ822" i="9"/>
  <c r="AJ823" i="9"/>
  <c r="AJ824" i="9"/>
  <c r="AJ825" i="9"/>
  <c r="AJ826" i="9"/>
  <c r="AJ827" i="9"/>
  <c r="AJ828" i="9"/>
  <c r="AJ829" i="9"/>
  <c r="AJ830" i="9"/>
  <c r="AJ831" i="9"/>
  <c r="AJ832" i="9"/>
  <c r="AJ833" i="9"/>
  <c r="AJ834" i="9"/>
  <c r="AJ835" i="9"/>
  <c r="AJ836" i="9"/>
  <c r="AJ837" i="9"/>
  <c r="AJ838" i="9"/>
  <c r="AJ839" i="9"/>
  <c r="AJ840" i="9"/>
  <c r="AJ841" i="9"/>
  <c r="AJ842" i="9"/>
  <c r="AJ843" i="9"/>
  <c r="AJ844" i="9"/>
  <c r="AJ845" i="9"/>
  <c r="AJ846" i="9"/>
  <c r="AJ847" i="9"/>
  <c r="AJ848" i="9"/>
  <c r="AJ849" i="9"/>
  <c r="AJ850" i="9"/>
  <c r="AJ851" i="9"/>
  <c r="AJ852" i="9"/>
  <c r="AJ853" i="9"/>
  <c r="AJ854" i="9"/>
  <c r="AJ855" i="9"/>
  <c r="AJ856" i="9"/>
  <c r="AJ857" i="9"/>
  <c r="AJ858" i="9"/>
  <c r="AJ859" i="9"/>
  <c r="AJ860" i="9"/>
  <c r="AJ861" i="9"/>
  <c r="AJ862" i="9"/>
  <c r="AJ863" i="9"/>
  <c r="AJ864" i="9"/>
  <c r="AJ865" i="9"/>
  <c r="AJ866" i="9"/>
  <c r="AJ867" i="9"/>
  <c r="AJ868" i="9"/>
  <c r="AJ869" i="9"/>
  <c r="AJ870" i="9"/>
  <c r="AJ871" i="9"/>
  <c r="AJ872" i="9"/>
  <c r="AJ873" i="9"/>
  <c r="AJ874" i="9"/>
  <c r="AJ875" i="9"/>
  <c r="AJ876" i="9"/>
  <c r="AJ877" i="9"/>
  <c r="AJ878" i="9"/>
  <c r="AJ879" i="9"/>
  <c r="AJ880" i="9"/>
  <c r="AJ881" i="9"/>
  <c r="AJ882" i="9"/>
  <c r="AJ883" i="9"/>
  <c r="AJ884" i="9"/>
  <c r="AJ885" i="9"/>
  <c r="AJ886" i="9"/>
  <c r="AJ887" i="9"/>
  <c r="AJ888" i="9"/>
  <c r="AJ889" i="9"/>
  <c r="AJ890" i="9"/>
  <c r="AJ891" i="9"/>
  <c r="AJ892" i="9"/>
  <c r="AJ893" i="9"/>
  <c r="AJ894" i="9"/>
  <c r="AJ895" i="9"/>
  <c r="AJ896" i="9"/>
  <c r="AJ897" i="9"/>
  <c r="AJ898" i="9"/>
  <c r="AJ899" i="9"/>
  <c r="AJ900" i="9"/>
  <c r="AJ901" i="9"/>
  <c r="AJ902" i="9"/>
  <c r="AJ903" i="9"/>
  <c r="AJ904" i="9"/>
  <c r="AJ905" i="9"/>
  <c r="AJ906" i="9"/>
  <c r="AJ907" i="9"/>
  <c r="AJ908" i="9"/>
  <c r="AJ909" i="9"/>
  <c r="AJ910" i="9"/>
  <c r="AJ911" i="9"/>
  <c r="AJ912" i="9"/>
  <c r="AJ913" i="9"/>
  <c r="AJ914" i="9"/>
  <c r="AJ915" i="9"/>
  <c r="AJ916" i="9"/>
  <c r="AJ917" i="9"/>
  <c r="AJ918" i="9"/>
  <c r="AJ919" i="9"/>
  <c r="AJ920" i="9"/>
  <c r="AJ921" i="9"/>
  <c r="AJ922" i="9"/>
  <c r="AJ923" i="9"/>
  <c r="AJ924" i="9"/>
  <c r="AJ925" i="9"/>
  <c r="AJ926" i="9"/>
  <c r="AJ927" i="9"/>
  <c r="AJ928" i="9"/>
  <c r="AJ929" i="9"/>
  <c r="AJ930" i="9"/>
  <c r="AJ931" i="9"/>
  <c r="AJ932" i="9"/>
  <c r="AJ933" i="9"/>
  <c r="AJ934" i="9"/>
  <c r="AJ935" i="9"/>
  <c r="AJ936" i="9"/>
  <c r="AJ937" i="9"/>
  <c r="AJ938" i="9"/>
  <c r="AJ939" i="9"/>
  <c r="AJ940" i="9"/>
  <c r="AJ941" i="9"/>
  <c r="AJ942" i="9"/>
  <c r="AJ943" i="9"/>
  <c r="AJ944" i="9"/>
  <c r="AJ945" i="9"/>
  <c r="AJ946" i="9"/>
  <c r="AJ947" i="9"/>
  <c r="AJ948" i="9"/>
  <c r="AJ949" i="9"/>
  <c r="AJ950" i="9"/>
  <c r="AJ951" i="9"/>
  <c r="AJ952" i="9"/>
  <c r="AJ953" i="9"/>
  <c r="AJ954" i="9"/>
  <c r="AJ955" i="9"/>
  <c r="AJ956" i="9"/>
  <c r="AJ957" i="9"/>
  <c r="AJ958" i="9"/>
  <c r="AJ959" i="9"/>
  <c r="AJ960" i="9"/>
  <c r="AJ961" i="9"/>
  <c r="AJ962" i="9"/>
  <c r="AJ963" i="9"/>
  <c r="AJ964" i="9"/>
  <c r="AJ965" i="9"/>
  <c r="AJ966" i="9"/>
  <c r="AJ967" i="9"/>
  <c r="AJ968" i="9"/>
  <c r="AJ969" i="9"/>
  <c r="AJ970" i="9"/>
  <c r="AJ971" i="9"/>
  <c r="AJ972" i="9"/>
  <c r="AJ973" i="9"/>
  <c r="AJ974" i="9"/>
  <c r="AJ975" i="9"/>
  <c r="AJ976" i="9"/>
  <c r="AJ977" i="9"/>
  <c r="AJ978" i="9"/>
  <c r="AJ979" i="9"/>
  <c r="AJ980" i="9"/>
  <c r="AJ981" i="9"/>
  <c r="AJ982" i="9"/>
  <c r="AJ983" i="9"/>
  <c r="AJ984" i="9"/>
  <c r="AJ985" i="9"/>
  <c r="AJ986" i="9"/>
  <c r="AJ987" i="9"/>
  <c r="AJ988" i="9"/>
  <c r="AJ989" i="9"/>
  <c r="AJ990" i="9"/>
  <c r="AJ991" i="9"/>
  <c r="AJ992" i="9"/>
  <c r="AJ993" i="9"/>
  <c r="AJ994" i="9"/>
  <c r="AJ995" i="9"/>
  <c r="AJ996" i="9"/>
  <c r="AJ997" i="9"/>
  <c r="AJ998" i="9"/>
  <c r="AJ999" i="9"/>
  <c r="AJ1000" i="9"/>
  <c r="AJ1001" i="9"/>
  <c r="AJ1002" i="9"/>
  <c r="AJ1003" i="9"/>
  <c r="AJ1004" i="9"/>
  <c r="AJ1005" i="9"/>
  <c r="AJ1006" i="9"/>
  <c r="AJ1007" i="9"/>
  <c r="AJ1008" i="9"/>
  <c r="AJ1009" i="9"/>
  <c r="AJ1010" i="9"/>
  <c r="AJ1011" i="9"/>
  <c r="AJ1012" i="9"/>
  <c r="AJ1013" i="9"/>
  <c r="AJ1014" i="9"/>
  <c r="AJ1015" i="9"/>
  <c r="AJ1016" i="9"/>
  <c r="AJ1017" i="9"/>
  <c r="AJ1018" i="9"/>
  <c r="AJ1019" i="9"/>
  <c r="AJ1020" i="9"/>
  <c r="AJ1021" i="9"/>
  <c r="AJ1022" i="9"/>
  <c r="AJ1023" i="9"/>
  <c r="AJ1024" i="9"/>
  <c r="AJ1025" i="9"/>
  <c r="AJ1026" i="9"/>
  <c r="AJ1027" i="9"/>
  <c r="AJ1028" i="9"/>
  <c r="AJ1029" i="9"/>
  <c r="AJ1030" i="9"/>
  <c r="AJ1031" i="9"/>
  <c r="AJ1032" i="9"/>
  <c r="AJ1033" i="9"/>
  <c r="AJ1034" i="9"/>
  <c r="AJ1035" i="9"/>
  <c r="AJ1036" i="9"/>
  <c r="AJ1037" i="9"/>
  <c r="AJ1038" i="9"/>
  <c r="AJ1039" i="9"/>
  <c r="AJ1040" i="9"/>
  <c r="AJ1041" i="9"/>
  <c r="AJ1042" i="9"/>
  <c r="AJ1043" i="9"/>
  <c r="AJ1044" i="9"/>
  <c r="AJ1045" i="9"/>
  <c r="AJ1046" i="9"/>
  <c r="AJ1047" i="9"/>
  <c r="AJ1048" i="9"/>
  <c r="AJ1049" i="9"/>
  <c r="AJ1050" i="9"/>
  <c r="AJ1051" i="9"/>
  <c r="AJ1052" i="9"/>
  <c r="AJ1053" i="9"/>
  <c r="AJ1054" i="9"/>
  <c r="AJ1055" i="9"/>
  <c r="AJ1056" i="9"/>
  <c r="AJ1057" i="9"/>
  <c r="AJ1058" i="9"/>
  <c r="AJ1059" i="9"/>
  <c r="AJ1060" i="9"/>
  <c r="AJ1061" i="9"/>
  <c r="AJ1062" i="9"/>
  <c r="AJ1063" i="9"/>
  <c r="AJ1064" i="9"/>
  <c r="AJ1065" i="9"/>
  <c r="AJ1066" i="9"/>
  <c r="AJ1067" i="9"/>
  <c r="AJ1068" i="9"/>
  <c r="AJ1069" i="9"/>
  <c r="AJ1070" i="9"/>
  <c r="AJ1071" i="9"/>
  <c r="AJ1072" i="9"/>
  <c r="AJ1073" i="9"/>
  <c r="AJ1074" i="9"/>
  <c r="AJ1075" i="9"/>
  <c r="AJ1076" i="9"/>
  <c r="AJ1077" i="9"/>
  <c r="AJ1078" i="9"/>
  <c r="AJ1079" i="9"/>
  <c r="AJ1080" i="9"/>
  <c r="AJ1081" i="9"/>
  <c r="AJ1082" i="9"/>
  <c r="AJ1083" i="9"/>
  <c r="AJ1084" i="9"/>
  <c r="AJ1085" i="9"/>
  <c r="AJ1086" i="9"/>
  <c r="AJ1087" i="9"/>
  <c r="AJ1088" i="9"/>
  <c r="AJ1089" i="9"/>
  <c r="AJ1090" i="9"/>
  <c r="AJ1091" i="9"/>
  <c r="AJ1092" i="9"/>
  <c r="AJ1093" i="9"/>
  <c r="AJ1094" i="9"/>
  <c r="AJ1095" i="9"/>
  <c r="AJ1096" i="9"/>
  <c r="AJ1097" i="9"/>
  <c r="AJ1098" i="9"/>
  <c r="AJ1099" i="9"/>
  <c r="AJ1100" i="9"/>
  <c r="AJ1101" i="9"/>
  <c r="AJ1102" i="9"/>
  <c r="AJ1103" i="9"/>
  <c r="AJ1104" i="9"/>
  <c r="AJ1105" i="9"/>
  <c r="AJ1106" i="9"/>
  <c r="AJ1107" i="9"/>
  <c r="AJ1108" i="9"/>
  <c r="AJ1109" i="9"/>
  <c r="AJ1110" i="9"/>
  <c r="AJ1111" i="9"/>
  <c r="AJ1112" i="9"/>
  <c r="AJ1113" i="9"/>
  <c r="AJ1114" i="9"/>
  <c r="AJ1115" i="9"/>
  <c r="AJ1116" i="9"/>
  <c r="AJ1117" i="9"/>
  <c r="AJ1118" i="9"/>
  <c r="AJ1119" i="9"/>
  <c r="AJ1120" i="9"/>
  <c r="AJ1121" i="9"/>
  <c r="AJ1122" i="9"/>
  <c r="AJ1123" i="9"/>
  <c r="AJ1124" i="9"/>
  <c r="AJ1125" i="9"/>
  <c r="AJ1126" i="9"/>
  <c r="AJ1127" i="9"/>
  <c r="AJ1128" i="9"/>
  <c r="AJ1129" i="9"/>
  <c r="AJ1130" i="9"/>
  <c r="AJ1131" i="9"/>
  <c r="AJ1132" i="9"/>
  <c r="AJ1133" i="9"/>
  <c r="AJ1134" i="9"/>
  <c r="AJ1135" i="9"/>
  <c r="AJ1136" i="9"/>
  <c r="AJ1137" i="9"/>
  <c r="AJ1138" i="9"/>
  <c r="AJ1139" i="9"/>
  <c r="AJ1140" i="9"/>
  <c r="AJ1141" i="9"/>
  <c r="AJ1142" i="9"/>
  <c r="AJ1143" i="9"/>
  <c r="AJ1144" i="9"/>
  <c r="AJ1145" i="9"/>
  <c r="AJ1146" i="9"/>
  <c r="AJ1147" i="9"/>
  <c r="AJ1148" i="9"/>
  <c r="AJ1149" i="9"/>
  <c r="AJ1150" i="9"/>
  <c r="AJ1151" i="9"/>
  <c r="AJ1152" i="9"/>
  <c r="AJ1153" i="9"/>
  <c r="AJ1154" i="9"/>
  <c r="AJ1155" i="9"/>
  <c r="AJ1156" i="9"/>
  <c r="AJ1157" i="9"/>
  <c r="AJ1158" i="9"/>
  <c r="AJ1159" i="9"/>
  <c r="AJ1160" i="9"/>
  <c r="AJ1161" i="9"/>
  <c r="AJ1162" i="9"/>
  <c r="AJ1163" i="9"/>
  <c r="AJ1164" i="9"/>
  <c r="AJ1165" i="9"/>
  <c r="AJ1166" i="9"/>
  <c r="AJ1167" i="9"/>
  <c r="AJ1168" i="9"/>
  <c r="AJ1169" i="9"/>
  <c r="AJ1170" i="9"/>
  <c r="AJ1171" i="9"/>
  <c r="AJ1172" i="9"/>
  <c r="AJ1173" i="9"/>
  <c r="AJ1174" i="9"/>
  <c r="AJ1175" i="9"/>
  <c r="AJ1176" i="9"/>
  <c r="AJ1177" i="9"/>
  <c r="AJ1178" i="9"/>
  <c r="AJ1179" i="9"/>
  <c r="AJ1180" i="9"/>
  <c r="AJ1181" i="9"/>
  <c r="AJ1182" i="9"/>
  <c r="AJ1183" i="9"/>
  <c r="AJ1184" i="9"/>
  <c r="AJ1185" i="9"/>
  <c r="AJ1186" i="9"/>
  <c r="AJ1187" i="9"/>
  <c r="AJ1188" i="9"/>
  <c r="AJ1189" i="9"/>
  <c r="AJ1190" i="9"/>
  <c r="AJ1191" i="9"/>
  <c r="AJ1192" i="9"/>
  <c r="AJ1193" i="9"/>
  <c r="AJ1194" i="9"/>
  <c r="AJ1195" i="9"/>
  <c r="AJ1196" i="9"/>
  <c r="AJ1197" i="9"/>
  <c r="AJ1198" i="9"/>
  <c r="AJ1199" i="9"/>
  <c r="AJ1200" i="9"/>
  <c r="AJ1201" i="9"/>
  <c r="AJ1202" i="9"/>
  <c r="AJ1203" i="9"/>
  <c r="AJ1204" i="9"/>
  <c r="AJ1205" i="9"/>
  <c r="AJ1206" i="9"/>
  <c r="AJ1207" i="9"/>
  <c r="AJ1208" i="9"/>
  <c r="AJ1209" i="9"/>
  <c r="AJ1210" i="9"/>
  <c r="AJ1211" i="9"/>
  <c r="AJ1212" i="9"/>
  <c r="AJ1213" i="9"/>
  <c r="AJ1214" i="9"/>
  <c r="AJ1215" i="9"/>
  <c r="AJ1216" i="9"/>
  <c r="AJ1217" i="9"/>
  <c r="AJ1218" i="9"/>
  <c r="AJ1219" i="9"/>
  <c r="AJ1220" i="9"/>
  <c r="AJ1221" i="9"/>
  <c r="AJ1222" i="9"/>
  <c r="AJ1223" i="9"/>
  <c r="AJ1224" i="9"/>
  <c r="AJ1225" i="9"/>
  <c r="AJ1226" i="9"/>
  <c r="AJ1227" i="9"/>
  <c r="AJ1228" i="9"/>
  <c r="AJ1229" i="9"/>
  <c r="AJ1230" i="9"/>
  <c r="AJ1231" i="9"/>
  <c r="AJ1232" i="9"/>
  <c r="AJ1233" i="9"/>
  <c r="AJ1234" i="9"/>
  <c r="AJ1235" i="9"/>
  <c r="AJ1236" i="9"/>
  <c r="AJ1237" i="9"/>
  <c r="AJ1238" i="9"/>
  <c r="AJ1239" i="9"/>
  <c r="AJ1240" i="9"/>
  <c r="AJ1241" i="9"/>
  <c r="AJ1242" i="9"/>
  <c r="AJ1243" i="9"/>
  <c r="AJ1244" i="9"/>
  <c r="AJ1245" i="9"/>
  <c r="AJ1246" i="9"/>
  <c r="AJ1247" i="9"/>
  <c r="AJ1248" i="9"/>
  <c r="AJ1249" i="9"/>
  <c r="AJ1250" i="9"/>
  <c r="AJ1251" i="9"/>
  <c r="AJ1252" i="9"/>
  <c r="AJ1253" i="9"/>
  <c r="AJ1254" i="9"/>
  <c r="AJ1255" i="9"/>
  <c r="AJ1256" i="9"/>
  <c r="AJ1257" i="9"/>
  <c r="AJ1258" i="9"/>
  <c r="AJ1259" i="9"/>
  <c r="AJ1260" i="9"/>
  <c r="AJ1261" i="9"/>
  <c r="AJ1262" i="9"/>
  <c r="AJ1263" i="9"/>
  <c r="AJ1264" i="9"/>
  <c r="AJ1265" i="9"/>
  <c r="AJ1266" i="9"/>
  <c r="AJ1267" i="9"/>
  <c r="AJ1268" i="9"/>
  <c r="AJ1269" i="9"/>
  <c r="AJ1270" i="9"/>
  <c r="AJ1271" i="9"/>
  <c r="AJ1272" i="9"/>
  <c r="AJ1273" i="9"/>
  <c r="AJ1274" i="9"/>
  <c r="AJ1275" i="9"/>
  <c r="AJ1276" i="9"/>
  <c r="AJ1277" i="9"/>
  <c r="AJ1278" i="9"/>
  <c r="AJ1279" i="9"/>
  <c r="AJ1280" i="9"/>
  <c r="AJ1281" i="9"/>
  <c r="AJ1282" i="9"/>
  <c r="AJ1283" i="9"/>
  <c r="AJ1284" i="9"/>
  <c r="AJ1285" i="9"/>
  <c r="AJ1286" i="9"/>
  <c r="AJ1287" i="9"/>
  <c r="AJ1288" i="9"/>
  <c r="AJ1289" i="9"/>
  <c r="AJ1290" i="9"/>
  <c r="AJ1291" i="9"/>
  <c r="AJ1292" i="9"/>
  <c r="AJ1293" i="9"/>
  <c r="AJ1294" i="9"/>
  <c r="AJ1295" i="9"/>
  <c r="AJ1296" i="9"/>
  <c r="AJ1297" i="9"/>
  <c r="AJ1298" i="9"/>
  <c r="AJ1299" i="9"/>
  <c r="AJ1300" i="9"/>
  <c r="AJ1301" i="9"/>
  <c r="AJ1302" i="9"/>
  <c r="AJ1303" i="9"/>
  <c r="AJ1304" i="9"/>
  <c r="AJ1305" i="9"/>
  <c r="AJ1306" i="9"/>
  <c r="AJ1307" i="9"/>
  <c r="AJ1308" i="9"/>
  <c r="AJ1309" i="9"/>
  <c r="AJ1310" i="9"/>
  <c r="AJ1311" i="9"/>
  <c r="AJ1312" i="9"/>
  <c r="AJ1313" i="9"/>
  <c r="AJ1314" i="9"/>
  <c r="AJ1315" i="9"/>
  <c r="AJ1316" i="9"/>
  <c r="AJ1317" i="9"/>
  <c r="AJ1318" i="9"/>
  <c r="AJ1319" i="9"/>
  <c r="AJ1320" i="9"/>
  <c r="AJ1321" i="9"/>
  <c r="AJ1322" i="9"/>
  <c r="AJ1323" i="9"/>
  <c r="AJ1324" i="9"/>
  <c r="AJ1325" i="9"/>
  <c r="AJ1326" i="9"/>
  <c r="AJ1327" i="9"/>
  <c r="AJ1328" i="9"/>
  <c r="AJ1329" i="9"/>
  <c r="AJ1330" i="9"/>
  <c r="AJ1331" i="9"/>
  <c r="AJ1332" i="9"/>
  <c r="AJ1333" i="9"/>
  <c r="AJ1334" i="9"/>
  <c r="AJ1335" i="9"/>
  <c r="AJ1336" i="9"/>
  <c r="AJ1337" i="9"/>
  <c r="AJ1338" i="9"/>
  <c r="AJ1339" i="9"/>
  <c r="AJ1340" i="9"/>
  <c r="AJ1341" i="9"/>
  <c r="AJ1342" i="9"/>
  <c r="AJ1343" i="9"/>
  <c r="AJ1344" i="9"/>
  <c r="AJ1345" i="9"/>
  <c r="AJ1346" i="9"/>
  <c r="AJ1347" i="9"/>
  <c r="AJ1348" i="9"/>
  <c r="AJ1349" i="9"/>
  <c r="AJ1350" i="9"/>
  <c r="AJ1351" i="9"/>
  <c r="AJ1352" i="9"/>
  <c r="AJ1353" i="9"/>
  <c r="AJ1354" i="9"/>
  <c r="AJ1355" i="9"/>
  <c r="AJ1356" i="9"/>
  <c r="AJ1357" i="9"/>
  <c r="AJ1358" i="9"/>
  <c r="AJ1359" i="9"/>
  <c r="AJ1360" i="9"/>
  <c r="AJ1361" i="9"/>
  <c r="AJ1362" i="9"/>
  <c r="AJ1363" i="9"/>
  <c r="AJ1364" i="9"/>
  <c r="AJ1365" i="9"/>
  <c r="AJ1366" i="9"/>
  <c r="AJ1367" i="9"/>
  <c r="AJ1368" i="9"/>
  <c r="AJ1369" i="9"/>
  <c r="AJ1370" i="9"/>
  <c r="AJ1371" i="9"/>
  <c r="AJ1372" i="9"/>
  <c r="AJ1373" i="9"/>
  <c r="AJ1374" i="9"/>
  <c r="AJ1375" i="9"/>
  <c r="AJ1376" i="9"/>
  <c r="AJ1377" i="9"/>
  <c r="AJ1378" i="9"/>
  <c r="AJ1379" i="9"/>
  <c r="AJ1380" i="9"/>
  <c r="AJ1381" i="9"/>
  <c r="AJ1382" i="9"/>
  <c r="AJ1383" i="9"/>
  <c r="AJ1384" i="9"/>
  <c r="AJ1385" i="9"/>
  <c r="AJ1386" i="9"/>
  <c r="AJ1387" i="9"/>
  <c r="AJ1388" i="9"/>
  <c r="AJ1389" i="9"/>
  <c r="AJ1390" i="9"/>
  <c r="AJ1391" i="9"/>
  <c r="AJ1392" i="9"/>
  <c r="AJ1393" i="9"/>
  <c r="AJ1394" i="9"/>
  <c r="AJ1395" i="9"/>
  <c r="AJ1396" i="9"/>
  <c r="AJ1397" i="9"/>
  <c r="AJ1398" i="9"/>
  <c r="AJ1399" i="9"/>
  <c r="AJ1400" i="9"/>
  <c r="AJ1401" i="9"/>
  <c r="AJ1402" i="9"/>
  <c r="AJ1403" i="9"/>
  <c r="AJ1404" i="9"/>
  <c r="AJ1405" i="9"/>
  <c r="AJ1406" i="9"/>
  <c r="AJ1407" i="9"/>
  <c r="AJ1408" i="9"/>
  <c r="AJ1409" i="9"/>
  <c r="AJ1410" i="9"/>
  <c r="AJ1411" i="9"/>
  <c r="AJ1412" i="9"/>
  <c r="AJ1413" i="9"/>
  <c r="AJ1414" i="9"/>
  <c r="AJ1415" i="9"/>
  <c r="AJ1416" i="9"/>
  <c r="AJ1417" i="9"/>
  <c r="AJ1418" i="9"/>
  <c r="AJ1419" i="9"/>
  <c r="AJ1420" i="9"/>
  <c r="AJ1421" i="9"/>
  <c r="AJ1422" i="9"/>
  <c r="AJ1423" i="9"/>
  <c r="AJ1424" i="9"/>
  <c r="AJ1425" i="9"/>
  <c r="AJ1426" i="9"/>
  <c r="AJ1427" i="9"/>
  <c r="AJ1428" i="9"/>
  <c r="AJ1429" i="9"/>
  <c r="AJ1430" i="9"/>
  <c r="AJ1431" i="9"/>
  <c r="AJ1432" i="9"/>
  <c r="AJ1433" i="9"/>
  <c r="AJ1434" i="9"/>
  <c r="AJ1435" i="9"/>
  <c r="AJ1436" i="9"/>
  <c r="AJ1437" i="9"/>
  <c r="AJ1438" i="9"/>
  <c r="AJ1439" i="9"/>
  <c r="AJ1440" i="9"/>
  <c r="AJ1441" i="9"/>
  <c r="AJ1442" i="9"/>
  <c r="AJ1443" i="9"/>
  <c r="AJ1444" i="9"/>
  <c r="AJ1445" i="9"/>
  <c r="AJ1446" i="9"/>
  <c r="AJ1447" i="9"/>
  <c r="AJ1448" i="9"/>
  <c r="AJ1449" i="9"/>
  <c r="AJ1450" i="9"/>
  <c r="AJ1451" i="9"/>
  <c r="AJ1452" i="9"/>
  <c r="AJ1453" i="9"/>
  <c r="AJ1454" i="9"/>
  <c r="AJ1455" i="9"/>
  <c r="AJ1456" i="9"/>
  <c r="AJ1457" i="9"/>
  <c r="AJ1458" i="9"/>
  <c r="AJ1459" i="9"/>
  <c r="AJ1460" i="9"/>
  <c r="AJ1461" i="9"/>
  <c r="AJ1462" i="9"/>
  <c r="AJ1463" i="9"/>
  <c r="AJ1464" i="9"/>
  <c r="AJ1465" i="9"/>
  <c r="AJ1466" i="9"/>
  <c r="AJ1467" i="9"/>
  <c r="AJ1468" i="9"/>
  <c r="AJ1469" i="9"/>
  <c r="AJ1470" i="9"/>
  <c r="AJ1471" i="9"/>
  <c r="AJ1472" i="9"/>
  <c r="AJ1473" i="9"/>
  <c r="AJ1474" i="9"/>
  <c r="AJ1475" i="9"/>
  <c r="AJ1476" i="9"/>
  <c r="AJ1477" i="9"/>
  <c r="AJ1478" i="9"/>
  <c r="AJ1479" i="9"/>
  <c r="AJ1480" i="9"/>
  <c r="AJ1481" i="9"/>
  <c r="AJ1482" i="9"/>
  <c r="AJ1483" i="9"/>
  <c r="AJ1484" i="9"/>
  <c r="AJ1485" i="9"/>
  <c r="AJ1486" i="9"/>
  <c r="AJ1487" i="9"/>
  <c r="AJ1488" i="9"/>
  <c r="AJ1489" i="9"/>
  <c r="AJ1490" i="9"/>
  <c r="AJ1491" i="9"/>
  <c r="AJ1492" i="9"/>
  <c r="AJ1493" i="9"/>
  <c r="AJ1494" i="9"/>
  <c r="AJ1495" i="9"/>
  <c r="AJ1496" i="9"/>
  <c r="AJ1497" i="9"/>
  <c r="AJ1498" i="9"/>
  <c r="AJ1499" i="9"/>
  <c r="AJ1500" i="9"/>
  <c r="AJ1501" i="9"/>
  <c r="AJ1502" i="9"/>
  <c r="AJ1503" i="9"/>
  <c r="AJ1504" i="9"/>
  <c r="AJ1505" i="9"/>
  <c r="AJ1506" i="9"/>
  <c r="AJ1507" i="9"/>
  <c r="AJ1508" i="9"/>
  <c r="AJ1509" i="9"/>
  <c r="AJ1510" i="9"/>
  <c r="AJ1511" i="9"/>
  <c r="AJ1512" i="9"/>
  <c r="AJ1513" i="9"/>
  <c r="AJ1514" i="9"/>
  <c r="AJ1515" i="9"/>
  <c r="AJ1516" i="9"/>
  <c r="AJ1517" i="9"/>
  <c r="AJ1518" i="9"/>
  <c r="AJ1519" i="9"/>
  <c r="AJ1520" i="9"/>
  <c r="AJ1521" i="9"/>
  <c r="AJ1522" i="9"/>
  <c r="AJ1523" i="9"/>
  <c r="AJ1524" i="9"/>
  <c r="AJ1525" i="9"/>
  <c r="AJ1526" i="9"/>
  <c r="AJ1527" i="9"/>
  <c r="AJ1528" i="9"/>
  <c r="AJ1529" i="9"/>
  <c r="AJ1530" i="9"/>
  <c r="AJ1531" i="9"/>
  <c r="AJ1532" i="9"/>
  <c r="AJ1533" i="9"/>
  <c r="AJ1534" i="9"/>
  <c r="AJ1535" i="9"/>
  <c r="AJ1536" i="9"/>
  <c r="AJ1537" i="9"/>
  <c r="AJ1538" i="9"/>
  <c r="AJ1539" i="9"/>
  <c r="AJ1540" i="9"/>
  <c r="AJ1541" i="9"/>
  <c r="AJ1542" i="9"/>
  <c r="AJ1543" i="9"/>
  <c r="AJ1544" i="9"/>
  <c r="AJ1545" i="9"/>
  <c r="AJ1546" i="9"/>
  <c r="AJ1547" i="9"/>
  <c r="AJ1548" i="9"/>
  <c r="AJ1549" i="9"/>
  <c r="AJ1550" i="9"/>
  <c r="AJ1551" i="9"/>
  <c r="AJ1552" i="9"/>
  <c r="AJ1553" i="9"/>
  <c r="AJ1554" i="9"/>
  <c r="AJ1555" i="9"/>
  <c r="AJ1556" i="9"/>
  <c r="AJ1557" i="9"/>
  <c r="AJ1558" i="9"/>
  <c r="AJ1559" i="9"/>
  <c r="AJ1560" i="9"/>
  <c r="AJ1561" i="9"/>
  <c r="AJ1562" i="9"/>
  <c r="AJ1563" i="9"/>
  <c r="AJ1564" i="9"/>
  <c r="AJ1565" i="9"/>
  <c r="AJ1566" i="9"/>
  <c r="AJ1567" i="9"/>
  <c r="AJ1568" i="9"/>
  <c r="AJ1569" i="9"/>
  <c r="AJ1570" i="9"/>
  <c r="AJ1571" i="9"/>
  <c r="AJ1572" i="9"/>
  <c r="AJ1573" i="9"/>
  <c r="AJ1574" i="9"/>
  <c r="AJ1575" i="9"/>
  <c r="AJ1576" i="9"/>
  <c r="AJ1577" i="9"/>
  <c r="AJ1578" i="9"/>
  <c r="AJ1579" i="9"/>
  <c r="AJ1580" i="9"/>
  <c r="AJ1581" i="9"/>
  <c r="AJ1582" i="9"/>
  <c r="AJ1583" i="9"/>
  <c r="AJ1584" i="9"/>
  <c r="AJ1585" i="9"/>
  <c r="AJ1586" i="9"/>
  <c r="AJ1587" i="9"/>
  <c r="AJ1588" i="9"/>
  <c r="AJ1589" i="9"/>
  <c r="AJ1590" i="9"/>
  <c r="AJ1591" i="9"/>
  <c r="AJ1592" i="9"/>
  <c r="AJ1593" i="9"/>
  <c r="AJ1594" i="9"/>
  <c r="AJ1595" i="9"/>
  <c r="AJ1596" i="9"/>
  <c r="AJ1597" i="9"/>
  <c r="AJ1598" i="9"/>
  <c r="AJ1599" i="9"/>
  <c r="AJ1600" i="9"/>
  <c r="AJ1601" i="9"/>
  <c r="AJ1602" i="9"/>
  <c r="AJ1603" i="9"/>
  <c r="AJ1604" i="9"/>
  <c r="AJ1605" i="9"/>
  <c r="AJ1606" i="9"/>
  <c r="AJ1607" i="9"/>
  <c r="AJ1608" i="9"/>
  <c r="AJ1609" i="9"/>
  <c r="AJ1610" i="9"/>
  <c r="AJ1611" i="9"/>
  <c r="AJ1612" i="9"/>
  <c r="AJ1613" i="9"/>
  <c r="AJ1614" i="9"/>
  <c r="AJ1615" i="9"/>
  <c r="AJ1616" i="9"/>
  <c r="AJ1617" i="9"/>
  <c r="AJ1618" i="9"/>
  <c r="AJ1619" i="9"/>
  <c r="AJ1620" i="9"/>
  <c r="AJ1621" i="9"/>
  <c r="AJ1622" i="9"/>
  <c r="AJ1623" i="9"/>
  <c r="AJ1624" i="9"/>
  <c r="AJ1625" i="9"/>
  <c r="AJ1626" i="9"/>
  <c r="AJ1627" i="9"/>
  <c r="AJ1628" i="9"/>
  <c r="AJ1629" i="9"/>
  <c r="AJ1630" i="9"/>
  <c r="AJ1631" i="9"/>
  <c r="AJ1632" i="9"/>
  <c r="AJ1633" i="9"/>
  <c r="AJ1634" i="9"/>
  <c r="AJ1635" i="9"/>
  <c r="AJ1636" i="9"/>
  <c r="AJ1637" i="9"/>
  <c r="AJ1638" i="9"/>
  <c r="AJ1639" i="9"/>
  <c r="AJ1640" i="9"/>
  <c r="AJ1641" i="9"/>
  <c r="AJ1642" i="9"/>
  <c r="AJ1643" i="9"/>
  <c r="AJ1644" i="9"/>
  <c r="AJ1645" i="9"/>
  <c r="AJ1646" i="9"/>
  <c r="AJ1647" i="9"/>
  <c r="AJ1648" i="9"/>
  <c r="AJ1649" i="9"/>
  <c r="AJ1650" i="9"/>
  <c r="AJ1651" i="9"/>
  <c r="AJ1652" i="9"/>
  <c r="AJ1653" i="9"/>
  <c r="AJ1654" i="9"/>
  <c r="AJ1655" i="9"/>
  <c r="AJ1656" i="9"/>
  <c r="AJ1657" i="9"/>
  <c r="AJ1658" i="9"/>
  <c r="AJ1659" i="9"/>
  <c r="AJ1660" i="9"/>
  <c r="AJ1661" i="9"/>
  <c r="AJ1662" i="9"/>
  <c r="AJ1663" i="9"/>
  <c r="AJ1664" i="9"/>
  <c r="AJ1665" i="9"/>
  <c r="AJ1666" i="9"/>
  <c r="AJ1667" i="9"/>
  <c r="AJ1668" i="9"/>
  <c r="AJ1669" i="9"/>
  <c r="AJ1670" i="9"/>
  <c r="AJ1671" i="9"/>
  <c r="AJ1672" i="9"/>
  <c r="AJ1673" i="9"/>
  <c r="AJ1674" i="9"/>
  <c r="AJ1675" i="9"/>
  <c r="AJ1676" i="9"/>
  <c r="AJ1677" i="9"/>
  <c r="AJ1678" i="9"/>
  <c r="AJ1679" i="9"/>
  <c r="AJ1680" i="9"/>
  <c r="AJ1681" i="9"/>
  <c r="AJ1682" i="9"/>
  <c r="AJ1683" i="9"/>
  <c r="AJ1684" i="9"/>
  <c r="AJ5" i="9"/>
  <c r="AI6" i="9"/>
  <c r="AI7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I59" i="9"/>
  <c r="AI60" i="9"/>
  <c r="AI61" i="9"/>
  <c r="AI62" i="9"/>
  <c r="AI63" i="9"/>
  <c r="AI64" i="9"/>
  <c r="AI65" i="9"/>
  <c r="AI66" i="9"/>
  <c r="AI67" i="9"/>
  <c r="AI68" i="9"/>
  <c r="AI69" i="9"/>
  <c r="AI70" i="9"/>
  <c r="AI71" i="9"/>
  <c r="AI72" i="9"/>
  <c r="AI73" i="9"/>
  <c r="AI74" i="9"/>
  <c r="AI75" i="9"/>
  <c r="AI76" i="9"/>
  <c r="AI77" i="9"/>
  <c r="AI78" i="9"/>
  <c r="AI79" i="9"/>
  <c r="AI80" i="9"/>
  <c r="AI81" i="9"/>
  <c r="AI82" i="9"/>
  <c r="AI83" i="9"/>
  <c r="AI84" i="9"/>
  <c r="AI85" i="9"/>
  <c r="AI86" i="9"/>
  <c r="AI87" i="9"/>
  <c r="AI88" i="9"/>
  <c r="AI89" i="9"/>
  <c r="AI90" i="9"/>
  <c r="AI91" i="9"/>
  <c r="AI92" i="9"/>
  <c r="AI93" i="9"/>
  <c r="AI94" i="9"/>
  <c r="AI95" i="9"/>
  <c r="AI96" i="9"/>
  <c r="AI97" i="9"/>
  <c r="AI98" i="9"/>
  <c r="AI99" i="9"/>
  <c r="AI100" i="9"/>
  <c r="AI101" i="9"/>
  <c r="AI102" i="9"/>
  <c r="AI103" i="9"/>
  <c r="AI104" i="9"/>
  <c r="AI105" i="9"/>
  <c r="AI106" i="9"/>
  <c r="AI107" i="9"/>
  <c r="AI108" i="9"/>
  <c r="AI109" i="9"/>
  <c r="AI110" i="9"/>
  <c r="AI111" i="9"/>
  <c r="AI112" i="9"/>
  <c r="AI113" i="9"/>
  <c r="AI114" i="9"/>
  <c r="AI115" i="9"/>
  <c r="AI116" i="9"/>
  <c r="AI117" i="9"/>
  <c r="AI118" i="9"/>
  <c r="AI119" i="9"/>
  <c r="AI120" i="9"/>
  <c r="AI121" i="9"/>
  <c r="AI122" i="9"/>
  <c r="AI123" i="9"/>
  <c r="AI124" i="9"/>
  <c r="AI125" i="9"/>
  <c r="AI126" i="9"/>
  <c r="AI127" i="9"/>
  <c r="AI128" i="9"/>
  <c r="AI129" i="9"/>
  <c r="AI130" i="9"/>
  <c r="AI131" i="9"/>
  <c r="AI132" i="9"/>
  <c r="AI133" i="9"/>
  <c r="AI134" i="9"/>
  <c r="AI135" i="9"/>
  <c r="AI136" i="9"/>
  <c r="AI137" i="9"/>
  <c r="AI138" i="9"/>
  <c r="AI139" i="9"/>
  <c r="AI140" i="9"/>
  <c r="AI141" i="9"/>
  <c r="AI142" i="9"/>
  <c r="AI143" i="9"/>
  <c r="AI144" i="9"/>
  <c r="AI145" i="9"/>
  <c r="AI146" i="9"/>
  <c r="AI147" i="9"/>
  <c r="AI148" i="9"/>
  <c r="AI149" i="9"/>
  <c r="AI150" i="9"/>
  <c r="AI151" i="9"/>
  <c r="AI152" i="9"/>
  <c r="AI153" i="9"/>
  <c r="AI154" i="9"/>
  <c r="AI155" i="9"/>
  <c r="AI156" i="9"/>
  <c r="AI157" i="9"/>
  <c r="AI158" i="9"/>
  <c r="AI159" i="9"/>
  <c r="AI160" i="9"/>
  <c r="AI161" i="9"/>
  <c r="AI162" i="9"/>
  <c r="AI163" i="9"/>
  <c r="AI164" i="9"/>
  <c r="AI165" i="9"/>
  <c r="AI166" i="9"/>
  <c r="AI167" i="9"/>
  <c r="AI168" i="9"/>
  <c r="AI169" i="9"/>
  <c r="AI170" i="9"/>
  <c r="AI171" i="9"/>
  <c r="AI172" i="9"/>
  <c r="AI173" i="9"/>
  <c r="AI174" i="9"/>
  <c r="AI175" i="9"/>
  <c r="AI176" i="9"/>
  <c r="AI177" i="9"/>
  <c r="AI178" i="9"/>
  <c r="AI179" i="9"/>
  <c r="AI180" i="9"/>
  <c r="AI181" i="9"/>
  <c r="AI182" i="9"/>
  <c r="AI183" i="9"/>
  <c r="AI184" i="9"/>
  <c r="AI185" i="9"/>
  <c r="AI186" i="9"/>
  <c r="AI187" i="9"/>
  <c r="AI188" i="9"/>
  <c r="AI189" i="9"/>
  <c r="AI190" i="9"/>
  <c r="AI191" i="9"/>
  <c r="AI192" i="9"/>
  <c r="AI193" i="9"/>
  <c r="AI194" i="9"/>
  <c r="AI195" i="9"/>
  <c r="AI196" i="9"/>
  <c r="AI197" i="9"/>
  <c r="AI198" i="9"/>
  <c r="AI199" i="9"/>
  <c r="AI200" i="9"/>
  <c r="AI201" i="9"/>
  <c r="AI202" i="9"/>
  <c r="AI203" i="9"/>
  <c r="AI204" i="9"/>
  <c r="AI205" i="9"/>
  <c r="AI206" i="9"/>
  <c r="AI207" i="9"/>
  <c r="AI208" i="9"/>
  <c r="AI209" i="9"/>
  <c r="AI210" i="9"/>
  <c r="AI211" i="9"/>
  <c r="AI212" i="9"/>
  <c r="AI213" i="9"/>
  <c r="AI214" i="9"/>
  <c r="AI215" i="9"/>
  <c r="AI216" i="9"/>
  <c r="AI217" i="9"/>
  <c r="AI218" i="9"/>
  <c r="AI219" i="9"/>
  <c r="AI220" i="9"/>
  <c r="AI221" i="9"/>
  <c r="AI222" i="9"/>
  <c r="AI223" i="9"/>
  <c r="AI224" i="9"/>
  <c r="AI225" i="9"/>
  <c r="AI226" i="9"/>
  <c r="AI227" i="9"/>
  <c r="AI228" i="9"/>
  <c r="AI229" i="9"/>
  <c r="AI230" i="9"/>
  <c r="AI231" i="9"/>
  <c r="AI232" i="9"/>
  <c r="AI233" i="9"/>
  <c r="AI234" i="9"/>
  <c r="AI235" i="9"/>
  <c r="AI236" i="9"/>
  <c r="AI237" i="9"/>
  <c r="AI238" i="9"/>
  <c r="AI239" i="9"/>
  <c r="AI240" i="9"/>
  <c r="AI241" i="9"/>
  <c r="AI242" i="9"/>
  <c r="AI243" i="9"/>
  <c r="AI244" i="9"/>
  <c r="AI245" i="9"/>
  <c r="AI246" i="9"/>
  <c r="AI247" i="9"/>
  <c r="AI248" i="9"/>
  <c r="AI249" i="9"/>
  <c r="AI250" i="9"/>
  <c r="AI251" i="9"/>
  <c r="AI252" i="9"/>
  <c r="AI253" i="9"/>
  <c r="AI254" i="9"/>
  <c r="AI255" i="9"/>
  <c r="AI256" i="9"/>
  <c r="AI257" i="9"/>
  <c r="AI258" i="9"/>
  <c r="AI259" i="9"/>
  <c r="AI260" i="9"/>
  <c r="AI261" i="9"/>
  <c r="AI262" i="9"/>
  <c r="AI263" i="9"/>
  <c r="AI264" i="9"/>
  <c r="AI265" i="9"/>
  <c r="AI266" i="9"/>
  <c r="AI267" i="9"/>
  <c r="AI268" i="9"/>
  <c r="AI269" i="9"/>
  <c r="AI270" i="9"/>
  <c r="AI271" i="9"/>
  <c r="AI272" i="9"/>
  <c r="AI273" i="9"/>
  <c r="AI274" i="9"/>
  <c r="AI275" i="9"/>
  <c r="AI276" i="9"/>
  <c r="AI277" i="9"/>
  <c r="AI278" i="9"/>
  <c r="AI279" i="9"/>
  <c r="AI280" i="9"/>
  <c r="AI281" i="9"/>
  <c r="AI282" i="9"/>
  <c r="AI283" i="9"/>
  <c r="AI284" i="9"/>
  <c r="AI285" i="9"/>
  <c r="AI286" i="9"/>
  <c r="AI287" i="9"/>
  <c r="AI288" i="9"/>
  <c r="AI289" i="9"/>
  <c r="AI290" i="9"/>
  <c r="AI291" i="9"/>
  <c r="AI292" i="9"/>
  <c r="AI293" i="9"/>
  <c r="AI294" i="9"/>
  <c r="AI295" i="9"/>
  <c r="AI296" i="9"/>
  <c r="AI297" i="9"/>
  <c r="AI298" i="9"/>
  <c r="AI299" i="9"/>
  <c r="AI300" i="9"/>
  <c r="AI301" i="9"/>
  <c r="AI302" i="9"/>
  <c r="AI303" i="9"/>
  <c r="AI304" i="9"/>
  <c r="AI305" i="9"/>
  <c r="AI306" i="9"/>
  <c r="AI307" i="9"/>
  <c r="AI308" i="9"/>
  <c r="AI309" i="9"/>
  <c r="AI310" i="9"/>
  <c r="AI311" i="9"/>
  <c r="AI312" i="9"/>
  <c r="AI313" i="9"/>
  <c r="AI314" i="9"/>
  <c r="AI315" i="9"/>
  <c r="AI316" i="9"/>
  <c r="AI317" i="9"/>
  <c r="AI318" i="9"/>
  <c r="AI319" i="9"/>
  <c r="AI320" i="9"/>
  <c r="AI321" i="9"/>
  <c r="AI322" i="9"/>
  <c r="AI323" i="9"/>
  <c r="AI324" i="9"/>
  <c r="AI325" i="9"/>
  <c r="AI326" i="9"/>
  <c r="AI327" i="9"/>
  <c r="AI328" i="9"/>
  <c r="AI329" i="9"/>
  <c r="AI330" i="9"/>
  <c r="AI331" i="9"/>
  <c r="AI332" i="9"/>
  <c r="AI333" i="9"/>
  <c r="AI334" i="9"/>
  <c r="AI335" i="9"/>
  <c r="AI336" i="9"/>
  <c r="AI337" i="9"/>
  <c r="AI338" i="9"/>
  <c r="AI339" i="9"/>
  <c r="AI340" i="9"/>
  <c r="AI341" i="9"/>
  <c r="AI342" i="9"/>
  <c r="AI343" i="9"/>
  <c r="AI344" i="9"/>
  <c r="AI345" i="9"/>
  <c r="AI346" i="9"/>
  <c r="AI347" i="9"/>
  <c r="AI348" i="9"/>
  <c r="AI349" i="9"/>
  <c r="AI350" i="9"/>
  <c r="AI351" i="9"/>
  <c r="AI352" i="9"/>
  <c r="AI353" i="9"/>
  <c r="AI354" i="9"/>
  <c r="AI355" i="9"/>
  <c r="AI356" i="9"/>
  <c r="AI357" i="9"/>
  <c r="AI358" i="9"/>
  <c r="AI359" i="9"/>
  <c r="AI360" i="9"/>
  <c r="AI361" i="9"/>
  <c r="AI362" i="9"/>
  <c r="AI363" i="9"/>
  <c r="AI364" i="9"/>
  <c r="AI365" i="9"/>
  <c r="AI366" i="9"/>
  <c r="AI367" i="9"/>
  <c r="AI368" i="9"/>
  <c r="AI369" i="9"/>
  <c r="AI370" i="9"/>
  <c r="AI371" i="9"/>
  <c r="AI372" i="9"/>
  <c r="AI373" i="9"/>
  <c r="AI374" i="9"/>
  <c r="AI375" i="9"/>
  <c r="AI376" i="9"/>
  <c r="AI377" i="9"/>
  <c r="AI378" i="9"/>
  <c r="AI379" i="9"/>
  <c r="AI380" i="9"/>
  <c r="AI381" i="9"/>
  <c r="AI382" i="9"/>
  <c r="AI383" i="9"/>
  <c r="AI384" i="9"/>
  <c r="AI385" i="9"/>
  <c r="AI386" i="9"/>
  <c r="AI387" i="9"/>
  <c r="AI388" i="9"/>
  <c r="AI389" i="9"/>
  <c r="AI390" i="9"/>
  <c r="AI391" i="9"/>
  <c r="AI392" i="9"/>
  <c r="AI393" i="9"/>
  <c r="AI394" i="9"/>
  <c r="AI395" i="9"/>
  <c r="AI396" i="9"/>
  <c r="AI397" i="9"/>
  <c r="AI398" i="9"/>
  <c r="AI399" i="9"/>
  <c r="AI400" i="9"/>
  <c r="AI401" i="9"/>
  <c r="AI402" i="9"/>
  <c r="AI403" i="9"/>
  <c r="AI404" i="9"/>
  <c r="AI405" i="9"/>
  <c r="AI406" i="9"/>
  <c r="AI407" i="9"/>
  <c r="AI408" i="9"/>
  <c r="AI409" i="9"/>
  <c r="AI410" i="9"/>
  <c r="AI411" i="9"/>
  <c r="AI412" i="9"/>
  <c r="AI413" i="9"/>
  <c r="AI414" i="9"/>
  <c r="AI415" i="9"/>
  <c r="AI416" i="9"/>
  <c r="AI417" i="9"/>
  <c r="AI418" i="9"/>
  <c r="AI419" i="9"/>
  <c r="AI420" i="9"/>
  <c r="AI421" i="9"/>
  <c r="AI422" i="9"/>
  <c r="AI423" i="9"/>
  <c r="AI424" i="9"/>
  <c r="AI425" i="9"/>
  <c r="AI426" i="9"/>
  <c r="AI427" i="9"/>
  <c r="AI428" i="9"/>
  <c r="AI429" i="9"/>
  <c r="AI430" i="9"/>
  <c r="AI431" i="9"/>
  <c r="AI432" i="9"/>
  <c r="AI433" i="9"/>
  <c r="AI434" i="9"/>
  <c r="AI435" i="9"/>
  <c r="AI436" i="9"/>
  <c r="AI437" i="9"/>
  <c r="AI438" i="9"/>
  <c r="AI439" i="9"/>
  <c r="AI440" i="9"/>
  <c r="AI441" i="9"/>
  <c r="AI442" i="9"/>
  <c r="AI443" i="9"/>
  <c r="AI444" i="9"/>
  <c r="AI445" i="9"/>
  <c r="AI446" i="9"/>
  <c r="AI447" i="9"/>
  <c r="AI448" i="9"/>
  <c r="AI449" i="9"/>
  <c r="AI450" i="9"/>
  <c r="AI451" i="9"/>
  <c r="AI452" i="9"/>
  <c r="AI453" i="9"/>
  <c r="AI454" i="9"/>
  <c r="AI455" i="9"/>
  <c r="AI456" i="9"/>
  <c r="AI457" i="9"/>
  <c r="AI458" i="9"/>
  <c r="AI459" i="9"/>
  <c r="AI460" i="9"/>
  <c r="AI461" i="9"/>
  <c r="AI462" i="9"/>
  <c r="AI463" i="9"/>
  <c r="AI464" i="9"/>
  <c r="AI465" i="9"/>
  <c r="AI466" i="9"/>
  <c r="AI467" i="9"/>
  <c r="AI468" i="9"/>
  <c r="AI469" i="9"/>
  <c r="AI470" i="9"/>
  <c r="AI471" i="9"/>
  <c r="AI472" i="9"/>
  <c r="AI473" i="9"/>
  <c r="AI474" i="9"/>
  <c r="AI475" i="9"/>
  <c r="AI476" i="9"/>
  <c r="AI477" i="9"/>
  <c r="AI478" i="9"/>
  <c r="AI479" i="9"/>
  <c r="AI480" i="9"/>
  <c r="AI481" i="9"/>
  <c r="AI482" i="9"/>
  <c r="AI483" i="9"/>
  <c r="AI484" i="9"/>
  <c r="AI485" i="9"/>
  <c r="AI486" i="9"/>
  <c r="AI487" i="9"/>
  <c r="AI488" i="9"/>
  <c r="AI489" i="9"/>
  <c r="AI490" i="9"/>
  <c r="AI491" i="9"/>
  <c r="AI492" i="9"/>
  <c r="AI493" i="9"/>
  <c r="AI494" i="9"/>
  <c r="AI495" i="9"/>
  <c r="AI496" i="9"/>
  <c r="AI497" i="9"/>
  <c r="AI498" i="9"/>
  <c r="AI499" i="9"/>
  <c r="AI500" i="9"/>
  <c r="AI501" i="9"/>
  <c r="AI502" i="9"/>
  <c r="AI503" i="9"/>
  <c r="AI504" i="9"/>
  <c r="AI505" i="9"/>
  <c r="AI506" i="9"/>
  <c r="AI507" i="9"/>
  <c r="AI508" i="9"/>
  <c r="AI509" i="9"/>
  <c r="AI510" i="9"/>
  <c r="AI511" i="9"/>
  <c r="AI512" i="9"/>
  <c r="AI513" i="9"/>
  <c r="AI514" i="9"/>
  <c r="AI515" i="9"/>
  <c r="AI516" i="9"/>
  <c r="AI517" i="9"/>
  <c r="AI518" i="9"/>
  <c r="AI519" i="9"/>
  <c r="AI520" i="9"/>
  <c r="AI521" i="9"/>
  <c r="AI522" i="9"/>
  <c r="AI523" i="9"/>
  <c r="AI524" i="9"/>
  <c r="AI525" i="9"/>
  <c r="AI526" i="9"/>
  <c r="AI527" i="9"/>
  <c r="AI528" i="9"/>
  <c r="AI529" i="9"/>
  <c r="AI530" i="9"/>
  <c r="AI531" i="9"/>
  <c r="AI532" i="9"/>
  <c r="AI533" i="9"/>
  <c r="AI534" i="9"/>
  <c r="AI535" i="9"/>
  <c r="AI536" i="9"/>
  <c r="AI537" i="9"/>
  <c r="AI538" i="9"/>
  <c r="AI539" i="9"/>
  <c r="AI540" i="9"/>
  <c r="AI541" i="9"/>
  <c r="AI542" i="9"/>
  <c r="AI543" i="9"/>
  <c r="AI544" i="9"/>
  <c r="AI545" i="9"/>
  <c r="AI546" i="9"/>
  <c r="AI547" i="9"/>
  <c r="AI548" i="9"/>
  <c r="AI549" i="9"/>
  <c r="AI550" i="9"/>
  <c r="AI551" i="9"/>
  <c r="AI552" i="9"/>
  <c r="AI553" i="9"/>
  <c r="AI554" i="9"/>
  <c r="AI555" i="9"/>
  <c r="AI556" i="9"/>
  <c r="AI557" i="9"/>
  <c r="AI558" i="9"/>
  <c r="AI559" i="9"/>
  <c r="AI560" i="9"/>
  <c r="AI561" i="9"/>
  <c r="AI562" i="9"/>
  <c r="AI563" i="9"/>
  <c r="AI564" i="9"/>
  <c r="AI565" i="9"/>
  <c r="AI566" i="9"/>
  <c r="AI567" i="9"/>
  <c r="AI568" i="9"/>
  <c r="AI569" i="9"/>
  <c r="AI570" i="9"/>
  <c r="AI571" i="9"/>
  <c r="AI572" i="9"/>
  <c r="AI573" i="9"/>
  <c r="AI574" i="9"/>
  <c r="AI575" i="9"/>
  <c r="AI576" i="9"/>
  <c r="AI577" i="9"/>
  <c r="AI578" i="9"/>
  <c r="AI579" i="9"/>
  <c r="AI580" i="9"/>
  <c r="AI581" i="9"/>
  <c r="AI582" i="9"/>
  <c r="AI583" i="9"/>
  <c r="AI584" i="9"/>
  <c r="AI585" i="9"/>
  <c r="AI586" i="9"/>
  <c r="AI587" i="9"/>
  <c r="AI588" i="9"/>
  <c r="AI589" i="9"/>
  <c r="AI590" i="9"/>
  <c r="AI591" i="9"/>
  <c r="AI592" i="9"/>
  <c r="AI593" i="9"/>
  <c r="AI594" i="9"/>
  <c r="AI595" i="9"/>
  <c r="AI596" i="9"/>
  <c r="AI597" i="9"/>
  <c r="AI598" i="9"/>
  <c r="AI599" i="9"/>
  <c r="AI600" i="9"/>
  <c r="AI601" i="9"/>
  <c r="AI602" i="9"/>
  <c r="AI603" i="9"/>
  <c r="AI604" i="9"/>
  <c r="AI605" i="9"/>
  <c r="AI606" i="9"/>
  <c r="AI607" i="9"/>
  <c r="AI608" i="9"/>
  <c r="AI609" i="9"/>
  <c r="AI610" i="9"/>
  <c r="AI611" i="9"/>
  <c r="AI612" i="9"/>
  <c r="AI613" i="9"/>
  <c r="AI614" i="9"/>
  <c r="AI615" i="9"/>
  <c r="AI616" i="9"/>
  <c r="AI617" i="9"/>
  <c r="AI618" i="9"/>
  <c r="AI619" i="9"/>
  <c r="AI620" i="9"/>
  <c r="AI621" i="9"/>
  <c r="AI622" i="9"/>
  <c r="AI623" i="9"/>
  <c r="AI624" i="9"/>
  <c r="AI625" i="9"/>
  <c r="AI626" i="9"/>
  <c r="AI627" i="9"/>
  <c r="AI628" i="9"/>
  <c r="AI629" i="9"/>
  <c r="AI630" i="9"/>
  <c r="AI631" i="9"/>
  <c r="AI632" i="9"/>
  <c r="AI633" i="9"/>
  <c r="AI634" i="9"/>
  <c r="AI635" i="9"/>
  <c r="AI636" i="9"/>
  <c r="AI637" i="9"/>
  <c r="AI638" i="9"/>
  <c r="AI639" i="9"/>
  <c r="AI640" i="9"/>
  <c r="AI641" i="9"/>
  <c r="AI642" i="9"/>
  <c r="AI643" i="9"/>
  <c r="AI644" i="9"/>
  <c r="AI645" i="9"/>
  <c r="AI646" i="9"/>
  <c r="AI647" i="9"/>
  <c r="AI648" i="9"/>
  <c r="AI649" i="9"/>
  <c r="AI650" i="9"/>
  <c r="AI651" i="9"/>
  <c r="AI652" i="9"/>
  <c r="AI653" i="9"/>
  <c r="AI654" i="9"/>
  <c r="AI655" i="9"/>
  <c r="AI656" i="9"/>
  <c r="AI657" i="9"/>
  <c r="AI658" i="9"/>
  <c r="AI659" i="9"/>
  <c r="AI660" i="9"/>
  <c r="AI661" i="9"/>
  <c r="AI662" i="9"/>
  <c r="AI663" i="9"/>
  <c r="AI664" i="9"/>
  <c r="AI665" i="9"/>
  <c r="AI666" i="9"/>
  <c r="AI667" i="9"/>
  <c r="AI668" i="9"/>
  <c r="AI669" i="9"/>
  <c r="AI670" i="9"/>
  <c r="AI671" i="9"/>
  <c r="AI672" i="9"/>
  <c r="AI673" i="9"/>
  <c r="AI674" i="9"/>
  <c r="AI675" i="9"/>
  <c r="AI676" i="9"/>
  <c r="AI677" i="9"/>
  <c r="AI678" i="9"/>
  <c r="AI679" i="9"/>
  <c r="AI680" i="9"/>
  <c r="AI681" i="9"/>
  <c r="AI682" i="9"/>
  <c r="AI683" i="9"/>
  <c r="AI684" i="9"/>
  <c r="AI685" i="9"/>
  <c r="AI686" i="9"/>
  <c r="AI687" i="9"/>
  <c r="AI688" i="9"/>
  <c r="AI689" i="9"/>
  <c r="AI690" i="9"/>
  <c r="AI691" i="9"/>
  <c r="AI692" i="9"/>
  <c r="AI693" i="9"/>
  <c r="AI694" i="9"/>
  <c r="AI695" i="9"/>
  <c r="AI696" i="9"/>
  <c r="AI697" i="9"/>
  <c r="AI698" i="9"/>
  <c r="AI699" i="9"/>
  <c r="AI700" i="9"/>
  <c r="AI701" i="9"/>
  <c r="AI702" i="9"/>
  <c r="AI703" i="9"/>
  <c r="AI704" i="9"/>
  <c r="AI705" i="9"/>
  <c r="AI706" i="9"/>
  <c r="AI707" i="9"/>
  <c r="AI708" i="9"/>
  <c r="AI709" i="9"/>
  <c r="AI710" i="9"/>
  <c r="AI711" i="9"/>
  <c r="AI712" i="9"/>
  <c r="AI713" i="9"/>
  <c r="AI714" i="9"/>
  <c r="AI715" i="9"/>
  <c r="AI716" i="9"/>
  <c r="AI717" i="9"/>
  <c r="AI718" i="9"/>
  <c r="AI719" i="9"/>
  <c r="AI720" i="9"/>
  <c r="AI721" i="9"/>
  <c r="AI722" i="9"/>
  <c r="AI723" i="9"/>
  <c r="AI724" i="9"/>
  <c r="AI725" i="9"/>
  <c r="AI726" i="9"/>
  <c r="AI727" i="9"/>
  <c r="AI728" i="9"/>
  <c r="AI729" i="9"/>
  <c r="AI730" i="9"/>
  <c r="AI731" i="9"/>
  <c r="AI732" i="9"/>
  <c r="AI733" i="9"/>
  <c r="AI734" i="9"/>
  <c r="AI735" i="9"/>
  <c r="AI736" i="9"/>
  <c r="AI737" i="9"/>
  <c r="AI738" i="9"/>
  <c r="AI739" i="9"/>
  <c r="AI740" i="9"/>
  <c r="AI741" i="9"/>
  <c r="AI742" i="9"/>
  <c r="AI743" i="9"/>
  <c r="AI744" i="9"/>
  <c r="AI745" i="9"/>
  <c r="AI746" i="9"/>
  <c r="AI747" i="9"/>
  <c r="AI748" i="9"/>
  <c r="AI749" i="9"/>
  <c r="AI750" i="9"/>
  <c r="AI751" i="9"/>
  <c r="AI752" i="9"/>
  <c r="AI753" i="9"/>
  <c r="AI754" i="9"/>
  <c r="AI755" i="9"/>
  <c r="AI756" i="9"/>
  <c r="AI757" i="9"/>
  <c r="AI758" i="9"/>
  <c r="AI759" i="9"/>
  <c r="AI760" i="9"/>
  <c r="AI761" i="9"/>
  <c r="AI762" i="9"/>
  <c r="AI763" i="9"/>
  <c r="AI764" i="9"/>
  <c r="AI765" i="9"/>
  <c r="AI766" i="9"/>
  <c r="AI767" i="9"/>
  <c r="AI768" i="9"/>
  <c r="AI769" i="9"/>
  <c r="AI770" i="9"/>
  <c r="AI771" i="9"/>
  <c r="AI772" i="9"/>
  <c r="AI773" i="9"/>
  <c r="AI774" i="9"/>
  <c r="AI775" i="9"/>
  <c r="AI776" i="9"/>
  <c r="AI777" i="9"/>
  <c r="AI778" i="9"/>
  <c r="AI779" i="9"/>
  <c r="AI780" i="9"/>
  <c r="AI781" i="9"/>
  <c r="AI782" i="9"/>
  <c r="AI783" i="9"/>
  <c r="AI784" i="9"/>
  <c r="AI785" i="9"/>
  <c r="AI786" i="9"/>
  <c r="AI787" i="9"/>
  <c r="AI788" i="9"/>
  <c r="AI789" i="9"/>
  <c r="AI790" i="9"/>
  <c r="AI791" i="9"/>
  <c r="AI792" i="9"/>
  <c r="AI793" i="9"/>
  <c r="AI794" i="9"/>
  <c r="AI795" i="9"/>
  <c r="AI796" i="9"/>
  <c r="AI797" i="9"/>
  <c r="AI798" i="9"/>
  <c r="AI799" i="9"/>
  <c r="AI800" i="9"/>
  <c r="AI801" i="9"/>
  <c r="AI802" i="9"/>
  <c r="AI803" i="9"/>
  <c r="AI804" i="9"/>
  <c r="AI805" i="9"/>
  <c r="AI806" i="9"/>
  <c r="AI807" i="9"/>
  <c r="AI808" i="9"/>
  <c r="AI809" i="9"/>
  <c r="AI810" i="9"/>
  <c r="AI811" i="9"/>
  <c r="AI812" i="9"/>
  <c r="AI813" i="9"/>
  <c r="AI814" i="9"/>
  <c r="AI815" i="9"/>
  <c r="AI816" i="9"/>
  <c r="AI817" i="9"/>
  <c r="AI818" i="9"/>
  <c r="AI819" i="9"/>
  <c r="AI820" i="9"/>
  <c r="AI821" i="9"/>
  <c r="AI822" i="9"/>
  <c r="AI823" i="9"/>
  <c r="AI824" i="9"/>
  <c r="AI825" i="9"/>
  <c r="AI826" i="9"/>
  <c r="AI827" i="9"/>
  <c r="AI828" i="9"/>
  <c r="AI829" i="9"/>
  <c r="AI830" i="9"/>
  <c r="AI831" i="9"/>
  <c r="AI832" i="9"/>
  <c r="AI833" i="9"/>
  <c r="AI834" i="9"/>
  <c r="AI835" i="9"/>
  <c r="AI836" i="9"/>
  <c r="AI837" i="9"/>
  <c r="AI838" i="9"/>
  <c r="AI839" i="9"/>
  <c r="AI840" i="9"/>
  <c r="AI841" i="9"/>
  <c r="AI842" i="9"/>
  <c r="AI843" i="9"/>
  <c r="AI844" i="9"/>
  <c r="AI845" i="9"/>
  <c r="AI846" i="9"/>
  <c r="AI847" i="9"/>
  <c r="AI848" i="9"/>
  <c r="AI849" i="9"/>
  <c r="AI850" i="9"/>
  <c r="AI851" i="9"/>
  <c r="AI852" i="9"/>
  <c r="AI853" i="9"/>
  <c r="AI854" i="9"/>
  <c r="AI855" i="9"/>
  <c r="AI856" i="9"/>
  <c r="AI857" i="9"/>
  <c r="AI858" i="9"/>
  <c r="AI859" i="9"/>
  <c r="AI860" i="9"/>
  <c r="AI861" i="9"/>
  <c r="AI862" i="9"/>
  <c r="AI863" i="9"/>
  <c r="AI864" i="9"/>
  <c r="AI865" i="9"/>
  <c r="AI866" i="9"/>
  <c r="AI867" i="9"/>
  <c r="AI868" i="9"/>
  <c r="AI869" i="9"/>
  <c r="AI870" i="9"/>
  <c r="AI871" i="9"/>
  <c r="AI872" i="9"/>
  <c r="AI873" i="9"/>
  <c r="AI874" i="9"/>
  <c r="AI875" i="9"/>
  <c r="AI876" i="9"/>
  <c r="AI877" i="9"/>
  <c r="AI878" i="9"/>
  <c r="AI879" i="9"/>
  <c r="AI880" i="9"/>
  <c r="AI881" i="9"/>
  <c r="AI882" i="9"/>
  <c r="AI883" i="9"/>
  <c r="AI884" i="9"/>
  <c r="AI885" i="9"/>
  <c r="AI886" i="9"/>
  <c r="AI887" i="9"/>
  <c r="AI888" i="9"/>
  <c r="AI889" i="9"/>
  <c r="AI890" i="9"/>
  <c r="AI891" i="9"/>
  <c r="AI892" i="9"/>
  <c r="AI893" i="9"/>
  <c r="AI894" i="9"/>
  <c r="AI895" i="9"/>
  <c r="AI896" i="9"/>
  <c r="AI897" i="9"/>
  <c r="AI898" i="9"/>
  <c r="AI899" i="9"/>
  <c r="AI900" i="9"/>
  <c r="AI901" i="9"/>
  <c r="AI902" i="9"/>
  <c r="AI903" i="9"/>
  <c r="AI904" i="9"/>
  <c r="AI905" i="9"/>
  <c r="AI906" i="9"/>
  <c r="AI907" i="9"/>
  <c r="AI908" i="9"/>
  <c r="AI909" i="9"/>
  <c r="AI910" i="9"/>
  <c r="AI911" i="9"/>
  <c r="AI912" i="9"/>
  <c r="AI913" i="9"/>
  <c r="AI914" i="9"/>
  <c r="AI915" i="9"/>
  <c r="AI916" i="9"/>
  <c r="AI917" i="9"/>
  <c r="AI918" i="9"/>
  <c r="AI919" i="9"/>
  <c r="AI920" i="9"/>
  <c r="AI921" i="9"/>
  <c r="AI922" i="9"/>
  <c r="AI923" i="9"/>
  <c r="AI924" i="9"/>
  <c r="AI925" i="9"/>
  <c r="AI926" i="9"/>
  <c r="AI927" i="9"/>
  <c r="AI928" i="9"/>
  <c r="AI929" i="9"/>
  <c r="AI930" i="9"/>
  <c r="AI931" i="9"/>
  <c r="AI932" i="9"/>
  <c r="AI933" i="9"/>
  <c r="AI934" i="9"/>
  <c r="AI935" i="9"/>
  <c r="AI936" i="9"/>
  <c r="AI937" i="9"/>
  <c r="AI938" i="9"/>
  <c r="AI939" i="9"/>
  <c r="AI940" i="9"/>
  <c r="AI941" i="9"/>
  <c r="AI942" i="9"/>
  <c r="AI943" i="9"/>
  <c r="AI944" i="9"/>
  <c r="AI945" i="9"/>
  <c r="AI946" i="9"/>
  <c r="AI947" i="9"/>
  <c r="AI948" i="9"/>
  <c r="AI949" i="9"/>
  <c r="AI950" i="9"/>
  <c r="AI951" i="9"/>
  <c r="AI952" i="9"/>
  <c r="AI953" i="9"/>
  <c r="AI954" i="9"/>
  <c r="AI955" i="9"/>
  <c r="AI956" i="9"/>
  <c r="AI957" i="9"/>
  <c r="AI958" i="9"/>
  <c r="AI959" i="9"/>
  <c r="AI960" i="9"/>
  <c r="AI961" i="9"/>
  <c r="AI962" i="9"/>
  <c r="AI963" i="9"/>
  <c r="AI964" i="9"/>
  <c r="AI965" i="9"/>
  <c r="AI966" i="9"/>
  <c r="AI967" i="9"/>
  <c r="AI968" i="9"/>
  <c r="AI969" i="9"/>
  <c r="AI970" i="9"/>
  <c r="AI971" i="9"/>
  <c r="AI972" i="9"/>
  <c r="AI973" i="9"/>
  <c r="AI974" i="9"/>
  <c r="AI975" i="9"/>
  <c r="AI976" i="9"/>
  <c r="AI977" i="9"/>
  <c r="AI978" i="9"/>
  <c r="AI979" i="9"/>
  <c r="AI980" i="9"/>
  <c r="AI981" i="9"/>
  <c r="AI982" i="9"/>
  <c r="AI983" i="9"/>
  <c r="AI984" i="9"/>
  <c r="AI985" i="9"/>
  <c r="AI986" i="9"/>
  <c r="AI987" i="9"/>
  <c r="AI988" i="9"/>
  <c r="AI989" i="9"/>
  <c r="AI990" i="9"/>
  <c r="AI991" i="9"/>
  <c r="AI992" i="9"/>
  <c r="AI993" i="9"/>
  <c r="AI994" i="9"/>
  <c r="AI995" i="9"/>
  <c r="AI996" i="9"/>
  <c r="AI997" i="9"/>
  <c r="AI998" i="9"/>
  <c r="AI999" i="9"/>
  <c r="AI1000" i="9"/>
  <c r="AI1001" i="9"/>
  <c r="AI1002" i="9"/>
  <c r="AI1003" i="9"/>
  <c r="AI1004" i="9"/>
  <c r="AI1005" i="9"/>
  <c r="AI1006" i="9"/>
  <c r="AI1007" i="9"/>
  <c r="AI1008" i="9"/>
  <c r="AI1009" i="9"/>
  <c r="AI1010" i="9"/>
  <c r="AI1011" i="9"/>
  <c r="AI1012" i="9"/>
  <c r="AI1013" i="9"/>
  <c r="AI1014" i="9"/>
  <c r="AI1015" i="9"/>
  <c r="AI1016" i="9"/>
  <c r="AI1017" i="9"/>
  <c r="AI1018" i="9"/>
  <c r="AI1019" i="9"/>
  <c r="AI1020" i="9"/>
  <c r="AI1021" i="9"/>
  <c r="AI1022" i="9"/>
  <c r="AI1023" i="9"/>
  <c r="AI1024" i="9"/>
  <c r="AI1025" i="9"/>
  <c r="AI1026" i="9"/>
  <c r="AI1027" i="9"/>
  <c r="AI1028" i="9"/>
  <c r="AI1029" i="9"/>
  <c r="AI1030" i="9"/>
  <c r="AI1031" i="9"/>
  <c r="AI1032" i="9"/>
  <c r="AI1033" i="9"/>
  <c r="AI1034" i="9"/>
  <c r="AI1035" i="9"/>
  <c r="AI1036" i="9"/>
  <c r="AI1037" i="9"/>
  <c r="AI1038" i="9"/>
  <c r="AI1039" i="9"/>
  <c r="AI1040" i="9"/>
  <c r="AI1041" i="9"/>
  <c r="AI1042" i="9"/>
  <c r="AI1043" i="9"/>
  <c r="AI1044" i="9"/>
  <c r="AI1045" i="9"/>
  <c r="AI1046" i="9"/>
  <c r="AI1047" i="9"/>
  <c r="AI1048" i="9"/>
  <c r="AI1049" i="9"/>
  <c r="AI1050" i="9"/>
  <c r="AI1051" i="9"/>
  <c r="AI1052" i="9"/>
  <c r="AI1053" i="9"/>
  <c r="AI1054" i="9"/>
  <c r="AI1055" i="9"/>
  <c r="AI1056" i="9"/>
  <c r="AI1057" i="9"/>
  <c r="AI1058" i="9"/>
  <c r="AI1059" i="9"/>
  <c r="AI1060" i="9"/>
  <c r="AI1061" i="9"/>
  <c r="AI1062" i="9"/>
  <c r="AI1063" i="9"/>
  <c r="AI1064" i="9"/>
  <c r="AI1065" i="9"/>
  <c r="AI1066" i="9"/>
  <c r="AI1067" i="9"/>
  <c r="AI1068" i="9"/>
  <c r="AI1069" i="9"/>
  <c r="AI1070" i="9"/>
  <c r="AI1071" i="9"/>
  <c r="AI1072" i="9"/>
  <c r="AI1073" i="9"/>
  <c r="AI1074" i="9"/>
  <c r="AI1075" i="9"/>
  <c r="AI1076" i="9"/>
  <c r="AI1077" i="9"/>
  <c r="AI1078" i="9"/>
  <c r="AI1079" i="9"/>
  <c r="AI1080" i="9"/>
  <c r="AI1081" i="9"/>
  <c r="AI1082" i="9"/>
  <c r="AI1083" i="9"/>
  <c r="AI1084" i="9"/>
  <c r="AI1085" i="9"/>
  <c r="AI1086" i="9"/>
  <c r="AI1087" i="9"/>
  <c r="AI1088" i="9"/>
  <c r="AI1089" i="9"/>
  <c r="AI1090" i="9"/>
  <c r="AI1091" i="9"/>
  <c r="AI1092" i="9"/>
  <c r="AI1093" i="9"/>
  <c r="AI1094" i="9"/>
  <c r="AI1095" i="9"/>
  <c r="AI1096" i="9"/>
  <c r="AI1097" i="9"/>
  <c r="AI1098" i="9"/>
  <c r="AI1099" i="9"/>
  <c r="AI1100" i="9"/>
  <c r="AI1101" i="9"/>
  <c r="AI1102" i="9"/>
  <c r="AI1103" i="9"/>
  <c r="AI1104" i="9"/>
  <c r="AI1105" i="9"/>
  <c r="AI1106" i="9"/>
  <c r="AI1107" i="9"/>
  <c r="AI1108" i="9"/>
  <c r="AI1109" i="9"/>
  <c r="AI1110" i="9"/>
  <c r="AI1111" i="9"/>
  <c r="AI1112" i="9"/>
  <c r="AI1113" i="9"/>
  <c r="AI1114" i="9"/>
  <c r="AI1115" i="9"/>
  <c r="AI1116" i="9"/>
  <c r="AI1117" i="9"/>
  <c r="AI1118" i="9"/>
  <c r="AI1119" i="9"/>
  <c r="AI1120" i="9"/>
  <c r="AI1121" i="9"/>
  <c r="AI1122" i="9"/>
  <c r="AI1123" i="9"/>
  <c r="AI1124" i="9"/>
  <c r="AI1125" i="9"/>
  <c r="AI1126" i="9"/>
  <c r="AI1127" i="9"/>
  <c r="AI1128" i="9"/>
  <c r="AI1129" i="9"/>
  <c r="AI1130" i="9"/>
  <c r="AI1131" i="9"/>
  <c r="AI1132" i="9"/>
  <c r="AI1133" i="9"/>
  <c r="AI1134" i="9"/>
  <c r="AI1135" i="9"/>
  <c r="AI1136" i="9"/>
  <c r="AI1137" i="9"/>
  <c r="AI1138" i="9"/>
  <c r="AI1139" i="9"/>
  <c r="AI1140" i="9"/>
  <c r="AI1141" i="9"/>
  <c r="AI1142" i="9"/>
  <c r="AI1143" i="9"/>
  <c r="AI1144" i="9"/>
  <c r="AI1145" i="9"/>
  <c r="AI1146" i="9"/>
  <c r="AI1147" i="9"/>
  <c r="AI1148" i="9"/>
  <c r="AI1149" i="9"/>
  <c r="AI1150" i="9"/>
  <c r="AI1151" i="9"/>
  <c r="AI1152" i="9"/>
  <c r="AI1153" i="9"/>
  <c r="AI1154" i="9"/>
  <c r="AI1155" i="9"/>
  <c r="AI1156" i="9"/>
  <c r="AI1157" i="9"/>
  <c r="AI1158" i="9"/>
  <c r="AI1159" i="9"/>
  <c r="AI1160" i="9"/>
  <c r="AI1161" i="9"/>
  <c r="AI1162" i="9"/>
  <c r="AI1163" i="9"/>
  <c r="AI1164" i="9"/>
  <c r="AI1165" i="9"/>
  <c r="AI1166" i="9"/>
  <c r="AI1167" i="9"/>
  <c r="AI1168" i="9"/>
  <c r="AI1169" i="9"/>
  <c r="AI1170" i="9"/>
  <c r="AI1171" i="9"/>
  <c r="AI1172" i="9"/>
  <c r="AI1173" i="9"/>
  <c r="AI1174" i="9"/>
  <c r="AI1175" i="9"/>
  <c r="AI1176" i="9"/>
  <c r="AI1177" i="9"/>
  <c r="AI1178" i="9"/>
  <c r="AI1179" i="9"/>
  <c r="AI1180" i="9"/>
  <c r="AI1181" i="9"/>
  <c r="AI1182" i="9"/>
  <c r="AI1183" i="9"/>
  <c r="AI1184" i="9"/>
  <c r="AI1185" i="9"/>
  <c r="AI1186" i="9"/>
  <c r="AI1187" i="9"/>
  <c r="AI1188" i="9"/>
  <c r="AI1189" i="9"/>
  <c r="AI1190" i="9"/>
  <c r="AI1191" i="9"/>
  <c r="AI1192" i="9"/>
  <c r="AI1193" i="9"/>
  <c r="AI1194" i="9"/>
  <c r="AI1195" i="9"/>
  <c r="AI1196" i="9"/>
  <c r="AI1197" i="9"/>
  <c r="AI1198" i="9"/>
  <c r="AI1199" i="9"/>
  <c r="AI1200" i="9"/>
  <c r="AI1201" i="9"/>
  <c r="AI1202" i="9"/>
  <c r="AI1203" i="9"/>
  <c r="AI1204" i="9"/>
  <c r="AI1205" i="9"/>
  <c r="AI1206" i="9"/>
  <c r="AI1207" i="9"/>
  <c r="AI1208" i="9"/>
  <c r="AI1209" i="9"/>
  <c r="AI1210" i="9"/>
  <c r="AI1211" i="9"/>
  <c r="AI1212" i="9"/>
  <c r="AI1213" i="9"/>
  <c r="AI1214" i="9"/>
  <c r="AI1215" i="9"/>
  <c r="AI1216" i="9"/>
  <c r="AI1217" i="9"/>
  <c r="AI1218" i="9"/>
  <c r="AI1219" i="9"/>
  <c r="AI1220" i="9"/>
  <c r="AI1221" i="9"/>
  <c r="AI1222" i="9"/>
  <c r="AI1223" i="9"/>
  <c r="AI1224" i="9"/>
  <c r="AI1225" i="9"/>
  <c r="AI1226" i="9"/>
  <c r="AI1227" i="9"/>
  <c r="AI1228" i="9"/>
  <c r="AI1229" i="9"/>
  <c r="AI1230" i="9"/>
  <c r="AI1231" i="9"/>
  <c r="AI1232" i="9"/>
  <c r="AI1233" i="9"/>
  <c r="AI1234" i="9"/>
  <c r="AI1235" i="9"/>
  <c r="AI1236" i="9"/>
  <c r="AI1237" i="9"/>
  <c r="AI1238" i="9"/>
  <c r="AI1239" i="9"/>
  <c r="AI1240" i="9"/>
  <c r="AI1241" i="9"/>
  <c r="AI1242" i="9"/>
  <c r="AI1243" i="9"/>
  <c r="AI1244" i="9"/>
  <c r="AI1245" i="9"/>
  <c r="AI1246" i="9"/>
  <c r="AI1247" i="9"/>
  <c r="AI1248" i="9"/>
  <c r="AI1249" i="9"/>
  <c r="AI1250" i="9"/>
  <c r="AI1251" i="9"/>
  <c r="AI1252" i="9"/>
  <c r="AI1253" i="9"/>
  <c r="AI1254" i="9"/>
  <c r="AI1255" i="9"/>
  <c r="AI1256" i="9"/>
  <c r="AI1257" i="9"/>
  <c r="AI1258" i="9"/>
  <c r="AI1259" i="9"/>
  <c r="AI1260" i="9"/>
  <c r="AI1261" i="9"/>
  <c r="AI1262" i="9"/>
  <c r="AI1263" i="9"/>
  <c r="AI1264" i="9"/>
  <c r="AI1265" i="9"/>
  <c r="AI1266" i="9"/>
  <c r="AI1267" i="9"/>
  <c r="AI1268" i="9"/>
  <c r="AI1269" i="9"/>
  <c r="AI1270" i="9"/>
  <c r="AI1271" i="9"/>
  <c r="AI1272" i="9"/>
  <c r="AI1273" i="9"/>
  <c r="AI1274" i="9"/>
  <c r="AI1275" i="9"/>
  <c r="AI1276" i="9"/>
  <c r="AI1277" i="9"/>
  <c r="AI1278" i="9"/>
  <c r="AI1279" i="9"/>
  <c r="AI1280" i="9"/>
  <c r="AI1281" i="9"/>
  <c r="AI1282" i="9"/>
  <c r="AI1283" i="9"/>
  <c r="AI1284" i="9"/>
  <c r="AI1285" i="9"/>
  <c r="AI1286" i="9"/>
  <c r="AI1287" i="9"/>
  <c r="AI1288" i="9"/>
  <c r="AI1289" i="9"/>
  <c r="AI1290" i="9"/>
  <c r="AI1291" i="9"/>
  <c r="AI1292" i="9"/>
  <c r="AI1293" i="9"/>
  <c r="AI1294" i="9"/>
  <c r="AI1295" i="9"/>
  <c r="AI1296" i="9"/>
  <c r="AI1297" i="9"/>
  <c r="AI1298" i="9"/>
  <c r="AI1299" i="9"/>
  <c r="AI1300" i="9"/>
  <c r="AI1301" i="9"/>
  <c r="AI1302" i="9"/>
  <c r="AI1303" i="9"/>
  <c r="AI1304" i="9"/>
  <c r="AI1305" i="9"/>
  <c r="AI1306" i="9"/>
  <c r="AI1307" i="9"/>
  <c r="AI1308" i="9"/>
  <c r="AI1309" i="9"/>
  <c r="AI1310" i="9"/>
  <c r="AI1311" i="9"/>
  <c r="AI1312" i="9"/>
  <c r="AI1313" i="9"/>
  <c r="AI1314" i="9"/>
  <c r="AI1315" i="9"/>
  <c r="AI1316" i="9"/>
  <c r="AI1317" i="9"/>
  <c r="AI1318" i="9"/>
  <c r="AI1319" i="9"/>
  <c r="AI1320" i="9"/>
  <c r="AI1321" i="9"/>
  <c r="AI1322" i="9"/>
  <c r="AI1323" i="9"/>
  <c r="AI1324" i="9"/>
  <c r="AI1325" i="9"/>
  <c r="AI1326" i="9"/>
  <c r="AI1327" i="9"/>
  <c r="AI1328" i="9"/>
  <c r="AI1329" i="9"/>
  <c r="AI1330" i="9"/>
  <c r="AI1331" i="9"/>
  <c r="AI1332" i="9"/>
  <c r="AI1333" i="9"/>
  <c r="AI1334" i="9"/>
  <c r="AI1335" i="9"/>
  <c r="AI1336" i="9"/>
  <c r="AI1337" i="9"/>
  <c r="AI1338" i="9"/>
  <c r="AI1339" i="9"/>
  <c r="AI1340" i="9"/>
  <c r="AI1341" i="9"/>
  <c r="AI1342" i="9"/>
  <c r="AI1343" i="9"/>
  <c r="AI1344" i="9"/>
  <c r="AI1345" i="9"/>
  <c r="AI1346" i="9"/>
  <c r="AI1347" i="9"/>
  <c r="AI1348" i="9"/>
  <c r="AI1349" i="9"/>
  <c r="AI1350" i="9"/>
  <c r="AI1351" i="9"/>
  <c r="AI1352" i="9"/>
  <c r="AI1353" i="9"/>
  <c r="AI1354" i="9"/>
  <c r="AI1355" i="9"/>
  <c r="AI1356" i="9"/>
  <c r="AI1357" i="9"/>
  <c r="AI1358" i="9"/>
  <c r="AI1359" i="9"/>
  <c r="AI1360" i="9"/>
  <c r="AI1361" i="9"/>
  <c r="AI1362" i="9"/>
  <c r="AI1363" i="9"/>
  <c r="AI1364" i="9"/>
  <c r="AI1365" i="9"/>
  <c r="AI1366" i="9"/>
  <c r="AI1367" i="9"/>
  <c r="AI1368" i="9"/>
  <c r="AI1369" i="9"/>
  <c r="AI1370" i="9"/>
  <c r="AI1371" i="9"/>
  <c r="AI1372" i="9"/>
  <c r="AI1373" i="9"/>
  <c r="AI1374" i="9"/>
  <c r="AI1375" i="9"/>
  <c r="AI1376" i="9"/>
  <c r="AI1377" i="9"/>
  <c r="AI1378" i="9"/>
  <c r="AI1379" i="9"/>
  <c r="AI1380" i="9"/>
  <c r="AI1381" i="9"/>
  <c r="AI1382" i="9"/>
  <c r="AI1383" i="9"/>
  <c r="AI1384" i="9"/>
  <c r="AI1385" i="9"/>
  <c r="AI1386" i="9"/>
  <c r="AI1387" i="9"/>
  <c r="AI1388" i="9"/>
  <c r="AI1389" i="9"/>
  <c r="AI1390" i="9"/>
  <c r="AI1391" i="9"/>
  <c r="AI1392" i="9"/>
  <c r="AI1393" i="9"/>
  <c r="AI1394" i="9"/>
  <c r="AI1395" i="9"/>
  <c r="AI1396" i="9"/>
  <c r="AI1397" i="9"/>
  <c r="AI1398" i="9"/>
  <c r="AI1399" i="9"/>
  <c r="AI1400" i="9"/>
  <c r="AI1401" i="9"/>
  <c r="AI1402" i="9"/>
  <c r="AI1403" i="9"/>
  <c r="AI1404" i="9"/>
  <c r="AI1405" i="9"/>
  <c r="AI1406" i="9"/>
  <c r="AI1407" i="9"/>
  <c r="AI1408" i="9"/>
  <c r="AI1409" i="9"/>
  <c r="AI1410" i="9"/>
  <c r="AI1411" i="9"/>
  <c r="AI1412" i="9"/>
  <c r="AI1413" i="9"/>
  <c r="AI1414" i="9"/>
  <c r="AI1415" i="9"/>
  <c r="AI1416" i="9"/>
  <c r="AI1417" i="9"/>
  <c r="AI1418" i="9"/>
  <c r="AI1419" i="9"/>
  <c r="AI1420" i="9"/>
  <c r="AI1421" i="9"/>
  <c r="AI1422" i="9"/>
  <c r="AI1423" i="9"/>
  <c r="AI1424" i="9"/>
  <c r="AI1425" i="9"/>
  <c r="AI1426" i="9"/>
  <c r="AI1427" i="9"/>
  <c r="AI1428" i="9"/>
  <c r="AI1429" i="9"/>
  <c r="AI1430" i="9"/>
  <c r="AI1431" i="9"/>
  <c r="AI1432" i="9"/>
  <c r="AI1433" i="9"/>
  <c r="AI1434" i="9"/>
  <c r="AI1435" i="9"/>
  <c r="AI1436" i="9"/>
  <c r="AI1437" i="9"/>
  <c r="AI1438" i="9"/>
  <c r="AI1439" i="9"/>
  <c r="AI1440" i="9"/>
  <c r="AI1441" i="9"/>
  <c r="AI1442" i="9"/>
  <c r="AI1443" i="9"/>
  <c r="AI1444" i="9"/>
  <c r="AI1445" i="9"/>
  <c r="AI1446" i="9"/>
  <c r="AI1447" i="9"/>
  <c r="AI1448" i="9"/>
  <c r="AI1449" i="9"/>
  <c r="AI1450" i="9"/>
  <c r="AI1451" i="9"/>
  <c r="AI1452" i="9"/>
  <c r="AI1453" i="9"/>
  <c r="AI1454" i="9"/>
  <c r="AI1455" i="9"/>
  <c r="AI1456" i="9"/>
  <c r="AI1457" i="9"/>
  <c r="AI1458" i="9"/>
  <c r="AI1459" i="9"/>
  <c r="AI1460" i="9"/>
  <c r="AI1461" i="9"/>
  <c r="AI1462" i="9"/>
  <c r="AI1463" i="9"/>
  <c r="AI1464" i="9"/>
  <c r="AI1465" i="9"/>
  <c r="AI1466" i="9"/>
  <c r="AI1467" i="9"/>
  <c r="AI1468" i="9"/>
  <c r="AI1469" i="9"/>
  <c r="AI1470" i="9"/>
  <c r="AI1471" i="9"/>
  <c r="AI1472" i="9"/>
  <c r="AI1473" i="9"/>
  <c r="AI1474" i="9"/>
  <c r="AI1475" i="9"/>
  <c r="AI1476" i="9"/>
  <c r="AI1477" i="9"/>
  <c r="AI1478" i="9"/>
  <c r="AI1479" i="9"/>
  <c r="AI1480" i="9"/>
  <c r="AI1481" i="9"/>
  <c r="AI1482" i="9"/>
  <c r="AI1483" i="9"/>
  <c r="AI1484" i="9"/>
  <c r="AI1485" i="9"/>
  <c r="AI1486" i="9"/>
  <c r="AI1487" i="9"/>
  <c r="AI1488" i="9"/>
  <c r="AI1489" i="9"/>
  <c r="AI1490" i="9"/>
  <c r="AI1491" i="9"/>
  <c r="AI1492" i="9"/>
  <c r="AI1493" i="9"/>
  <c r="AI1494" i="9"/>
  <c r="AI1495" i="9"/>
  <c r="AI1496" i="9"/>
  <c r="AI1497" i="9"/>
  <c r="AI1498" i="9"/>
  <c r="AI1499" i="9"/>
  <c r="AI1500" i="9"/>
  <c r="AI1501" i="9"/>
  <c r="AI1502" i="9"/>
  <c r="AI1503" i="9"/>
  <c r="AI1504" i="9"/>
  <c r="AI1505" i="9"/>
  <c r="AI1506" i="9"/>
  <c r="AI1507" i="9"/>
  <c r="AI1508" i="9"/>
  <c r="AI1509" i="9"/>
  <c r="AI1510" i="9"/>
  <c r="AI1511" i="9"/>
  <c r="AI1512" i="9"/>
  <c r="AI1513" i="9"/>
  <c r="AI1514" i="9"/>
  <c r="AI1515" i="9"/>
  <c r="AI1516" i="9"/>
  <c r="AI1517" i="9"/>
  <c r="AI1518" i="9"/>
  <c r="AI1519" i="9"/>
  <c r="AI1520" i="9"/>
  <c r="AI1521" i="9"/>
  <c r="AI1522" i="9"/>
  <c r="AI1523" i="9"/>
  <c r="AI1524" i="9"/>
  <c r="AI1525" i="9"/>
  <c r="AI1526" i="9"/>
  <c r="AI1527" i="9"/>
  <c r="AI1528" i="9"/>
  <c r="AI1529" i="9"/>
  <c r="AI1530" i="9"/>
  <c r="AI1531" i="9"/>
  <c r="AI1532" i="9"/>
  <c r="AI1533" i="9"/>
  <c r="AI1534" i="9"/>
  <c r="AI1535" i="9"/>
  <c r="AI1536" i="9"/>
  <c r="AI1537" i="9"/>
  <c r="AI1538" i="9"/>
  <c r="AI1539" i="9"/>
  <c r="AI1540" i="9"/>
  <c r="AI1541" i="9"/>
  <c r="AI1542" i="9"/>
  <c r="AI1543" i="9"/>
  <c r="AI1544" i="9"/>
  <c r="AI1545" i="9"/>
  <c r="AI1546" i="9"/>
  <c r="AI1547" i="9"/>
  <c r="AI1548" i="9"/>
  <c r="AI1549" i="9"/>
  <c r="AI1550" i="9"/>
  <c r="AI1551" i="9"/>
  <c r="AI1552" i="9"/>
  <c r="AI1553" i="9"/>
  <c r="AI1554" i="9"/>
  <c r="AI1555" i="9"/>
  <c r="AI1556" i="9"/>
  <c r="AI1557" i="9"/>
  <c r="AI1558" i="9"/>
  <c r="AI1559" i="9"/>
  <c r="AI1560" i="9"/>
  <c r="AI1561" i="9"/>
  <c r="AI1562" i="9"/>
  <c r="AI1563" i="9"/>
  <c r="AI1564" i="9"/>
  <c r="AI1565" i="9"/>
  <c r="AI1566" i="9"/>
  <c r="AI1567" i="9"/>
  <c r="AI1568" i="9"/>
  <c r="AI1569" i="9"/>
  <c r="AI1570" i="9"/>
  <c r="AI1571" i="9"/>
  <c r="AI1572" i="9"/>
  <c r="AI1573" i="9"/>
  <c r="AI1574" i="9"/>
  <c r="AI1575" i="9"/>
  <c r="AI1576" i="9"/>
  <c r="AI1577" i="9"/>
  <c r="AI1578" i="9"/>
  <c r="AI1579" i="9"/>
  <c r="AI1580" i="9"/>
  <c r="AI1581" i="9"/>
  <c r="AI1582" i="9"/>
  <c r="AI1583" i="9"/>
  <c r="AI1584" i="9"/>
  <c r="AI1585" i="9"/>
  <c r="AI1586" i="9"/>
  <c r="AI1587" i="9"/>
  <c r="AI1588" i="9"/>
  <c r="AI1589" i="9"/>
  <c r="AI1590" i="9"/>
  <c r="AI1591" i="9"/>
  <c r="AI1592" i="9"/>
  <c r="AI1593" i="9"/>
  <c r="AI1594" i="9"/>
  <c r="AI1595" i="9"/>
  <c r="AI1596" i="9"/>
  <c r="AI1597" i="9"/>
  <c r="AI1598" i="9"/>
  <c r="AI1599" i="9"/>
  <c r="AI1600" i="9"/>
  <c r="AI1601" i="9"/>
  <c r="AI1602" i="9"/>
  <c r="AI1603" i="9"/>
  <c r="AI1604" i="9"/>
  <c r="AI1605" i="9"/>
  <c r="AI1606" i="9"/>
  <c r="AI1607" i="9"/>
  <c r="AI1608" i="9"/>
  <c r="AI1609" i="9"/>
  <c r="AI1610" i="9"/>
  <c r="AI1611" i="9"/>
  <c r="AI1612" i="9"/>
  <c r="AI1613" i="9"/>
  <c r="AI1614" i="9"/>
  <c r="AI1615" i="9"/>
  <c r="AI1616" i="9"/>
  <c r="AI1617" i="9"/>
  <c r="AI1618" i="9"/>
  <c r="AI1619" i="9"/>
  <c r="AI1620" i="9"/>
  <c r="AI1621" i="9"/>
  <c r="AI1622" i="9"/>
  <c r="AI1623" i="9"/>
  <c r="AI1624" i="9"/>
  <c r="AI1625" i="9"/>
  <c r="AI1626" i="9"/>
  <c r="AI1627" i="9"/>
  <c r="AI1628" i="9"/>
  <c r="AI1629" i="9"/>
  <c r="AI1630" i="9"/>
  <c r="AI1631" i="9"/>
  <c r="AI1632" i="9"/>
  <c r="AI1633" i="9"/>
  <c r="AI1634" i="9"/>
  <c r="AI1635" i="9"/>
  <c r="AI1636" i="9"/>
  <c r="AI1637" i="9"/>
  <c r="AI1638" i="9"/>
  <c r="AI1639" i="9"/>
  <c r="AI1640" i="9"/>
  <c r="AI1641" i="9"/>
  <c r="AI1642" i="9"/>
  <c r="AI1643" i="9"/>
  <c r="AI1644" i="9"/>
  <c r="AI1645" i="9"/>
  <c r="AI1646" i="9"/>
  <c r="AI1647" i="9"/>
  <c r="AI1648" i="9"/>
  <c r="AI1649" i="9"/>
  <c r="AI1650" i="9"/>
  <c r="AI1651" i="9"/>
  <c r="AI1652" i="9"/>
  <c r="AI1653" i="9"/>
  <c r="AI1654" i="9"/>
  <c r="AI1655" i="9"/>
  <c r="AI1656" i="9"/>
  <c r="AI1657" i="9"/>
  <c r="AI1658" i="9"/>
  <c r="AI1659" i="9"/>
  <c r="AI1660" i="9"/>
  <c r="AI1661" i="9"/>
  <c r="AI1662" i="9"/>
  <c r="AI1663" i="9"/>
  <c r="AI1664" i="9"/>
  <c r="AI1665" i="9"/>
  <c r="AI1666" i="9"/>
  <c r="AI1667" i="9"/>
  <c r="AI1668" i="9"/>
  <c r="AI1669" i="9"/>
  <c r="AI1670" i="9"/>
  <c r="AI1671" i="9"/>
  <c r="AI1672" i="9"/>
  <c r="AI1673" i="9"/>
  <c r="AI1674" i="9"/>
  <c r="AI1675" i="9"/>
  <c r="AI1676" i="9"/>
  <c r="AI1677" i="9"/>
  <c r="AI1678" i="9"/>
  <c r="AI1679" i="9"/>
  <c r="AI1680" i="9"/>
  <c r="AI1681" i="9"/>
  <c r="AI1682" i="9"/>
  <c r="AI1683" i="9"/>
  <c r="AI1684" i="9"/>
  <c r="AI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AH59" i="9"/>
  <c r="AH60" i="9"/>
  <c r="AH61" i="9"/>
  <c r="AH62" i="9"/>
  <c r="AH63" i="9"/>
  <c r="AH64" i="9"/>
  <c r="AH65" i="9"/>
  <c r="AH66" i="9"/>
  <c r="AH67" i="9"/>
  <c r="AH68" i="9"/>
  <c r="AH69" i="9"/>
  <c r="AH70" i="9"/>
  <c r="AH71" i="9"/>
  <c r="AH72" i="9"/>
  <c r="AH73" i="9"/>
  <c r="AH74" i="9"/>
  <c r="AH75" i="9"/>
  <c r="AH76" i="9"/>
  <c r="AH77" i="9"/>
  <c r="AH78" i="9"/>
  <c r="AH79" i="9"/>
  <c r="AH80" i="9"/>
  <c r="AH81" i="9"/>
  <c r="AH82" i="9"/>
  <c r="AH83" i="9"/>
  <c r="AH84" i="9"/>
  <c r="AH85" i="9"/>
  <c r="AH86" i="9"/>
  <c r="AH87" i="9"/>
  <c r="AH88" i="9"/>
  <c r="AH89" i="9"/>
  <c r="AH90" i="9"/>
  <c r="AH91" i="9"/>
  <c r="AH92" i="9"/>
  <c r="AH93" i="9"/>
  <c r="AH94" i="9"/>
  <c r="AH95" i="9"/>
  <c r="AH96" i="9"/>
  <c r="AH97" i="9"/>
  <c r="AH98" i="9"/>
  <c r="AH99" i="9"/>
  <c r="AH100" i="9"/>
  <c r="AH101" i="9"/>
  <c r="AH102" i="9"/>
  <c r="AH103" i="9"/>
  <c r="AH104" i="9"/>
  <c r="AH105" i="9"/>
  <c r="AH106" i="9"/>
  <c r="AH107" i="9"/>
  <c r="AH108" i="9"/>
  <c r="AH109" i="9"/>
  <c r="AH110" i="9"/>
  <c r="AH111" i="9"/>
  <c r="AH112" i="9"/>
  <c r="AH113" i="9"/>
  <c r="AH114" i="9"/>
  <c r="AH115" i="9"/>
  <c r="AH116" i="9"/>
  <c r="AH117" i="9"/>
  <c r="AH118" i="9"/>
  <c r="AH119" i="9"/>
  <c r="AH120" i="9"/>
  <c r="AH121" i="9"/>
  <c r="AH122" i="9"/>
  <c r="AH123" i="9"/>
  <c r="AH124" i="9"/>
  <c r="AH125" i="9"/>
  <c r="AH126" i="9"/>
  <c r="AH127" i="9"/>
  <c r="AH128" i="9"/>
  <c r="AH129" i="9"/>
  <c r="AH130" i="9"/>
  <c r="AH131" i="9"/>
  <c r="AH132" i="9"/>
  <c r="AH133" i="9"/>
  <c r="AH134" i="9"/>
  <c r="AH135" i="9"/>
  <c r="AH136" i="9"/>
  <c r="AH137" i="9"/>
  <c r="AH138" i="9"/>
  <c r="AH139" i="9"/>
  <c r="AH140" i="9"/>
  <c r="AH141" i="9"/>
  <c r="AH142" i="9"/>
  <c r="AH143" i="9"/>
  <c r="AH144" i="9"/>
  <c r="AH145" i="9"/>
  <c r="AH146" i="9"/>
  <c r="AH147" i="9"/>
  <c r="AH148" i="9"/>
  <c r="AH149" i="9"/>
  <c r="AH150" i="9"/>
  <c r="AH151" i="9"/>
  <c r="AH152" i="9"/>
  <c r="AH153" i="9"/>
  <c r="AH154" i="9"/>
  <c r="AH155" i="9"/>
  <c r="AH156" i="9"/>
  <c r="AH157" i="9"/>
  <c r="AH158" i="9"/>
  <c r="AH159" i="9"/>
  <c r="AH160" i="9"/>
  <c r="AH161" i="9"/>
  <c r="AH162" i="9"/>
  <c r="AH163" i="9"/>
  <c r="AH164" i="9"/>
  <c r="AH165" i="9"/>
  <c r="AH166" i="9"/>
  <c r="AH167" i="9"/>
  <c r="AH168" i="9"/>
  <c r="AH169" i="9"/>
  <c r="AH170" i="9"/>
  <c r="AH171" i="9"/>
  <c r="AH172" i="9"/>
  <c r="AH173" i="9"/>
  <c r="AH174" i="9"/>
  <c r="AH175" i="9"/>
  <c r="AH176" i="9"/>
  <c r="AH177" i="9"/>
  <c r="AH178" i="9"/>
  <c r="AH179" i="9"/>
  <c r="AH180" i="9"/>
  <c r="AH181" i="9"/>
  <c r="AH182" i="9"/>
  <c r="AH183" i="9"/>
  <c r="AH184" i="9"/>
  <c r="AH185" i="9"/>
  <c r="AH186" i="9"/>
  <c r="AH187" i="9"/>
  <c r="AH188" i="9"/>
  <c r="AH189" i="9"/>
  <c r="AH190" i="9"/>
  <c r="AH191" i="9"/>
  <c r="AH192" i="9"/>
  <c r="AH193" i="9"/>
  <c r="AH194" i="9"/>
  <c r="AH195" i="9"/>
  <c r="AH196" i="9"/>
  <c r="AH197" i="9"/>
  <c r="AH198" i="9"/>
  <c r="AH199" i="9"/>
  <c r="AH200" i="9"/>
  <c r="AH201" i="9"/>
  <c r="AH202" i="9"/>
  <c r="AH203" i="9"/>
  <c r="AH204" i="9"/>
  <c r="AH205" i="9"/>
  <c r="AH206" i="9"/>
  <c r="AH207" i="9"/>
  <c r="AH208" i="9"/>
  <c r="AH209" i="9"/>
  <c r="AH210" i="9"/>
  <c r="AH211" i="9"/>
  <c r="AH212" i="9"/>
  <c r="AH213" i="9"/>
  <c r="AH214" i="9"/>
  <c r="AH215" i="9"/>
  <c r="AH216" i="9"/>
  <c r="AH217" i="9"/>
  <c r="AH218" i="9"/>
  <c r="AH219" i="9"/>
  <c r="AH220" i="9"/>
  <c r="AH221" i="9"/>
  <c r="AH222" i="9"/>
  <c r="AH223" i="9"/>
  <c r="AH224" i="9"/>
  <c r="AH225" i="9"/>
  <c r="AH226" i="9"/>
  <c r="AH227" i="9"/>
  <c r="AH228" i="9"/>
  <c r="AH229" i="9"/>
  <c r="AH230" i="9"/>
  <c r="AH231" i="9"/>
  <c r="AH232" i="9"/>
  <c r="AH233" i="9"/>
  <c r="AH234" i="9"/>
  <c r="AH235" i="9"/>
  <c r="AH236" i="9"/>
  <c r="AH237" i="9"/>
  <c r="AH238" i="9"/>
  <c r="AH239" i="9"/>
  <c r="AH240" i="9"/>
  <c r="AH241" i="9"/>
  <c r="AH242" i="9"/>
  <c r="AH243" i="9"/>
  <c r="AH244" i="9"/>
  <c r="AH245" i="9"/>
  <c r="AH246" i="9"/>
  <c r="AH247" i="9"/>
  <c r="AH248" i="9"/>
  <c r="AH249" i="9"/>
  <c r="AH250" i="9"/>
  <c r="AH251" i="9"/>
  <c r="AH252" i="9"/>
  <c r="AH253" i="9"/>
  <c r="AH254" i="9"/>
  <c r="AH255" i="9"/>
  <c r="AH256" i="9"/>
  <c r="AH257" i="9"/>
  <c r="AH258" i="9"/>
  <c r="AH259" i="9"/>
  <c r="AH260" i="9"/>
  <c r="AH261" i="9"/>
  <c r="AH262" i="9"/>
  <c r="AH263" i="9"/>
  <c r="AH264" i="9"/>
  <c r="AH265" i="9"/>
  <c r="AH266" i="9"/>
  <c r="AH267" i="9"/>
  <c r="AH268" i="9"/>
  <c r="AH269" i="9"/>
  <c r="AH270" i="9"/>
  <c r="AH271" i="9"/>
  <c r="AH272" i="9"/>
  <c r="AH273" i="9"/>
  <c r="AH274" i="9"/>
  <c r="AH275" i="9"/>
  <c r="AH276" i="9"/>
  <c r="AH277" i="9"/>
  <c r="AH278" i="9"/>
  <c r="AH279" i="9"/>
  <c r="AH280" i="9"/>
  <c r="AH281" i="9"/>
  <c r="AH282" i="9"/>
  <c r="AH283" i="9"/>
  <c r="AH284" i="9"/>
  <c r="AH285" i="9"/>
  <c r="AH286" i="9"/>
  <c r="AH287" i="9"/>
  <c r="AH288" i="9"/>
  <c r="AH289" i="9"/>
  <c r="AH290" i="9"/>
  <c r="AH291" i="9"/>
  <c r="AH292" i="9"/>
  <c r="AH293" i="9"/>
  <c r="AH294" i="9"/>
  <c r="AH295" i="9"/>
  <c r="AH296" i="9"/>
  <c r="AH297" i="9"/>
  <c r="AH298" i="9"/>
  <c r="AH299" i="9"/>
  <c r="AH300" i="9"/>
  <c r="AH301" i="9"/>
  <c r="AH302" i="9"/>
  <c r="AH303" i="9"/>
  <c r="AH304" i="9"/>
  <c r="AH305" i="9"/>
  <c r="AH306" i="9"/>
  <c r="AH307" i="9"/>
  <c r="AH308" i="9"/>
  <c r="AH309" i="9"/>
  <c r="AH310" i="9"/>
  <c r="AH311" i="9"/>
  <c r="AH312" i="9"/>
  <c r="AH313" i="9"/>
  <c r="AH314" i="9"/>
  <c r="AH315" i="9"/>
  <c r="AH316" i="9"/>
  <c r="AH317" i="9"/>
  <c r="AH318" i="9"/>
  <c r="AH319" i="9"/>
  <c r="AH320" i="9"/>
  <c r="AH321" i="9"/>
  <c r="AH322" i="9"/>
  <c r="AH323" i="9"/>
  <c r="AH324" i="9"/>
  <c r="AH325" i="9"/>
  <c r="AH326" i="9"/>
  <c r="AH327" i="9"/>
  <c r="AH328" i="9"/>
  <c r="AH329" i="9"/>
  <c r="AH330" i="9"/>
  <c r="AH331" i="9"/>
  <c r="AH332" i="9"/>
  <c r="AH333" i="9"/>
  <c r="AH334" i="9"/>
  <c r="AH335" i="9"/>
  <c r="AH336" i="9"/>
  <c r="AH337" i="9"/>
  <c r="AH338" i="9"/>
  <c r="AH339" i="9"/>
  <c r="AH340" i="9"/>
  <c r="AH341" i="9"/>
  <c r="AH342" i="9"/>
  <c r="AH343" i="9"/>
  <c r="AH344" i="9"/>
  <c r="AH345" i="9"/>
  <c r="AH346" i="9"/>
  <c r="AH347" i="9"/>
  <c r="AH348" i="9"/>
  <c r="AH349" i="9"/>
  <c r="AH350" i="9"/>
  <c r="AH351" i="9"/>
  <c r="AH352" i="9"/>
  <c r="AH353" i="9"/>
  <c r="AH354" i="9"/>
  <c r="AH355" i="9"/>
  <c r="AH356" i="9"/>
  <c r="AH357" i="9"/>
  <c r="AH358" i="9"/>
  <c r="AH359" i="9"/>
  <c r="AH360" i="9"/>
  <c r="AH361" i="9"/>
  <c r="AH362" i="9"/>
  <c r="AH363" i="9"/>
  <c r="AH364" i="9"/>
  <c r="AH365" i="9"/>
  <c r="AH366" i="9"/>
  <c r="AH367" i="9"/>
  <c r="AH368" i="9"/>
  <c r="AH369" i="9"/>
  <c r="AH370" i="9"/>
  <c r="AH371" i="9"/>
  <c r="AH372" i="9"/>
  <c r="AH373" i="9"/>
  <c r="AH374" i="9"/>
  <c r="AH375" i="9"/>
  <c r="AH376" i="9"/>
  <c r="AH377" i="9"/>
  <c r="AH378" i="9"/>
  <c r="AH379" i="9"/>
  <c r="AH380" i="9"/>
  <c r="AH381" i="9"/>
  <c r="AH382" i="9"/>
  <c r="AH383" i="9"/>
  <c r="AH384" i="9"/>
  <c r="AH385" i="9"/>
  <c r="AH386" i="9"/>
  <c r="AH387" i="9"/>
  <c r="AH388" i="9"/>
  <c r="AH389" i="9"/>
  <c r="AH390" i="9"/>
  <c r="AH391" i="9"/>
  <c r="AH392" i="9"/>
  <c r="AH393" i="9"/>
  <c r="AH394" i="9"/>
  <c r="AH395" i="9"/>
  <c r="AH396" i="9"/>
  <c r="AH397" i="9"/>
  <c r="AH398" i="9"/>
  <c r="AH399" i="9"/>
  <c r="AH400" i="9"/>
  <c r="AH401" i="9"/>
  <c r="AH402" i="9"/>
  <c r="AH403" i="9"/>
  <c r="AH404" i="9"/>
  <c r="AH405" i="9"/>
  <c r="AH406" i="9"/>
  <c r="AH407" i="9"/>
  <c r="AH408" i="9"/>
  <c r="AH409" i="9"/>
  <c r="AH410" i="9"/>
  <c r="AH411" i="9"/>
  <c r="AH412" i="9"/>
  <c r="AH413" i="9"/>
  <c r="AH414" i="9"/>
  <c r="AH415" i="9"/>
  <c r="AH416" i="9"/>
  <c r="AH417" i="9"/>
  <c r="AH418" i="9"/>
  <c r="AH419" i="9"/>
  <c r="AH420" i="9"/>
  <c r="AH421" i="9"/>
  <c r="AH422" i="9"/>
  <c r="AH423" i="9"/>
  <c r="AH424" i="9"/>
  <c r="AH425" i="9"/>
  <c r="AH426" i="9"/>
  <c r="AH427" i="9"/>
  <c r="AH428" i="9"/>
  <c r="AH429" i="9"/>
  <c r="AH430" i="9"/>
  <c r="AH431" i="9"/>
  <c r="AH432" i="9"/>
  <c r="AH433" i="9"/>
  <c r="AH434" i="9"/>
  <c r="AH435" i="9"/>
  <c r="AH436" i="9"/>
  <c r="AH437" i="9"/>
  <c r="AH438" i="9"/>
  <c r="AH439" i="9"/>
  <c r="AH440" i="9"/>
  <c r="AH441" i="9"/>
  <c r="AH442" i="9"/>
  <c r="AH443" i="9"/>
  <c r="AH444" i="9"/>
  <c r="AH445" i="9"/>
  <c r="AH446" i="9"/>
  <c r="AH447" i="9"/>
  <c r="AH448" i="9"/>
  <c r="AH449" i="9"/>
  <c r="AH450" i="9"/>
  <c r="AH451" i="9"/>
  <c r="AH452" i="9"/>
  <c r="AH453" i="9"/>
  <c r="AH454" i="9"/>
  <c r="AH455" i="9"/>
  <c r="AH456" i="9"/>
  <c r="AH457" i="9"/>
  <c r="AH458" i="9"/>
  <c r="AH459" i="9"/>
  <c r="AH460" i="9"/>
  <c r="AH461" i="9"/>
  <c r="AH462" i="9"/>
  <c r="AH463" i="9"/>
  <c r="AH464" i="9"/>
  <c r="AH465" i="9"/>
  <c r="AH466" i="9"/>
  <c r="AH467" i="9"/>
  <c r="AH468" i="9"/>
  <c r="AH469" i="9"/>
  <c r="AH470" i="9"/>
  <c r="AH471" i="9"/>
  <c r="AH472" i="9"/>
  <c r="AH473" i="9"/>
  <c r="AH474" i="9"/>
  <c r="AH475" i="9"/>
  <c r="AH476" i="9"/>
  <c r="AH477" i="9"/>
  <c r="AH478" i="9"/>
  <c r="AH479" i="9"/>
  <c r="AH480" i="9"/>
  <c r="AH481" i="9"/>
  <c r="AH482" i="9"/>
  <c r="AH483" i="9"/>
  <c r="AH484" i="9"/>
  <c r="AH485" i="9"/>
  <c r="AH486" i="9"/>
  <c r="AH487" i="9"/>
  <c r="AH488" i="9"/>
  <c r="AH489" i="9"/>
  <c r="AH490" i="9"/>
  <c r="AH491" i="9"/>
  <c r="AH492" i="9"/>
  <c r="AH493" i="9"/>
  <c r="AH494" i="9"/>
  <c r="AH495" i="9"/>
  <c r="AH496" i="9"/>
  <c r="AH497" i="9"/>
  <c r="AH498" i="9"/>
  <c r="AH499" i="9"/>
  <c r="AH500" i="9"/>
  <c r="AH501" i="9"/>
  <c r="AH502" i="9"/>
  <c r="AH503" i="9"/>
  <c r="AH504" i="9"/>
  <c r="AH505" i="9"/>
  <c r="AH506" i="9"/>
  <c r="AH507" i="9"/>
  <c r="AH508" i="9"/>
  <c r="AH509" i="9"/>
  <c r="AH510" i="9"/>
  <c r="AH511" i="9"/>
  <c r="AH512" i="9"/>
  <c r="AH513" i="9"/>
  <c r="AH514" i="9"/>
  <c r="AH515" i="9"/>
  <c r="AH516" i="9"/>
  <c r="AH517" i="9"/>
  <c r="AH518" i="9"/>
  <c r="AH519" i="9"/>
  <c r="AH520" i="9"/>
  <c r="AH521" i="9"/>
  <c r="AH522" i="9"/>
  <c r="AH523" i="9"/>
  <c r="AH524" i="9"/>
  <c r="AH525" i="9"/>
  <c r="AH526" i="9"/>
  <c r="AH527" i="9"/>
  <c r="AH528" i="9"/>
  <c r="AH529" i="9"/>
  <c r="AH530" i="9"/>
  <c r="AH531" i="9"/>
  <c r="AH532" i="9"/>
  <c r="AH533" i="9"/>
  <c r="AH534" i="9"/>
  <c r="AH535" i="9"/>
  <c r="AH536" i="9"/>
  <c r="AH537" i="9"/>
  <c r="AH538" i="9"/>
  <c r="AH539" i="9"/>
  <c r="AH540" i="9"/>
  <c r="AH541" i="9"/>
  <c r="AH542" i="9"/>
  <c r="AH543" i="9"/>
  <c r="AH544" i="9"/>
  <c r="AH545" i="9"/>
  <c r="AH546" i="9"/>
  <c r="AH547" i="9"/>
  <c r="AH548" i="9"/>
  <c r="AH549" i="9"/>
  <c r="AH550" i="9"/>
  <c r="AH551" i="9"/>
  <c r="AH552" i="9"/>
  <c r="AH553" i="9"/>
  <c r="AH554" i="9"/>
  <c r="AH555" i="9"/>
  <c r="AH556" i="9"/>
  <c r="AH557" i="9"/>
  <c r="AH558" i="9"/>
  <c r="AH559" i="9"/>
  <c r="AH560" i="9"/>
  <c r="AH561" i="9"/>
  <c r="AH562" i="9"/>
  <c r="AH563" i="9"/>
  <c r="AH564" i="9"/>
  <c r="AH565" i="9"/>
  <c r="AH566" i="9"/>
  <c r="AH567" i="9"/>
  <c r="AH568" i="9"/>
  <c r="AH569" i="9"/>
  <c r="AH570" i="9"/>
  <c r="AH571" i="9"/>
  <c r="AH572" i="9"/>
  <c r="AH573" i="9"/>
  <c r="AH574" i="9"/>
  <c r="AH575" i="9"/>
  <c r="AH576" i="9"/>
  <c r="AH577" i="9"/>
  <c r="AH578" i="9"/>
  <c r="AH579" i="9"/>
  <c r="AH580" i="9"/>
  <c r="AH581" i="9"/>
  <c r="AH582" i="9"/>
  <c r="AH583" i="9"/>
  <c r="AH584" i="9"/>
  <c r="AH585" i="9"/>
  <c r="AH586" i="9"/>
  <c r="AH587" i="9"/>
  <c r="AH588" i="9"/>
  <c r="AH589" i="9"/>
  <c r="AH590" i="9"/>
  <c r="AH591" i="9"/>
  <c r="AH592" i="9"/>
  <c r="AH593" i="9"/>
  <c r="AH594" i="9"/>
  <c r="AH595" i="9"/>
  <c r="AH596" i="9"/>
  <c r="AH597" i="9"/>
  <c r="AH598" i="9"/>
  <c r="AH599" i="9"/>
  <c r="AH600" i="9"/>
  <c r="AH601" i="9"/>
  <c r="AH602" i="9"/>
  <c r="AH603" i="9"/>
  <c r="AH604" i="9"/>
  <c r="AH605" i="9"/>
  <c r="AH606" i="9"/>
  <c r="AH607" i="9"/>
  <c r="AH608" i="9"/>
  <c r="AH609" i="9"/>
  <c r="AH610" i="9"/>
  <c r="AH611" i="9"/>
  <c r="AH612" i="9"/>
  <c r="AH613" i="9"/>
  <c r="AH614" i="9"/>
  <c r="AH615" i="9"/>
  <c r="AH616" i="9"/>
  <c r="AH617" i="9"/>
  <c r="AH618" i="9"/>
  <c r="AH619" i="9"/>
  <c r="AH620" i="9"/>
  <c r="AH621" i="9"/>
  <c r="AH622" i="9"/>
  <c r="AH623" i="9"/>
  <c r="AH624" i="9"/>
  <c r="AH625" i="9"/>
  <c r="AH626" i="9"/>
  <c r="AH627" i="9"/>
  <c r="AH628" i="9"/>
  <c r="AH629" i="9"/>
  <c r="AH630" i="9"/>
  <c r="AH631" i="9"/>
  <c r="AH632" i="9"/>
  <c r="AH633" i="9"/>
  <c r="AH634" i="9"/>
  <c r="AH635" i="9"/>
  <c r="AH636" i="9"/>
  <c r="AH637" i="9"/>
  <c r="AH638" i="9"/>
  <c r="AH639" i="9"/>
  <c r="AH640" i="9"/>
  <c r="AH641" i="9"/>
  <c r="AH642" i="9"/>
  <c r="AH643" i="9"/>
  <c r="AH644" i="9"/>
  <c r="AH645" i="9"/>
  <c r="AH646" i="9"/>
  <c r="AH647" i="9"/>
  <c r="AH648" i="9"/>
  <c r="AH649" i="9"/>
  <c r="AH650" i="9"/>
  <c r="AH651" i="9"/>
  <c r="AH652" i="9"/>
  <c r="AH653" i="9"/>
  <c r="AH654" i="9"/>
  <c r="AH655" i="9"/>
  <c r="AH656" i="9"/>
  <c r="AH657" i="9"/>
  <c r="AH658" i="9"/>
  <c r="AH659" i="9"/>
  <c r="AH660" i="9"/>
  <c r="AH661" i="9"/>
  <c r="AH662" i="9"/>
  <c r="AH663" i="9"/>
  <c r="AH664" i="9"/>
  <c r="AH665" i="9"/>
  <c r="AH666" i="9"/>
  <c r="AH667" i="9"/>
  <c r="AH668" i="9"/>
  <c r="AH669" i="9"/>
  <c r="AH670" i="9"/>
  <c r="AH671" i="9"/>
  <c r="AH672" i="9"/>
  <c r="AH673" i="9"/>
  <c r="AH674" i="9"/>
  <c r="AH675" i="9"/>
  <c r="AH676" i="9"/>
  <c r="AH677" i="9"/>
  <c r="AH678" i="9"/>
  <c r="AH679" i="9"/>
  <c r="AH680" i="9"/>
  <c r="AH681" i="9"/>
  <c r="AH682" i="9"/>
  <c r="AH683" i="9"/>
  <c r="AH684" i="9"/>
  <c r="AH685" i="9"/>
  <c r="AH686" i="9"/>
  <c r="AH687" i="9"/>
  <c r="AH688" i="9"/>
  <c r="AH689" i="9"/>
  <c r="AH690" i="9"/>
  <c r="AH691" i="9"/>
  <c r="AH692" i="9"/>
  <c r="AH693" i="9"/>
  <c r="AH694" i="9"/>
  <c r="AH695" i="9"/>
  <c r="AH696" i="9"/>
  <c r="AH697" i="9"/>
  <c r="AH698" i="9"/>
  <c r="AH699" i="9"/>
  <c r="AH700" i="9"/>
  <c r="AH701" i="9"/>
  <c r="AH702" i="9"/>
  <c r="AH703" i="9"/>
  <c r="AH704" i="9"/>
  <c r="AH705" i="9"/>
  <c r="AH706" i="9"/>
  <c r="AH707" i="9"/>
  <c r="AH708" i="9"/>
  <c r="AH709" i="9"/>
  <c r="AH710" i="9"/>
  <c r="AH711" i="9"/>
  <c r="AH712" i="9"/>
  <c r="AH713" i="9"/>
  <c r="AH714" i="9"/>
  <c r="AH715" i="9"/>
  <c r="AH716" i="9"/>
  <c r="AH717" i="9"/>
  <c r="AH718" i="9"/>
  <c r="AH719" i="9"/>
  <c r="AH720" i="9"/>
  <c r="AH721" i="9"/>
  <c r="AH722" i="9"/>
  <c r="AH723" i="9"/>
  <c r="AH724" i="9"/>
  <c r="AH725" i="9"/>
  <c r="AH726" i="9"/>
  <c r="AH727" i="9"/>
  <c r="AH728" i="9"/>
  <c r="AH729" i="9"/>
  <c r="AH730" i="9"/>
  <c r="AH731" i="9"/>
  <c r="AH732" i="9"/>
  <c r="AH733" i="9"/>
  <c r="AH734" i="9"/>
  <c r="AH735" i="9"/>
  <c r="AH736" i="9"/>
  <c r="AH737" i="9"/>
  <c r="AH738" i="9"/>
  <c r="AH739" i="9"/>
  <c r="AH740" i="9"/>
  <c r="AH741" i="9"/>
  <c r="AH742" i="9"/>
  <c r="AH743" i="9"/>
  <c r="AH744" i="9"/>
  <c r="AH745" i="9"/>
  <c r="AH746" i="9"/>
  <c r="AH747" i="9"/>
  <c r="AH748" i="9"/>
  <c r="AH749" i="9"/>
  <c r="AH750" i="9"/>
  <c r="AH751" i="9"/>
  <c r="AH752" i="9"/>
  <c r="AH753" i="9"/>
  <c r="AH754" i="9"/>
  <c r="AH755" i="9"/>
  <c r="AH756" i="9"/>
  <c r="AH757" i="9"/>
  <c r="AH758" i="9"/>
  <c r="AH759" i="9"/>
  <c r="AH760" i="9"/>
  <c r="AH761" i="9"/>
  <c r="AH762" i="9"/>
  <c r="AH763" i="9"/>
  <c r="AH764" i="9"/>
  <c r="AH765" i="9"/>
  <c r="AH766" i="9"/>
  <c r="AH767" i="9"/>
  <c r="AH768" i="9"/>
  <c r="AH769" i="9"/>
  <c r="AH770" i="9"/>
  <c r="AH771" i="9"/>
  <c r="AH772" i="9"/>
  <c r="AH773" i="9"/>
  <c r="AH774" i="9"/>
  <c r="AH775" i="9"/>
  <c r="AH776" i="9"/>
  <c r="AH777" i="9"/>
  <c r="AH778" i="9"/>
  <c r="AH779" i="9"/>
  <c r="AH780" i="9"/>
  <c r="AH781" i="9"/>
  <c r="AH782" i="9"/>
  <c r="AH783" i="9"/>
  <c r="AH784" i="9"/>
  <c r="AH785" i="9"/>
  <c r="AH786" i="9"/>
  <c r="AH787" i="9"/>
  <c r="AH788" i="9"/>
  <c r="AH789" i="9"/>
  <c r="AH790" i="9"/>
  <c r="AH791" i="9"/>
  <c r="AH792" i="9"/>
  <c r="AH793" i="9"/>
  <c r="AH794" i="9"/>
  <c r="AH795" i="9"/>
  <c r="AH796" i="9"/>
  <c r="AH797" i="9"/>
  <c r="AH798" i="9"/>
  <c r="AH799" i="9"/>
  <c r="AH800" i="9"/>
  <c r="AH801" i="9"/>
  <c r="AH802" i="9"/>
  <c r="AH803" i="9"/>
  <c r="AH804" i="9"/>
  <c r="AH805" i="9"/>
  <c r="AH806" i="9"/>
  <c r="AH807" i="9"/>
  <c r="AH808" i="9"/>
  <c r="AH809" i="9"/>
  <c r="AH810" i="9"/>
  <c r="AH811" i="9"/>
  <c r="AH812" i="9"/>
  <c r="AH813" i="9"/>
  <c r="AH814" i="9"/>
  <c r="AH815" i="9"/>
  <c r="AH816" i="9"/>
  <c r="AH817" i="9"/>
  <c r="AH818" i="9"/>
  <c r="AH819" i="9"/>
  <c r="AH820" i="9"/>
  <c r="AH821" i="9"/>
  <c r="AH822" i="9"/>
  <c r="AH823" i="9"/>
  <c r="AH824" i="9"/>
  <c r="AH825" i="9"/>
  <c r="AH826" i="9"/>
  <c r="AH827" i="9"/>
  <c r="AH828" i="9"/>
  <c r="AH829" i="9"/>
  <c r="AH830" i="9"/>
  <c r="AH831" i="9"/>
  <c r="AH832" i="9"/>
  <c r="AH833" i="9"/>
  <c r="AH834" i="9"/>
  <c r="AH835" i="9"/>
  <c r="AH836" i="9"/>
  <c r="AH837" i="9"/>
  <c r="AH838" i="9"/>
  <c r="AH839" i="9"/>
  <c r="AH840" i="9"/>
  <c r="AH841" i="9"/>
  <c r="AH842" i="9"/>
  <c r="AH843" i="9"/>
  <c r="AH844" i="9"/>
  <c r="AH845" i="9"/>
  <c r="AH846" i="9"/>
  <c r="AH847" i="9"/>
  <c r="AH848" i="9"/>
  <c r="AH849" i="9"/>
  <c r="AH850" i="9"/>
  <c r="AH851" i="9"/>
  <c r="AH852" i="9"/>
  <c r="AH853" i="9"/>
  <c r="AH854" i="9"/>
  <c r="AH855" i="9"/>
  <c r="AH856" i="9"/>
  <c r="AH857" i="9"/>
  <c r="AH858" i="9"/>
  <c r="AH859" i="9"/>
  <c r="AH860" i="9"/>
  <c r="AH861" i="9"/>
  <c r="AH862" i="9"/>
  <c r="AH863" i="9"/>
  <c r="AH864" i="9"/>
  <c r="AH865" i="9"/>
  <c r="AH866" i="9"/>
  <c r="AH867" i="9"/>
  <c r="AH868" i="9"/>
  <c r="AH869" i="9"/>
  <c r="AH870" i="9"/>
  <c r="AH871" i="9"/>
  <c r="AH872" i="9"/>
  <c r="AH873" i="9"/>
  <c r="AH874" i="9"/>
  <c r="AH875" i="9"/>
  <c r="AH876" i="9"/>
  <c r="AH877" i="9"/>
  <c r="AH878" i="9"/>
  <c r="AH879" i="9"/>
  <c r="AH880" i="9"/>
  <c r="AH881" i="9"/>
  <c r="AH882" i="9"/>
  <c r="AH883" i="9"/>
  <c r="AH884" i="9"/>
  <c r="AH885" i="9"/>
  <c r="AH886" i="9"/>
  <c r="AH887" i="9"/>
  <c r="AH888" i="9"/>
  <c r="AH889" i="9"/>
  <c r="AH890" i="9"/>
  <c r="AH891" i="9"/>
  <c r="AH892" i="9"/>
  <c r="AH893" i="9"/>
  <c r="AH894" i="9"/>
  <c r="AH895" i="9"/>
  <c r="AH896" i="9"/>
  <c r="AH897" i="9"/>
  <c r="AH898" i="9"/>
  <c r="AH899" i="9"/>
  <c r="AH900" i="9"/>
  <c r="AH901" i="9"/>
  <c r="AH902" i="9"/>
  <c r="AH903" i="9"/>
  <c r="AH904" i="9"/>
  <c r="AH905" i="9"/>
  <c r="AH906" i="9"/>
  <c r="AH907" i="9"/>
  <c r="AH908" i="9"/>
  <c r="AH909" i="9"/>
  <c r="AH910" i="9"/>
  <c r="AH911" i="9"/>
  <c r="AH912" i="9"/>
  <c r="AH913" i="9"/>
  <c r="AH914" i="9"/>
  <c r="AH915" i="9"/>
  <c r="AH916" i="9"/>
  <c r="AH917" i="9"/>
  <c r="AH918" i="9"/>
  <c r="AH919" i="9"/>
  <c r="AH920" i="9"/>
  <c r="AH921" i="9"/>
  <c r="AH922" i="9"/>
  <c r="AH923" i="9"/>
  <c r="AH924" i="9"/>
  <c r="AH925" i="9"/>
  <c r="AH926" i="9"/>
  <c r="AH927" i="9"/>
  <c r="AH928" i="9"/>
  <c r="AH929" i="9"/>
  <c r="AH930" i="9"/>
  <c r="AH931" i="9"/>
  <c r="AH932" i="9"/>
  <c r="AH933" i="9"/>
  <c r="AH934" i="9"/>
  <c r="AH935" i="9"/>
  <c r="AH936" i="9"/>
  <c r="AH937" i="9"/>
  <c r="AH938" i="9"/>
  <c r="AH939" i="9"/>
  <c r="AH940" i="9"/>
  <c r="AH941" i="9"/>
  <c r="AH942" i="9"/>
  <c r="AH943" i="9"/>
  <c r="AH944" i="9"/>
  <c r="AH945" i="9"/>
  <c r="AH946" i="9"/>
  <c r="AH947" i="9"/>
  <c r="AH948" i="9"/>
  <c r="AH949" i="9"/>
  <c r="AH950" i="9"/>
  <c r="AH951" i="9"/>
  <c r="AH952" i="9"/>
  <c r="AH953" i="9"/>
  <c r="AH954" i="9"/>
  <c r="AH955" i="9"/>
  <c r="AH956" i="9"/>
  <c r="AH957" i="9"/>
  <c r="AH958" i="9"/>
  <c r="AH959" i="9"/>
  <c r="AH960" i="9"/>
  <c r="AH961" i="9"/>
  <c r="AH962" i="9"/>
  <c r="AH963" i="9"/>
  <c r="AH964" i="9"/>
  <c r="AH965" i="9"/>
  <c r="AH966" i="9"/>
  <c r="AH967" i="9"/>
  <c r="AH968" i="9"/>
  <c r="AH969" i="9"/>
  <c r="AH970" i="9"/>
  <c r="AH971" i="9"/>
  <c r="AH972" i="9"/>
  <c r="AH973" i="9"/>
  <c r="AH974" i="9"/>
  <c r="AH975" i="9"/>
  <c r="AH976" i="9"/>
  <c r="AH977" i="9"/>
  <c r="AH978" i="9"/>
  <c r="AH979" i="9"/>
  <c r="AH980" i="9"/>
  <c r="AH981" i="9"/>
  <c r="AH982" i="9"/>
  <c r="AH983" i="9"/>
  <c r="AH984" i="9"/>
  <c r="AH985" i="9"/>
  <c r="AH986" i="9"/>
  <c r="AH987" i="9"/>
  <c r="AH988" i="9"/>
  <c r="AH989" i="9"/>
  <c r="AH990" i="9"/>
  <c r="AH991" i="9"/>
  <c r="AH992" i="9"/>
  <c r="AH993" i="9"/>
  <c r="AH994" i="9"/>
  <c r="AH995" i="9"/>
  <c r="AH996" i="9"/>
  <c r="AH997" i="9"/>
  <c r="AH998" i="9"/>
  <c r="AH999" i="9"/>
  <c r="AH1000" i="9"/>
  <c r="AH1001" i="9"/>
  <c r="AH1002" i="9"/>
  <c r="AH1003" i="9"/>
  <c r="AH1004" i="9"/>
  <c r="AH1005" i="9"/>
  <c r="AH1006" i="9"/>
  <c r="AH1007" i="9"/>
  <c r="AH1008" i="9"/>
  <c r="AH1009" i="9"/>
  <c r="AH1010" i="9"/>
  <c r="AH1011" i="9"/>
  <c r="AH1012" i="9"/>
  <c r="AH1013" i="9"/>
  <c r="AH1014" i="9"/>
  <c r="AH1015" i="9"/>
  <c r="AH1016" i="9"/>
  <c r="AH1017" i="9"/>
  <c r="AH1018" i="9"/>
  <c r="AH1019" i="9"/>
  <c r="AH1020" i="9"/>
  <c r="AH1021" i="9"/>
  <c r="AH1022" i="9"/>
  <c r="AH1023" i="9"/>
  <c r="AH1024" i="9"/>
  <c r="AH1025" i="9"/>
  <c r="AH1026" i="9"/>
  <c r="AH1027" i="9"/>
  <c r="AH1028" i="9"/>
  <c r="AH1029" i="9"/>
  <c r="AH1030" i="9"/>
  <c r="AH1031" i="9"/>
  <c r="AH1032" i="9"/>
  <c r="AH1033" i="9"/>
  <c r="AH1034" i="9"/>
  <c r="AH1035" i="9"/>
  <c r="AH1036" i="9"/>
  <c r="AH1037" i="9"/>
  <c r="AH1038" i="9"/>
  <c r="AH1039" i="9"/>
  <c r="AH1040" i="9"/>
  <c r="AH1041" i="9"/>
  <c r="AH1042" i="9"/>
  <c r="AH1043" i="9"/>
  <c r="AH1044" i="9"/>
  <c r="AH1045" i="9"/>
  <c r="AH1046" i="9"/>
  <c r="AH1047" i="9"/>
  <c r="AH1048" i="9"/>
  <c r="AH1049" i="9"/>
  <c r="AH1050" i="9"/>
  <c r="AH1051" i="9"/>
  <c r="AH1052" i="9"/>
  <c r="AH1053" i="9"/>
  <c r="AH1054" i="9"/>
  <c r="AH1055" i="9"/>
  <c r="AH1056" i="9"/>
  <c r="AH1057" i="9"/>
  <c r="AH1058" i="9"/>
  <c r="AH1059" i="9"/>
  <c r="AH1060" i="9"/>
  <c r="AH1061" i="9"/>
  <c r="AH1062" i="9"/>
  <c r="AH1063" i="9"/>
  <c r="AH1064" i="9"/>
  <c r="AH1065" i="9"/>
  <c r="AH1066" i="9"/>
  <c r="AH1067" i="9"/>
  <c r="AH1068" i="9"/>
  <c r="AH1069" i="9"/>
  <c r="AH1070" i="9"/>
  <c r="AH1071" i="9"/>
  <c r="AH1072" i="9"/>
  <c r="AH1073" i="9"/>
  <c r="AH1074" i="9"/>
  <c r="AH1075" i="9"/>
  <c r="AH1076" i="9"/>
  <c r="AH1077" i="9"/>
  <c r="AH1078" i="9"/>
  <c r="AH1079" i="9"/>
  <c r="AH1080" i="9"/>
  <c r="AH1081" i="9"/>
  <c r="AH1082" i="9"/>
  <c r="AH1083" i="9"/>
  <c r="AH1084" i="9"/>
  <c r="AH1085" i="9"/>
  <c r="AH1086" i="9"/>
  <c r="AH1087" i="9"/>
  <c r="AH1088" i="9"/>
  <c r="AH1089" i="9"/>
  <c r="AH1090" i="9"/>
  <c r="AH1091" i="9"/>
  <c r="AH1092" i="9"/>
  <c r="AH1093" i="9"/>
  <c r="AH1094" i="9"/>
  <c r="AH1095" i="9"/>
  <c r="AH1096" i="9"/>
  <c r="AH1097" i="9"/>
  <c r="AH1098" i="9"/>
  <c r="AH1099" i="9"/>
  <c r="AH1100" i="9"/>
  <c r="AH1101" i="9"/>
  <c r="AH1102" i="9"/>
  <c r="AH1103" i="9"/>
  <c r="AH1104" i="9"/>
  <c r="AH1105" i="9"/>
  <c r="AH1106" i="9"/>
  <c r="AH1107" i="9"/>
  <c r="AH1108" i="9"/>
  <c r="AH1109" i="9"/>
  <c r="AH1110" i="9"/>
  <c r="AH1111" i="9"/>
  <c r="AH1112" i="9"/>
  <c r="AH1113" i="9"/>
  <c r="AH1114" i="9"/>
  <c r="AH1115" i="9"/>
  <c r="AH1116" i="9"/>
  <c r="AH1117" i="9"/>
  <c r="AH1118" i="9"/>
  <c r="AH1119" i="9"/>
  <c r="AH1120" i="9"/>
  <c r="AH1121" i="9"/>
  <c r="AH1122" i="9"/>
  <c r="AH1123" i="9"/>
  <c r="AH1124" i="9"/>
  <c r="AH1125" i="9"/>
  <c r="AH1126" i="9"/>
  <c r="AH1127" i="9"/>
  <c r="AH1128" i="9"/>
  <c r="AH1129" i="9"/>
  <c r="AH1130" i="9"/>
  <c r="AH1131" i="9"/>
  <c r="AH1132" i="9"/>
  <c r="AH1133" i="9"/>
  <c r="AH1134" i="9"/>
  <c r="AH1135" i="9"/>
  <c r="AH1136" i="9"/>
  <c r="AH1137" i="9"/>
  <c r="AH1138" i="9"/>
  <c r="AH1139" i="9"/>
  <c r="AH1140" i="9"/>
  <c r="AH1141" i="9"/>
  <c r="AH1142" i="9"/>
  <c r="AH1143" i="9"/>
  <c r="AH1144" i="9"/>
  <c r="AH1145" i="9"/>
  <c r="AH1146" i="9"/>
  <c r="AH1147" i="9"/>
  <c r="AH1148" i="9"/>
  <c r="AH1149" i="9"/>
  <c r="AH1150" i="9"/>
  <c r="AH1151" i="9"/>
  <c r="AH1152" i="9"/>
  <c r="AH1153" i="9"/>
  <c r="AH1154" i="9"/>
  <c r="AH1155" i="9"/>
  <c r="AH1156" i="9"/>
  <c r="AH1157" i="9"/>
  <c r="AH1158" i="9"/>
  <c r="AH1159" i="9"/>
  <c r="AH1160" i="9"/>
  <c r="AH1161" i="9"/>
  <c r="AH1162" i="9"/>
  <c r="AH1163" i="9"/>
  <c r="AH1164" i="9"/>
  <c r="AH1165" i="9"/>
  <c r="AH1166" i="9"/>
  <c r="AH1167" i="9"/>
  <c r="AH1168" i="9"/>
  <c r="AH1169" i="9"/>
  <c r="AH1170" i="9"/>
  <c r="AH1171" i="9"/>
  <c r="AH1172" i="9"/>
  <c r="AH1173" i="9"/>
  <c r="AH1174" i="9"/>
  <c r="AH1175" i="9"/>
  <c r="AH1176" i="9"/>
  <c r="AH1177" i="9"/>
  <c r="AH1178" i="9"/>
  <c r="AH1179" i="9"/>
  <c r="AH1180" i="9"/>
  <c r="AH1181" i="9"/>
  <c r="AH1182" i="9"/>
  <c r="AH1183" i="9"/>
  <c r="AH1184" i="9"/>
  <c r="AH1185" i="9"/>
  <c r="AH1186" i="9"/>
  <c r="AH1187" i="9"/>
  <c r="AH1188" i="9"/>
  <c r="AH1189" i="9"/>
  <c r="AH1190" i="9"/>
  <c r="AH1191" i="9"/>
  <c r="AH1192" i="9"/>
  <c r="AH1193" i="9"/>
  <c r="AH1194" i="9"/>
  <c r="AH1195" i="9"/>
  <c r="AH1196" i="9"/>
  <c r="AH1197" i="9"/>
  <c r="AH1198" i="9"/>
  <c r="AH1199" i="9"/>
  <c r="AH1200" i="9"/>
  <c r="AH1201" i="9"/>
  <c r="AH1202" i="9"/>
  <c r="AH1203" i="9"/>
  <c r="AH1204" i="9"/>
  <c r="AH1205" i="9"/>
  <c r="AH1206" i="9"/>
  <c r="AH1207" i="9"/>
  <c r="AH1208" i="9"/>
  <c r="AH1209" i="9"/>
  <c r="AH1210" i="9"/>
  <c r="AH1211" i="9"/>
  <c r="AH1212" i="9"/>
  <c r="AH1213" i="9"/>
  <c r="AH1214" i="9"/>
  <c r="AH1215" i="9"/>
  <c r="AH1216" i="9"/>
  <c r="AH1217" i="9"/>
  <c r="AH1218" i="9"/>
  <c r="AH1219" i="9"/>
  <c r="AH1220" i="9"/>
  <c r="AH1221" i="9"/>
  <c r="AH1222" i="9"/>
  <c r="AH1223" i="9"/>
  <c r="AH1224" i="9"/>
  <c r="AH1225" i="9"/>
  <c r="AH1226" i="9"/>
  <c r="AH1227" i="9"/>
  <c r="AH1228" i="9"/>
  <c r="AH1229" i="9"/>
  <c r="AH1230" i="9"/>
  <c r="AH1231" i="9"/>
  <c r="AH1232" i="9"/>
  <c r="AH1233" i="9"/>
  <c r="AH1234" i="9"/>
  <c r="AH1235" i="9"/>
  <c r="AH1236" i="9"/>
  <c r="AH1237" i="9"/>
  <c r="AH1238" i="9"/>
  <c r="AH1239" i="9"/>
  <c r="AH1240" i="9"/>
  <c r="AH1241" i="9"/>
  <c r="AH1242" i="9"/>
  <c r="AH1243" i="9"/>
  <c r="AH1244" i="9"/>
  <c r="AH1245" i="9"/>
  <c r="AH1246" i="9"/>
  <c r="AH1247" i="9"/>
  <c r="AH1248" i="9"/>
  <c r="AH1249" i="9"/>
  <c r="AH1250" i="9"/>
  <c r="AH1251" i="9"/>
  <c r="AH1252" i="9"/>
  <c r="AH1253" i="9"/>
  <c r="AH1254" i="9"/>
  <c r="AH1255" i="9"/>
  <c r="AH1256" i="9"/>
  <c r="AH1257" i="9"/>
  <c r="AH1258" i="9"/>
  <c r="AH1259" i="9"/>
  <c r="AH1260" i="9"/>
  <c r="AH1261" i="9"/>
  <c r="AH1262" i="9"/>
  <c r="AH1263" i="9"/>
  <c r="AH1264" i="9"/>
  <c r="AH1265" i="9"/>
  <c r="AH1266" i="9"/>
  <c r="AH1267" i="9"/>
  <c r="AH1268" i="9"/>
  <c r="AH1269" i="9"/>
  <c r="AH1270" i="9"/>
  <c r="AH1271" i="9"/>
  <c r="AH1272" i="9"/>
  <c r="AH1273" i="9"/>
  <c r="AH1274" i="9"/>
  <c r="AH1275" i="9"/>
  <c r="AH1276" i="9"/>
  <c r="AH1277" i="9"/>
  <c r="AH1278" i="9"/>
  <c r="AH1279" i="9"/>
  <c r="AH1280" i="9"/>
  <c r="AH1281" i="9"/>
  <c r="AH1282" i="9"/>
  <c r="AH1283" i="9"/>
  <c r="AH1284" i="9"/>
  <c r="AH1285" i="9"/>
  <c r="AH1286" i="9"/>
  <c r="AH1287" i="9"/>
  <c r="AH1288" i="9"/>
  <c r="AH1289" i="9"/>
  <c r="AH1290" i="9"/>
  <c r="AH1291" i="9"/>
  <c r="AH1292" i="9"/>
  <c r="AH1293" i="9"/>
  <c r="AH1294" i="9"/>
  <c r="AH1295" i="9"/>
  <c r="AH1296" i="9"/>
  <c r="AH1297" i="9"/>
  <c r="AH1298" i="9"/>
  <c r="AH1299" i="9"/>
  <c r="AH1300" i="9"/>
  <c r="AH1301" i="9"/>
  <c r="AH1302" i="9"/>
  <c r="AH1303" i="9"/>
  <c r="AH1304" i="9"/>
  <c r="AH1305" i="9"/>
  <c r="AH1306" i="9"/>
  <c r="AH1307" i="9"/>
  <c r="AH1308" i="9"/>
  <c r="AH1309" i="9"/>
  <c r="AH1310" i="9"/>
  <c r="AH1311" i="9"/>
  <c r="AH1312" i="9"/>
  <c r="AH1313" i="9"/>
  <c r="AH1314" i="9"/>
  <c r="AH1315" i="9"/>
  <c r="AH1316" i="9"/>
  <c r="AH1317" i="9"/>
  <c r="AH1318" i="9"/>
  <c r="AH1319" i="9"/>
  <c r="AH1320" i="9"/>
  <c r="AH1321" i="9"/>
  <c r="AH1322" i="9"/>
  <c r="AH1323" i="9"/>
  <c r="AH1324" i="9"/>
  <c r="AH1325" i="9"/>
  <c r="AH1326" i="9"/>
  <c r="AH1327" i="9"/>
  <c r="AH1328" i="9"/>
  <c r="AH1329" i="9"/>
  <c r="AH1330" i="9"/>
  <c r="AH1331" i="9"/>
  <c r="AH1332" i="9"/>
  <c r="AH1333" i="9"/>
  <c r="AH1334" i="9"/>
  <c r="AH1335" i="9"/>
  <c r="AH1336" i="9"/>
  <c r="AH1337" i="9"/>
  <c r="AH1338" i="9"/>
  <c r="AH1339" i="9"/>
  <c r="AH1340" i="9"/>
  <c r="AH1341" i="9"/>
  <c r="AH1342" i="9"/>
  <c r="AH1343" i="9"/>
  <c r="AH1344" i="9"/>
  <c r="AH1345" i="9"/>
  <c r="AH1346" i="9"/>
  <c r="AH1347" i="9"/>
  <c r="AH1348" i="9"/>
  <c r="AH1349" i="9"/>
  <c r="AH1350" i="9"/>
  <c r="AH1351" i="9"/>
  <c r="AH1352" i="9"/>
  <c r="AH1353" i="9"/>
  <c r="AH1354" i="9"/>
  <c r="AH1355" i="9"/>
  <c r="AH1356" i="9"/>
  <c r="AH1357" i="9"/>
  <c r="AH1358" i="9"/>
  <c r="AH1359" i="9"/>
  <c r="AH1360" i="9"/>
  <c r="AH1361" i="9"/>
  <c r="AH1362" i="9"/>
  <c r="AH1363" i="9"/>
  <c r="AH1364" i="9"/>
  <c r="AH1365" i="9"/>
  <c r="AH1366" i="9"/>
  <c r="AH1367" i="9"/>
  <c r="AH1368" i="9"/>
  <c r="AH1369" i="9"/>
  <c r="AH1370" i="9"/>
  <c r="AH1371" i="9"/>
  <c r="AH1372" i="9"/>
  <c r="AH1373" i="9"/>
  <c r="AH1374" i="9"/>
  <c r="AH1375" i="9"/>
  <c r="AH1376" i="9"/>
  <c r="AH1377" i="9"/>
  <c r="AH1378" i="9"/>
  <c r="AH1379" i="9"/>
  <c r="AH1380" i="9"/>
  <c r="AH1381" i="9"/>
  <c r="AH1382" i="9"/>
  <c r="AH1383" i="9"/>
  <c r="AH1384" i="9"/>
  <c r="AH1385" i="9"/>
  <c r="AH1386" i="9"/>
  <c r="AH1387" i="9"/>
  <c r="AH1388" i="9"/>
  <c r="AH1389" i="9"/>
  <c r="AH1390" i="9"/>
  <c r="AH1391" i="9"/>
  <c r="AH1392" i="9"/>
  <c r="AH1393" i="9"/>
  <c r="AH1394" i="9"/>
  <c r="AH1395" i="9"/>
  <c r="AH1396" i="9"/>
  <c r="AH1397" i="9"/>
  <c r="AH1398" i="9"/>
  <c r="AH1399" i="9"/>
  <c r="AH1400" i="9"/>
  <c r="AH1401" i="9"/>
  <c r="AH1402" i="9"/>
  <c r="AH1403" i="9"/>
  <c r="AH1404" i="9"/>
  <c r="AH1405" i="9"/>
  <c r="AH1406" i="9"/>
  <c r="AH1407" i="9"/>
  <c r="AH1408" i="9"/>
  <c r="AH1409" i="9"/>
  <c r="AH1410" i="9"/>
  <c r="AH1411" i="9"/>
  <c r="AH1412" i="9"/>
  <c r="AH1413" i="9"/>
  <c r="AH1414" i="9"/>
  <c r="AH1415" i="9"/>
  <c r="AH1416" i="9"/>
  <c r="AH1417" i="9"/>
  <c r="AH1418" i="9"/>
  <c r="AH1419" i="9"/>
  <c r="AH1420" i="9"/>
  <c r="AH1421" i="9"/>
  <c r="AH1422" i="9"/>
  <c r="AH1423" i="9"/>
  <c r="AH1424" i="9"/>
  <c r="AH1425" i="9"/>
  <c r="AH1426" i="9"/>
  <c r="AH1427" i="9"/>
  <c r="AH1428" i="9"/>
  <c r="AH1429" i="9"/>
  <c r="AH1430" i="9"/>
  <c r="AH1431" i="9"/>
  <c r="AH1432" i="9"/>
  <c r="AH1433" i="9"/>
  <c r="AH1434" i="9"/>
  <c r="AH1435" i="9"/>
  <c r="AH1436" i="9"/>
  <c r="AH1437" i="9"/>
  <c r="AH1438" i="9"/>
  <c r="AH1439" i="9"/>
  <c r="AH1440" i="9"/>
  <c r="AH1441" i="9"/>
  <c r="AH1442" i="9"/>
  <c r="AH1443" i="9"/>
  <c r="AH1444" i="9"/>
  <c r="AH1445" i="9"/>
  <c r="AH1446" i="9"/>
  <c r="AH1447" i="9"/>
  <c r="AH1448" i="9"/>
  <c r="AH1449" i="9"/>
  <c r="AH1450" i="9"/>
  <c r="AH1451" i="9"/>
  <c r="AH1452" i="9"/>
  <c r="AH1453" i="9"/>
  <c r="AH1454" i="9"/>
  <c r="AH1455" i="9"/>
  <c r="AH1456" i="9"/>
  <c r="AH1457" i="9"/>
  <c r="AH1458" i="9"/>
  <c r="AH1459" i="9"/>
  <c r="AH1460" i="9"/>
  <c r="AH1461" i="9"/>
  <c r="AH1462" i="9"/>
  <c r="AH1463" i="9"/>
  <c r="AH1464" i="9"/>
  <c r="AH1465" i="9"/>
  <c r="AH1466" i="9"/>
  <c r="AH1467" i="9"/>
  <c r="AH1468" i="9"/>
  <c r="AH1469" i="9"/>
  <c r="AH1470" i="9"/>
  <c r="AH1471" i="9"/>
  <c r="AH1472" i="9"/>
  <c r="AH1473" i="9"/>
  <c r="AH1474" i="9"/>
  <c r="AH1475" i="9"/>
  <c r="AH1476" i="9"/>
  <c r="AH1477" i="9"/>
  <c r="AH1478" i="9"/>
  <c r="AH1479" i="9"/>
  <c r="AH1480" i="9"/>
  <c r="AH1481" i="9"/>
  <c r="AH1482" i="9"/>
  <c r="AH1483" i="9"/>
  <c r="AH1484" i="9"/>
  <c r="AH1485" i="9"/>
  <c r="AH1486" i="9"/>
  <c r="AH1487" i="9"/>
  <c r="AH1488" i="9"/>
  <c r="AH1489" i="9"/>
  <c r="AH1490" i="9"/>
  <c r="AH1491" i="9"/>
  <c r="AH1492" i="9"/>
  <c r="AH1493" i="9"/>
  <c r="AH1494" i="9"/>
  <c r="AH1495" i="9"/>
  <c r="AH1496" i="9"/>
  <c r="AH1497" i="9"/>
  <c r="AH1498" i="9"/>
  <c r="AH1499" i="9"/>
  <c r="AH1500" i="9"/>
  <c r="AH1501" i="9"/>
  <c r="AH1502" i="9"/>
  <c r="AH1503" i="9"/>
  <c r="AH1504" i="9"/>
  <c r="AH1505" i="9"/>
  <c r="AH1506" i="9"/>
  <c r="AH1507" i="9"/>
  <c r="AH1508" i="9"/>
  <c r="AH1509" i="9"/>
  <c r="AH1510" i="9"/>
  <c r="AH1511" i="9"/>
  <c r="AH1512" i="9"/>
  <c r="AH1513" i="9"/>
  <c r="AH1514" i="9"/>
  <c r="AH1515" i="9"/>
  <c r="AH1516" i="9"/>
  <c r="AH1517" i="9"/>
  <c r="AH1518" i="9"/>
  <c r="AH1519" i="9"/>
  <c r="AH1520" i="9"/>
  <c r="AH1521" i="9"/>
  <c r="AH1522" i="9"/>
  <c r="AH1523" i="9"/>
  <c r="AH1524" i="9"/>
  <c r="AH1525" i="9"/>
  <c r="AH1526" i="9"/>
  <c r="AH1527" i="9"/>
  <c r="AH1528" i="9"/>
  <c r="AH1529" i="9"/>
  <c r="AH1530" i="9"/>
  <c r="AH1531" i="9"/>
  <c r="AH1532" i="9"/>
  <c r="AH1533" i="9"/>
  <c r="AH1534" i="9"/>
  <c r="AH1535" i="9"/>
  <c r="AH1536" i="9"/>
  <c r="AH1537" i="9"/>
  <c r="AH1538" i="9"/>
  <c r="AH1539" i="9"/>
  <c r="AH1540" i="9"/>
  <c r="AH1541" i="9"/>
  <c r="AH1542" i="9"/>
  <c r="AH1543" i="9"/>
  <c r="AH1544" i="9"/>
  <c r="AH1545" i="9"/>
  <c r="AH1546" i="9"/>
  <c r="AH1547" i="9"/>
  <c r="AH1548" i="9"/>
  <c r="AH1549" i="9"/>
  <c r="AH1550" i="9"/>
  <c r="AH1551" i="9"/>
  <c r="AH1552" i="9"/>
  <c r="AH1553" i="9"/>
  <c r="AH1554" i="9"/>
  <c r="AH1555" i="9"/>
  <c r="AH1556" i="9"/>
  <c r="AH1557" i="9"/>
  <c r="AH1558" i="9"/>
  <c r="AH1559" i="9"/>
  <c r="AH1560" i="9"/>
  <c r="AH1561" i="9"/>
  <c r="AH1562" i="9"/>
  <c r="AH1563" i="9"/>
  <c r="AH1564" i="9"/>
  <c r="AH1565" i="9"/>
  <c r="AH1566" i="9"/>
  <c r="AH1567" i="9"/>
  <c r="AH1568" i="9"/>
  <c r="AH1569" i="9"/>
  <c r="AH1570" i="9"/>
  <c r="AH1571" i="9"/>
  <c r="AH1572" i="9"/>
  <c r="AH1573" i="9"/>
  <c r="AH1574" i="9"/>
  <c r="AH1575" i="9"/>
  <c r="AH1576" i="9"/>
  <c r="AH1577" i="9"/>
  <c r="AH1578" i="9"/>
  <c r="AH1579" i="9"/>
  <c r="AH1580" i="9"/>
  <c r="AH1581" i="9"/>
  <c r="AH1582" i="9"/>
  <c r="AH1583" i="9"/>
  <c r="AH1584" i="9"/>
  <c r="AH1585" i="9"/>
  <c r="AH1586" i="9"/>
  <c r="AH1587" i="9"/>
  <c r="AH1588" i="9"/>
  <c r="AH1589" i="9"/>
  <c r="AH1590" i="9"/>
  <c r="AH1591" i="9"/>
  <c r="AH1592" i="9"/>
  <c r="AH1593" i="9"/>
  <c r="AH1594" i="9"/>
  <c r="AH1595" i="9"/>
  <c r="AH1596" i="9"/>
  <c r="AH1597" i="9"/>
  <c r="AH1598" i="9"/>
  <c r="AH1599" i="9"/>
  <c r="AH1600" i="9"/>
  <c r="AH1601" i="9"/>
  <c r="AH1602" i="9"/>
  <c r="AH1603" i="9"/>
  <c r="AH1604" i="9"/>
  <c r="AH1605" i="9"/>
  <c r="AH1606" i="9"/>
  <c r="AH1607" i="9"/>
  <c r="AH1608" i="9"/>
  <c r="AH1609" i="9"/>
  <c r="AH1610" i="9"/>
  <c r="AH1611" i="9"/>
  <c r="AH1612" i="9"/>
  <c r="AH1613" i="9"/>
  <c r="AH1614" i="9"/>
  <c r="AH1615" i="9"/>
  <c r="AH1616" i="9"/>
  <c r="AH1617" i="9"/>
  <c r="AH1618" i="9"/>
  <c r="AH1619" i="9"/>
  <c r="AH1620" i="9"/>
  <c r="AH1621" i="9"/>
  <c r="AH1622" i="9"/>
  <c r="AH1623" i="9"/>
  <c r="AH1624" i="9"/>
  <c r="AH1625" i="9"/>
  <c r="AH1626" i="9"/>
  <c r="AH1627" i="9"/>
  <c r="AH1628" i="9"/>
  <c r="AH1629" i="9"/>
  <c r="AH1630" i="9"/>
  <c r="AH1631" i="9"/>
  <c r="AH1632" i="9"/>
  <c r="AH1633" i="9"/>
  <c r="AH1634" i="9"/>
  <c r="AH1635" i="9"/>
  <c r="AH1636" i="9"/>
  <c r="AH1637" i="9"/>
  <c r="AH1638" i="9"/>
  <c r="AH1639" i="9"/>
  <c r="AH1640" i="9"/>
  <c r="AH1641" i="9"/>
  <c r="AH1642" i="9"/>
  <c r="AH1643" i="9"/>
  <c r="AH1644" i="9"/>
  <c r="AH1645" i="9"/>
  <c r="AH1646" i="9"/>
  <c r="AH1647" i="9"/>
  <c r="AH1648" i="9"/>
  <c r="AH1649" i="9"/>
  <c r="AH1650" i="9"/>
  <c r="AH1651" i="9"/>
  <c r="AH1652" i="9"/>
  <c r="AH1653" i="9"/>
  <c r="AH1654" i="9"/>
  <c r="AH1655" i="9"/>
  <c r="AH1656" i="9"/>
  <c r="AH1657" i="9"/>
  <c r="AH1658" i="9"/>
  <c r="AH1659" i="9"/>
  <c r="AH1660" i="9"/>
  <c r="AH1661" i="9"/>
  <c r="AH1662" i="9"/>
  <c r="AH1663" i="9"/>
  <c r="AH1664" i="9"/>
  <c r="AH1665" i="9"/>
  <c r="AH1666" i="9"/>
  <c r="AH1667" i="9"/>
  <c r="AH1668" i="9"/>
  <c r="AH1669" i="9"/>
  <c r="AH1670" i="9"/>
  <c r="AH1671" i="9"/>
  <c r="AH1672" i="9"/>
  <c r="AH1673" i="9"/>
  <c r="AH1674" i="9"/>
  <c r="AH1675" i="9"/>
  <c r="AH1676" i="9"/>
  <c r="AH1677" i="9"/>
  <c r="AH1678" i="9"/>
  <c r="AH1679" i="9"/>
  <c r="AH1680" i="9"/>
  <c r="AH1681" i="9"/>
  <c r="AH1682" i="9"/>
  <c r="AH1683" i="9"/>
  <c r="AH1684" i="9"/>
  <c r="AH5" i="9"/>
  <c r="C1" i="9"/>
  <c r="D1" i="9" s="1"/>
  <c r="E1" i="9" s="1"/>
  <c r="F1" i="9" s="1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A740" i="9" s="1"/>
  <c r="A741" i="9" s="1"/>
  <c r="A742" i="9" s="1"/>
  <c r="A743" i="9" s="1"/>
  <c r="A744" i="9" s="1"/>
  <c r="A745" i="9" s="1"/>
  <c r="A746" i="9" s="1"/>
  <c r="A747" i="9" s="1"/>
  <c r="A748" i="9" s="1"/>
  <c r="A749" i="9" s="1"/>
  <c r="A750" i="9" s="1"/>
  <c r="A751" i="9" s="1"/>
  <c r="A752" i="9" s="1"/>
  <c r="A753" i="9" s="1"/>
  <c r="A754" i="9" s="1"/>
  <c r="A755" i="9" s="1"/>
  <c r="A756" i="9" s="1"/>
  <c r="A757" i="9" s="1"/>
  <c r="A758" i="9" s="1"/>
  <c r="A759" i="9" s="1"/>
  <c r="A760" i="9" s="1"/>
  <c r="A761" i="9" s="1"/>
  <c r="A762" i="9" s="1"/>
  <c r="A763" i="9" s="1"/>
  <c r="A764" i="9" s="1"/>
  <c r="A765" i="9" s="1"/>
  <c r="A766" i="9" s="1"/>
  <c r="A767" i="9" s="1"/>
  <c r="A768" i="9" s="1"/>
  <c r="A769" i="9" s="1"/>
  <c r="A770" i="9" s="1"/>
  <c r="A771" i="9" s="1"/>
  <c r="A772" i="9" s="1"/>
  <c r="A773" i="9" s="1"/>
  <c r="A774" i="9" s="1"/>
  <c r="A775" i="9" s="1"/>
  <c r="A776" i="9" s="1"/>
  <c r="A777" i="9" s="1"/>
  <c r="A778" i="9" s="1"/>
  <c r="A779" i="9" s="1"/>
  <c r="A780" i="9" s="1"/>
  <c r="A781" i="9" s="1"/>
  <c r="A782" i="9" s="1"/>
  <c r="A783" i="9" s="1"/>
  <c r="A784" i="9" s="1"/>
  <c r="A785" i="9" s="1"/>
  <c r="A786" i="9" s="1"/>
  <c r="A787" i="9" s="1"/>
  <c r="A788" i="9" s="1"/>
  <c r="A789" i="9" s="1"/>
  <c r="A790" i="9" s="1"/>
  <c r="A791" i="9" s="1"/>
  <c r="A792" i="9" s="1"/>
  <c r="A793" i="9" s="1"/>
  <c r="A794" i="9" s="1"/>
  <c r="A795" i="9" s="1"/>
  <c r="A796" i="9" s="1"/>
  <c r="A797" i="9" s="1"/>
  <c r="A798" i="9" s="1"/>
  <c r="A799" i="9" s="1"/>
  <c r="A800" i="9" s="1"/>
  <c r="A801" i="9" s="1"/>
  <c r="A802" i="9" s="1"/>
  <c r="A803" i="9" s="1"/>
  <c r="A804" i="9" s="1"/>
  <c r="A805" i="9" s="1"/>
  <c r="A806" i="9" s="1"/>
  <c r="A807" i="9" s="1"/>
  <c r="A808" i="9" s="1"/>
  <c r="A809" i="9" s="1"/>
  <c r="A810" i="9" s="1"/>
  <c r="A811" i="9" s="1"/>
  <c r="A812" i="9" s="1"/>
  <c r="A813" i="9" s="1"/>
  <c r="A814" i="9" s="1"/>
  <c r="A815" i="9" s="1"/>
  <c r="A816" i="9" s="1"/>
  <c r="A817" i="9" s="1"/>
  <c r="A818" i="9" s="1"/>
  <c r="A819" i="9" s="1"/>
  <c r="A820" i="9" s="1"/>
  <c r="A821" i="9" s="1"/>
  <c r="A822" i="9" s="1"/>
  <c r="A823" i="9" s="1"/>
  <c r="A824" i="9" s="1"/>
  <c r="A825" i="9" s="1"/>
  <c r="A826" i="9" s="1"/>
  <c r="A827" i="9" s="1"/>
  <c r="A828" i="9" s="1"/>
  <c r="A829" i="9" s="1"/>
  <c r="A830" i="9" s="1"/>
  <c r="A831" i="9" s="1"/>
  <c r="A832" i="9" s="1"/>
  <c r="A833" i="9" s="1"/>
  <c r="A834" i="9" s="1"/>
  <c r="A835" i="9" s="1"/>
  <c r="A836" i="9" s="1"/>
  <c r="A837" i="9" s="1"/>
  <c r="A838" i="9" s="1"/>
  <c r="A839" i="9" s="1"/>
  <c r="A840" i="9" s="1"/>
  <c r="A841" i="9" s="1"/>
  <c r="A842" i="9" s="1"/>
  <c r="A843" i="9" s="1"/>
  <c r="A844" i="9" s="1"/>
  <c r="A845" i="9" s="1"/>
  <c r="A846" i="9" s="1"/>
  <c r="A847" i="9" s="1"/>
  <c r="A848" i="9" s="1"/>
  <c r="A849" i="9" s="1"/>
  <c r="A850" i="9" s="1"/>
  <c r="A851" i="9" s="1"/>
  <c r="A852" i="9" s="1"/>
  <c r="A853" i="9" s="1"/>
  <c r="A854" i="9" s="1"/>
  <c r="A855" i="9" s="1"/>
  <c r="A856" i="9" s="1"/>
  <c r="A857" i="9" s="1"/>
  <c r="A858" i="9" s="1"/>
  <c r="A859" i="9" s="1"/>
  <c r="A860" i="9" s="1"/>
  <c r="A861" i="9" s="1"/>
  <c r="A862" i="9" s="1"/>
  <c r="A863" i="9" s="1"/>
  <c r="A864" i="9" s="1"/>
  <c r="A865" i="9" s="1"/>
  <c r="A866" i="9" s="1"/>
  <c r="A867" i="9" s="1"/>
  <c r="A868" i="9" s="1"/>
  <c r="A869" i="9" s="1"/>
  <c r="A870" i="9" s="1"/>
  <c r="A871" i="9" s="1"/>
  <c r="A872" i="9" s="1"/>
  <c r="A873" i="9" s="1"/>
  <c r="A874" i="9" s="1"/>
  <c r="A875" i="9" s="1"/>
  <c r="A876" i="9" s="1"/>
  <c r="A877" i="9" s="1"/>
  <c r="A878" i="9" s="1"/>
  <c r="A879" i="9" s="1"/>
  <c r="A880" i="9" s="1"/>
  <c r="A881" i="9" s="1"/>
  <c r="A882" i="9" s="1"/>
  <c r="A883" i="9" s="1"/>
  <c r="A884" i="9" s="1"/>
  <c r="A885" i="9" s="1"/>
  <c r="A886" i="9" s="1"/>
  <c r="A887" i="9" s="1"/>
  <c r="A888" i="9" s="1"/>
  <c r="A889" i="9" s="1"/>
  <c r="A890" i="9" s="1"/>
  <c r="A891" i="9" s="1"/>
  <c r="A892" i="9" s="1"/>
  <c r="A893" i="9" s="1"/>
  <c r="A894" i="9" s="1"/>
  <c r="A895" i="9" s="1"/>
  <c r="A896" i="9" s="1"/>
  <c r="A897" i="9" s="1"/>
  <c r="A898" i="9" s="1"/>
  <c r="A899" i="9" s="1"/>
  <c r="A900" i="9" s="1"/>
  <c r="A901" i="9" s="1"/>
  <c r="A902" i="9" s="1"/>
  <c r="A903" i="9" s="1"/>
  <c r="A904" i="9" s="1"/>
  <c r="A905" i="9" s="1"/>
  <c r="A906" i="9" s="1"/>
  <c r="A907" i="9" s="1"/>
  <c r="A908" i="9" s="1"/>
  <c r="A909" i="9" s="1"/>
  <c r="A910" i="9" s="1"/>
  <c r="A911" i="9" s="1"/>
  <c r="A912" i="9" s="1"/>
  <c r="A913" i="9" s="1"/>
  <c r="A914" i="9" s="1"/>
  <c r="A915" i="9" s="1"/>
  <c r="A916" i="9" s="1"/>
  <c r="A917" i="9" s="1"/>
  <c r="A918" i="9" s="1"/>
  <c r="A919" i="9" s="1"/>
  <c r="A920" i="9" s="1"/>
  <c r="A921" i="9" s="1"/>
  <c r="A922" i="9" s="1"/>
  <c r="A923" i="9" s="1"/>
  <c r="A924" i="9" s="1"/>
  <c r="A925" i="9" s="1"/>
  <c r="A926" i="9" s="1"/>
  <c r="A927" i="9" s="1"/>
  <c r="A928" i="9" s="1"/>
  <c r="A929" i="9" s="1"/>
  <c r="A930" i="9" s="1"/>
  <c r="A931" i="9" s="1"/>
  <c r="A932" i="9" s="1"/>
  <c r="A933" i="9" s="1"/>
  <c r="A934" i="9" s="1"/>
  <c r="A935" i="9" s="1"/>
  <c r="A936" i="9" s="1"/>
  <c r="A937" i="9" s="1"/>
  <c r="A938" i="9" s="1"/>
  <c r="A939" i="9" s="1"/>
  <c r="A940" i="9" s="1"/>
  <c r="A941" i="9" s="1"/>
  <c r="A942" i="9" s="1"/>
  <c r="A943" i="9" s="1"/>
  <c r="A944" i="9" s="1"/>
  <c r="A945" i="9" s="1"/>
  <c r="A946" i="9" s="1"/>
  <c r="A947" i="9" s="1"/>
  <c r="A948" i="9" s="1"/>
  <c r="A949" i="9" s="1"/>
  <c r="A950" i="9" s="1"/>
  <c r="A951" i="9" s="1"/>
  <c r="A952" i="9" s="1"/>
  <c r="A953" i="9" s="1"/>
  <c r="A954" i="9" s="1"/>
  <c r="A955" i="9" s="1"/>
  <c r="A956" i="9" s="1"/>
  <c r="A957" i="9" s="1"/>
  <c r="A958" i="9" s="1"/>
  <c r="A959" i="9" s="1"/>
  <c r="A960" i="9" s="1"/>
  <c r="A961" i="9" s="1"/>
  <c r="A962" i="9" s="1"/>
  <c r="A963" i="9" s="1"/>
  <c r="A964" i="9" s="1"/>
  <c r="A965" i="9" s="1"/>
  <c r="A966" i="9" s="1"/>
  <c r="A967" i="9" s="1"/>
  <c r="A968" i="9" s="1"/>
  <c r="A969" i="9" s="1"/>
  <c r="A970" i="9" s="1"/>
  <c r="A971" i="9" s="1"/>
  <c r="A972" i="9" s="1"/>
  <c r="A973" i="9" s="1"/>
  <c r="A974" i="9" s="1"/>
  <c r="A975" i="9" s="1"/>
  <c r="A976" i="9" s="1"/>
  <c r="A977" i="9" s="1"/>
  <c r="A978" i="9" s="1"/>
  <c r="A979" i="9" s="1"/>
  <c r="A980" i="9" s="1"/>
  <c r="A981" i="9" s="1"/>
  <c r="A982" i="9" s="1"/>
  <c r="A983" i="9" s="1"/>
  <c r="A984" i="9" s="1"/>
  <c r="A985" i="9" s="1"/>
  <c r="A986" i="9" s="1"/>
  <c r="A987" i="9" s="1"/>
  <c r="A988" i="9" s="1"/>
  <c r="A989" i="9" s="1"/>
  <c r="A990" i="9" s="1"/>
  <c r="A991" i="9" s="1"/>
  <c r="A992" i="9" s="1"/>
  <c r="A993" i="9" s="1"/>
  <c r="A994" i="9" s="1"/>
  <c r="A995" i="9" s="1"/>
  <c r="A996" i="9" s="1"/>
  <c r="A997" i="9" s="1"/>
  <c r="A998" i="9" s="1"/>
  <c r="A999" i="9" s="1"/>
  <c r="A1000" i="9" s="1"/>
  <c r="A1001" i="9" s="1"/>
  <c r="A1002" i="9" s="1"/>
  <c r="A1003" i="9" s="1"/>
  <c r="A1004" i="9" s="1"/>
  <c r="A1005" i="9" s="1"/>
  <c r="A1006" i="9" s="1"/>
  <c r="A1007" i="9" s="1"/>
  <c r="A1008" i="9" s="1"/>
  <c r="A1009" i="9" s="1"/>
  <c r="A1010" i="9" s="1"/>
  <c r="A1011" i="9" s="1"/>
  <c r="A1012" i="9" s="1"/>
  <c r="A1013" i="9" s="1"/>
  <c r="A1014" i="9" s="1"/>
  <c r="A1015" i="9" s="1"/>
  <c r="A1016" i="9" s="1"/>
  <c r="A1017" i="9" s="1"/>
  <c r="A1018" i="9" s="1"/>
  <c r="A1019" i="9" s="1"/>
  <c r="A1020" i="9" s="1"/>
  <c r="A1021" i="9" s="1"/>
  <c r="A1022" i="9" s="1"/>
  <c r="A1023" i="9" s="1"/>
  <c r="A1024" i="9" s="1"/>
  <c r="A1025" i="9" s="1"/>
  <c r="A1026" i="9" s="1"/>
  <c r="A1027" i="9" s="1"/>
  <c r="A1028" i="9" s="1"/>
  <c r="A1029" i="9" s="1"/>
  <c r="A1030" i="9" s="1"/>
  <c r="A1031" i="9" s="1"/>
  <c r="A1032" i="9" s="1"/>
  <c r="A1033" i="9" s="1"/>
  <c r="A1034" i="9" s="1"/>
  <c r="A1035" i="9" s="1"/>
  <c r="A1036" i="9" s="1"/>
  <c r="A1037" i="9" s="1"/>
  <c r="A1038" i="9" s="1"/>
  <c r="A1039" i="9" s="1"/>
  <c r="A1040" i="9" s="1"/>
  <c r="A1041" i="9" s="1"/>
  <c r="A1042" i="9" s="1"/>
  <c r="A1043" i="9" s="1"/>
  <c r="A1044" i="9" s="1"/>
  <c r="A1045" i="9" s="1"/>
  <c r="A1046" i="9" s="1"/>
  <c r="A1047" i="9" s="1"/>
  <c r="A1048" i="9" s="1"/>
  <c r="A1049" i="9" s="1"/>
  <c r="A1050" i="9" s="1"/>
  <c r="A1051" i="9" s="1"/>
  <c r="A1052" i="9" s="1"/>
  <c r="A1053" i="9" s="1"/>
  <c r="A1054" i="9" s="1"/>
  <c r="A1055" i="9" s="1"/>
  <c r="A1056" i="9" s="1"/>
  <c r="A1057" i="9" s="1"/>
  <c r="A1058" i="9" s="1"/>
  <c r="A1059" i="9" s="1"/>
  <c r="A1060" i="9" s="1"/>
  <c r="A1061" i="9" s="1"/>
  <c r="A1062" i="9" s="1"/>
  <c r="A1063" i="9" s="1"/>
  <c r="A1064" i="9" s="1"/>
  <c r="A1065" i="9" s="1"/>
  <c r="A1066" i="9" s="1"/>
  <c r="A1067" i="9" s="1"/>
  <c r="A1068" i="9" s="1"/>
  <c r="A1069" i="9" s="1"/>
  <c r="A1070" i="9" s="1"/>
  <c r="A1071" i="9" s="1"/>
  <c r="A1072" i="9" s="1"/>
  <c r="A1073" i="9" s="1"/>
  <c r="A1074" i="9" s="1"/>
  <c r="A1075" i="9" s="1"/>
  <c r="A1076" i="9" s="1"/>
  <c r="A1077" i="9" s="1"/>
  <c r="A1078" i="9" s="1"/>
  <c r="A1079" i="9" s="1"/>
  <c r="A1080" i="9" s="1"/>
  <c r="A1081" i="9" s="1"/>
  <c r="A1082" i="9" s="1"/>
  <c r="A1083" i="9" s="1"/>
  <c r="A1084" i="9" s="1"/>
  <c r="A1085" i="9" s="1"/>
  <c r="A1086" i="9" s="1"/>
  <c r="A1087" i="9" s="1"/>
  <c r="A1088" i="9" s="1"/>
  <c r="A1089" i="9" s="1"/>
  <c r="A1090" i="9" s="1"/>
  <c r="A1091" i="9" s="1"/>
  <c r="A1092" i="9" s="1"/>
  <c r="A1093" i="9" s="1"/>
  <c r="A1094" i="9" s="1"/>
  <c r="A1095" i="9" s="1"/>
  <c r="A1096" i="9" s="1"/>
  <c r="A1097" i="9" s="1"/>
  <c r="A1098" i="9" s="1"/>
  <c r="A1099" i="9" s="1"/>
  <c r="A1100" i="9" s="1"/>
  <c r="A1101" i="9" s="1"/>
  <c r="A1102" i="9" s="1"/>
  <c r="A1103" i="9" s="1"/>
  <c r="A1104" i="9" s="1"/>
  <c r="A1105" i="9" s="1"/>
  <c r="A1106" i="9" s="1"/>
  <c r="A1107" i="9" s="1"/>
  <c r="A1108" i="9" s="1"/>
  <c r="A1109" i="9" s="1"/>
  <c r="A1110" i="9" s="1"/>
  <c r="A1111" i="9" s="1"/>
  <c r="A1112" i="9" s="1"/>
  <c r="A1113" i="9" s="1"/>
  <c r="A1114" i="9" s="1"/>
  <c r="A1115" i="9" s="1"/>
  <c r="A1116" i="9" s="1"/>
  <c r="A1117" i="9" s="1"/>
  <c r="A1118" i="9" s="1"/>
  <c r="A1119" i="9" s="1"/>
  <c r="A1120" i="9" s="1"/>
  <c r="A1121" i="9" s="1"/>
  <c r="A1122" i="9" s="1"/>
  <c r="A1123" i="9" s="1"/>
  <c r="A1124" i="9" s="1"/>
  <c r="A1125" i="9" s="1"/>
  <c r="A1126" i="9" s="1"/>
  <c r="A1127" i="9" s="1"/>
  <c r="A1128" i="9" s="1"/>
  <c r="A1129" i="9" s="1"/>
  <c r="A1130" i="9" s="1"/>
  <c r="A1131" i="9" s="1"/>
  <c r="A1132" i="9" s="1"/>
  <c r="A1133" i="9" s="1"/>
  <c r="A1134" i="9" s="1"/>
  <c r="A1135" i="9" s="1"/>
  <c r="A1136" i="9" s="1"/>
  <c r="A1137" i="9" s="1"/>
  <c r="A1138" i="9" s="1"/>
  <c r="A1139" i="9" s="1"/>
  <c r="A1140" i="9" s="1"/>
  <c r="A1141" i="9" s="1"/>
  <c r="A1142" i="9" s="1"/>
  <c r="A1143" i="9" s="1"/>
  <c r="A1144" i="9" s="1"/>
  <c r="A1145" i="9" s="1"/>
  <c r="A1146" i="9" s="1"/>
  <c r="A1147" i="9" s="1"/>
  <c r="A1148" i="9" s="1"/>
  <c r="A1149" i="9" s="1"/>
  <c r="A1150" i="9" s="1"/>
  <c r="A1151" i="9" s="1"/>
  <c r="A1152" i="9" s="1"/>
  <c r="A1153" i="9" s="1"/>
  <c r="A1154" i="9" s="1"/>
  <c r="A1155" i="9" s="1"/>
  <c r="A1156" i="9" s="1"/>
  <c r="A1157" i="9" s="1"/>
  <c r="A1158" i="9" s="1"/>
  <c r="A1159" i="9" s="1"/>
  <c r="A1160" i="9" s="1"/>
  <c r="A1161" i="9" s="1"/>
  <c r="A1162" i="9" s="1"/>
  <c r="A1163" i="9" s="1"/>
  <c r="A1164" i="9" s="1"/>
  <c r="A1165" i="9" s="1"/>
  <c r="A1166" i="9" s="1"/>
  <c r="A1167" i="9" s="1"/>
  <c r="A1168" i="9" s="1"/>
  <c r="A1169" i="9" s="1"/>
  <c r="A1170" i="9" s="1"/>
  <c r="A1171" i="9" s="1"/>
  <c r="A1172" i="9" s="1"/>
  <c r="A1173" i="9" s="1"/>
  <c r="A1174" i="9" s="1"/>
  <c r="A1175" i="9" s="1"/>
  <c r="A1176" i="9" s="1"/>
  <c r="A1177" i="9" s="1"/>
  <c r="A1178" i="9" s="1"/>
  <c r="A1179" i="9" s="1"/>
  <c r="A1180" i="9" s="1"/>
  <c r="A1181" i="9" s="1"/>
  <c r="A1182" i="9" s="1"/>
  <c r="A1183" i="9" s="1"/>
  <c r="A1184" i="9" s="1"/>
  <c r="A1185" i="9" s="1"/>
  <c r="A1186" i="9" s="1"/>
  <c r="A1187" i="9" s="1"/>
  <c r="A1188" i="9" s="1"/>
  <c r="A1189" i="9" s="1"/>
  <c r="A1190" i="9" s="1"/>
  <c r="A1191" i="9" s="1"/>
  <c r="A1192" i="9" s="1"/>
  <c r="A1193" i="9" s="1"/>
  <c r="A1194" i="9" s="1"/>
  <c r="A1195" i="9" s="1"/>
  <c r="A1196" i="9" s="1"/>
  <c r="A1197" i="9" s="1"/>
  <c r="A1198" i="9" s="1"/>
  <c r="A1199" i="9" s="1"/>
  <c r="A1200" i="9" s="1"/>
  <c r="A1201" i="9" s="1"/>
  <c r="A1202" i="9" s="1"/>
  <c r="A1203" i="9" s="1"/>
  <c r="A1204" i="9" s="1"/>
  <c r="A1205" i="9" s="1"/>
  <c r="A1206" i="9" s="1"/>
  <c r="A1207" i="9" s="1"/>
  <c r="A1208" i="9" s="1"/>
  <c r="A1209" i="9" s="1"/>
  <c r="A1210" i="9" s="1"/>
  <c r="A1211" i="9" s="1"/>
  <c r="A1212" i="9" s="1"/>
  <c r="A1213" i="9" s="1"/>
  <c r="A1214" i="9" s="1"/>
  <c r="A1215" i="9" s="1"/>
  <c r="A1216" i="9" s="1"/>
  <c r="A1217" i="9" s="1"/>
  <c r="A1218" i="9" s="1"/>
  <c r="A1219" i="9" s="1"/>
  <c r="A1220" i="9" s="1"/>
  <c r="A1221" i="9" s="1"/>
  <c r="A1222" i="9" s="1"/>
  <c r="A1223" i="9" s="1"/>
  <c r="A1224" i="9" s="1"/>
  <c r="A1225" i="9" s="1"/>
  <c r="A1226" i="9" s="1"/>
  <c r="A1227" i="9" s="1"/>
  <c r="A1228" i="9" s="1"/>
  <c r="A1229" i="9" s="1"/>
  <c r="A1230" i="9" s="1"/>
  <c r="A1231" i="9" s="1"/>
  <c r="A1232" i="9" s="1"/>
  <c r="A1233" i="9" s="1"/>
  <c r="A1234" i="9" s="1"/>
  <c r="A1235" i="9" s="1"/>
  <c r="A1236" i="9" s="1"/>
  <c r="A1237" i="9" s="1"/>
  <c r="A1238" i="9" s="1"/>
  <c r="A1239" i="9" s="1"/>
  <c r="A1240" i="9" s="1"/>
  <c r="A1241" i="9" s="1"/>
  <c r="A1242" i="9" s="1"/>
  <c r="A1243" i="9" s="1"/>
  <c r="A1244" i="9" s="1"/>
  <c r="A1245" i="9" s="1"/>
  <c r="A1246" i="9" s="1"/>
  <c r="A1247" i="9" s="1"/>
  <c r="A1248" i="9" s="1"/>
  <c r="A1249" i="9" s="1"/>
  <c r="A1250" i="9" s="1"/>
  <c r="A1251" i="9" s="1"/>
  <c r="A1252" i="9" s="1"/>
  <c r="A1253" i="9" s="1"/>
  <c r="A1254" i="9" s="1"/>
  <c r="A1255" i="9" s="1"/>
  <c r="A1256" i="9" s="1"/>
  <c r="A1257" i="9" s="1"/>
  <c r="A1258" i="9" s="1"/>
  <c r="A1259" i="9" s="1"/>
  <c r="A1260" i="9" s="1"/>
  <c r="A1261" i="9" s="1"/>
  <c r="A1262" i="9" s="1"/>
  <c r="A1263" i="9" s="1"/>
  <c r="A1264" i="9" s="1"/>
  <c r="A1265" i="9" s="1"/>
  <c r="A1266" i="9" s="1"/>
  <c r="A1267" i="9" s="1"/>
  <c r="A1268" i="9" s="1"/>
  <c r="A1269" i="9" s="1"/>
  <c r="A1270" i="9" s="1"/>
  <c r="A1271" i="9" s="1"/>
  <c r="A1272" i="9" s="1"/>
  <c r="A1273" i="9" s="1"/>
  <c r="A1274" i="9" s="1"/>
  <c r="A1275" i="9" s="1"/>
  <c r="A1276" i="9" s="1"/>
  <c r="A1277" i="9" s="1"/>
  <c r="A1278" i="9" s="1"/>
  <c r="A1279" i="9" s="1"/>
  <c r="A1280" i="9" s="1"/>
  <c r="A1281" i="9" s="1"/>
  <c r="A1282" i="9" s="1"/>
  <c r="A1283" i="9" s="1"/>
  <c r="A1284" i="9" s="1"/>
  <c r="A1285" i="9" s="1"/>
  <c r="A1286" i="9" s="1"/>
  <c r="A1287" i="9" s="1"/>
  <c r="A1288" i="9" s="1"/>
  <c r="A1289" i="9" s="1"/>
  <c r="A1290" i="9" s="1"/>
  <c r="A1291" i="9" s="1"/>
  <c r="A1292" i="9" s="1"/>
  <c r="A1293" i="9" s="1"/>
  <c r="A1294" i="9" s="1"/>
  <c r="A1295" i="9" s="1"/>
  <c r="A1296" i="9" s="1"/>
  <c r="A1297" i="9" s="1"/>
  <c r="A1298" i="9" s="1"/>
  <c r="A1299" i="9" s="1"/>
  <c r="A1300" i="9" s="1"/>
  <c r="A1301" i="9" s="1"/>
  <c r="A1302" i="9" s="1"/>
  <c r="A1303" i="9" s="1"/>
  <c r="A1304" i="9" s="1"/>
  <c r="A1305" i="9" s="1"/>
  <c r="A1306" i="9" s="1"/>
  <c r="A1307" i="9" s="1"/>
  <c r="A1308" i="9" s="1"/>
  <c r="A1309" i="9" s="1"/>
  <c r="A1310" i="9" s="1"/>
  <c r="A1311" i="9" s="1"/>
  <c r="A1312" i="9" s="1"/>
  <c r="A1313" i="9" s="1"/>
  <c r="A1314" i="9" s="1"/>
  <c r="A1315" i="9" s="1"/>
  <c r="A1316" i="9" s="1"/>
  <c r="A1317" i="9" s="1"/>
  <c r="A1318" i="9" s="1"/>
  <c r="A1319" i="9" s="1"/>
  <c r="A1320" i="9" s="1"/>
  <c r="A1321" i="9" s="1"/>
  <c r="A1322" i="9" s="1"/>
  <c r="A1323" i="9" s="1"/>
  <c r="A1324" i="9" s="1"/>
  <c r="A1325" i="9" s="1"/>
  <c r="A1326" i="9" s="1"/>
  <c r="A1327" i="9" s="1"/>
  <c r="A1328" i="9" s="1"/>
  <c r="A1329" i="9" s="1"/>
  <c r="A1330" i="9" s="1"/>
  <c r="A1331" i="9" s="1"/>
  <c r="A1332" i="9" s="1"/>
  <c r="A1333" i="9" s="1"/>
  <c r="A1334" i="9" s="1"/>
  <c r="A1335" i="9" s="1"/>
  <c r="A1336" i="9" s="1"/>
  <c r="A1337" i="9" s="1"/>
  <c r="A1338" i="9" s="1"/>
  <c r="A1339" i="9" s="1"/>
  <c r="A1340" i="9" s="1"/>
  <c r="A1341" i="9" s="1"/>
  <c r="A1342" i="9" s="1"/>
  <c r="A1343" i="9" s="1"/>
  <c r="A1344" i="9" s="1"/>
  <c r="A1345" i="9" s="1"/>
  <c r="A1346" i="9" s="1"/>
  <c r="A1347" i="9" s="1"/>
  <c r="A1348" i="9" s="1"/>
  <c r="A1349" i="9" s="1"/>
  <c r="A1350" i="9" s="1"/>
  <c r="A1351" i="9" s="1"/>
  <c r="A1352" i="9" s="1"/>
  <c r="A1353" i="9" s="1"/>
  <c r="A1354" i="9" s="1"/>
  <c r="A1355" i="9" s="1"/>
  <c r="A1356" i="9" s="1"/>
  <c r="A1357" i="9" s="1"/>
  <c r="A1358" i="9" s="1"/>
  <c r="A1359" i="9" s="1"/>
  <c r="A1360" i="9" s="1"/>
  <c r="A1361" i="9" s="1"/>
  <c r="A1362" i="9" s="1"/>
  <c r="A1363" i="9" s="1"/>
  <c r="A1364" i="9" s="1"/>
  <c r="A1365" i="9" s="1"/>
  <c r="A1366" i="9" s="1"/>
  <c r="A1367" i="9" s="1"/>
  <c r="A1368" i="9" s="1"/>
  <c r="A1369" i="9" s="1"/>
  <c r="A1370" i="9" s="1"/>
  <c r="A1371" i="9" s="1"/>
  <c r="A1372" i="9" s="1"/>
  <c r="A1373" i="9" s="1"/>
  <c r="A1374" i="9" s="1"/>
  <c r="A1375" i="9" s="1"/>
  <c r="A1376" i="9" s="1"/>
  <c r="A1377" i="9" s="1"/>
  <c r="A1378" i="9" s="1"/>
  <c r="A1379" i="9" s="1"/>
  <c r="A1380" i="9" s="1"/>
  <c r="A1381" i="9" s="1"/>
  <c r="A1382" i="9" s="1"/>
  <c r="A1383" i="9" s="1"/>
  <c r="A1384" i="9" s="1"/>
  <c r="A1385" i="9" s="1"/>
  <c r="A1386" i="9" s="1"/>
  <c r="A1387" i="9" s="1"/>
  <c r="A1388" i="9" s="1"/>
  <c r="A1389" i="9" s="1"/>
  <c r="A1390" i="9" s="1"/>
  <c r="A1391" i="9" s="1"/>
  <c r="A1392" i="9" s="1"/>
  <c r="A1393" i="9" s="1"/>
  <c r="A1394" i="9" s="1"/>
  <c r="A1395" i="9" s="1"/>
  <c r="A1396" i="9" s="1"/>
  <c r="A1397" i="9" s="1"/>
  <c r="A1398" i="9" s="1"/>
  <c r="A1399" i="9" s="1"/>
  <c r="A1400" i="9" s="1"/>
  <c r="A1401" i="9" s="1"/>
  <c r="A1402" i="9" s="1"/>
  <c r="A1403" i="9" s="1"/>
  <c r="A1404" i="9" s="1"/>
  <c r="A1405" i="9" s="1"/>
  <c r="A1406" i="9" s="1"/>
  <c r="A1407" i="9" s="1"/>
  <c r="A1408" i="9" s="1"/>
  <c r="A1409" i="9" s="1"/>
  <c r="A1410" i="9" s="1"/>
  <c r="A1411" i="9" s="1"/>
  <c r="A1412" i="9" s="1"/>
  <c r="A1413" i="9" s="1"/>
  <c r="A1414" i="9" s="1"/>
  <c r="A1415" i="9" s="1"/>
  <c r="A1416" i="9" s="1"/>
  <c r="A1417" i="9" s="1"/>
  <c r="A1418" i="9" s="1"/>
  <c r="A1419" i="9" s="1"/>
  <c r="A1420" i="9" s="1"/>
  <c r="A1421" i="9" s="1"/>
  <c r="A1422" i="9" s="1"/>
  <c r="A1423" i="9" s="1"/>
  <c r="A1424" i="9" s="1"/>
  <c r="A1425" i="9" s="1"/>
  <c r="A1426" i="9" s="1"/>
  <c r="A1427" i="9" s="1"/>
  <c r="A1428" i="9" s="1"/>
  <c r="A1429" i="9" s="1"/>
  <c r="A1430" i="9" s="1"/>
  <c r="A1431" i="9" s="1"/>
  <c r="A1432" i="9" s="1"/>
  <c r="A1433" i="9" s="1"/>
  <c r="A1434" i="9" s="1"/>
  <c r="A1435" i="9" s="1"/>
  <c r="A1436" i="9" s="1"/>
  <c r="A1437" i="9" s="1"/>
  <c r="A1438" i="9" s="1"/>
  <c r="A1439" i="9" s="1"/>
  <c r="A1440" i="9" s="1"/>
  <c r="A1441" i="9" s="1"/>
  <c r="A1442" i="9" s="1"/>
  <c r="A1443" i="9" s="1"/>
  <c r="A1444" i="9" s="1"/>
  <c r="A1445" i="9" s="1"/>
  <c r="A1446" i="9" s="1"/>
  <c r="A1447" i="9" s="1"/>
  <c r="A1448" i="9" s="1"/>
  <c r="A1449" i="9" s="1"/>
  <c r="A1450" i="9" s="1"/>
  <c r="A1451" i="9" s="1"/>
  <c r="A1452" i="9" s="1"/>
  <c r="A1453" i="9" s="1"/>
  <c r="A1454" i="9" s="1"/>
  <c r="A1455" i="9" s="1"/>
  <c r="A1456" i="9" s="1"/>
  <c r="A1457" i="9" s="1"/>
  <c r="A1458" i="9" s="1"/>
  <c r="A1459" i="9" s="1"/>
  <c r="A1460" i="9" s="1"/>
  <c r="A1461" i="9" s="1"/>
  <c r="A1462" i="9" s="1"/>
  <c r="A1463" i="9" s="1"/>
  <c r="A1464" i="9" s="1"/>
  <c r="A1465" i="9" s="1"/>
  <c r="A1466" i="9" s="1"/>
  <c r="A1467" i="9" s="1"/>
  <c r="A1468" i="9" s="1"/>
  <c r="A1469" i="9" s="1"/>
  <c r="A1470" i="9" s="1"/>
  <c r="A1471" i="9" s="1"/>
  <c r="A1472" i="9" s="1"/>
  <c r="A1473" i="9" s="1"/>
  <c r="A1474" i="9" s="1"/>
  <c r="A1475" i="9" s="1"/>
  <c r="A1476" i="9" s="1"/>
  <c r="A1477" i="9" s="1"/>
  <c r="A1478" i="9" s="1"/>
  <c r="A1479" i="9" s="1"/>
  <c r="A1480" i="9" s="1"/>
  <c r="A1481" i="9" s="1"/>
  <c r="A1482" i="9" s="1"/>
  <c r="A1483" i="9" s="1"/>
  <c r="A1484" i="9" s="1"/>
  <c r="A1485" i="9" s="1"/>
  <c r="A1486" i="9" s="1"/>
  <c r="A1487" i="9" s="1"/>
  <c r="A1488" i="9" s="1"/>
  <c r="A1489" i="9" s="1"/>
  <c r="A1490" i="9" s="1"/>
  <c r="A1491" i="9" s="1"/>
  <c r="A1492" i="9" s="1"/>
  <c r="A1493" i="9" s="1"/>
  <c r="A1494" i="9" s="1"/>
  <c r="A1495" i="9" s="1"/>
  <c r="A1496" i="9" s="1"/>
  <c r="A1497" i="9" s="1"/>
  <c r="A1498" i="9" s="1"/>
  <c r="A1499" i="9" s="1"/>
  <c r="A1500" i="9" s="1"/>
  <c r="A1501" i="9" s="1"/>
  <c r="A1502" i="9" s="1"/>
  <c r="A1503" i="9" s="1"/>
  <c r="A1504" i="9" s="1"/>
  <c r="A1505" i="9" s="1"/>
  <c r="A1506" i="9" s="1"/>
  <c r="A1507" i="9" s="1"/>
  <c r="A1508" i="9" s="1"/>
  <c r="A1509" i="9" s="1"/>
  <c r="A1510" i="9" s="1"/>
  <c r="A1511" i="9" s="1"/>
  <c r="A1512" i="9" s="1"/>
  <c r="A1513" i="9" s="1"/>
  <c r="A1514" i="9" s="1"/>
  <c r="A1515" i="9" s="1"/>
  <c r="A1516" i="9" s="1"/>
  <c r="A1517" i="9" s="1"/>
  <c r="A1518" i="9" s="1"/>
  <c r="A1519" i="9" s="1"/>
  <c r="A1520" i="9" s="1"/>
  <c r="A1521" i="9" s="1"/>
  <c r="A1522" i="9" s="1"/>
  <c r="A1523" i="9" s="1"/>
  <c r="A1524" i="9" s="1"/>
  <c r="A1525" i="9" s="1"/>
  <c r="A1526" i="9" s="1"/>
  <c r="A1527" i="9" s="1"/>
  <c r="A1528" i="9" s="1"/>
  <c r="A1529" i="9" s="1"/>
  <c r="A1530" i="9" s="1"/>
  <c r="A1531" i="9" s="1"/>
  <c r="A1532" i="9" s="1"/>
  <c r="A1533" i="9" s="1"/>
  <c r="A1534" i="9" s="1"/>
  <c r="A1535" i="9" s="1"/>
  <c r="A1536" i="9" s="1"/>
  <c r="A1537" i="9" s="1"/>
  <c r="A1538" i="9" s="1"/>
  <c r="A1539" i="9" s="1"/>
  <c r="A1540" i="9" s="1"/>
  <c r="A1541" i="9" s="1"/>
  <c r="A1542" i="9" s="1"/>
  <c r="A1543" i="9" s="1"/>
  <c r="A1544" i="9" s="1"/>
  <c r="A1545" i="9" s="1"/>
  <c r="A1546" i="9" s="1"/>
  <c r="A1547" i="9" s="1"/>
  <c r="A1548" i="9" s="1"/>
  <c r="A1549" i="9" s="1"/>
  <c r="A1550" i="9" s="1"/>
  <c r="A1551" i="9" s="1"/>
  <c r="A1552" i="9" s="1"/>
  <c r="A1553" i="9" s="1"/>
  <c r="A1554" i="9" s="1"/>
  <c r="A1555" i="9" s="1"/>
  <c r="A1556" i="9" s="1"/>
  <c r="A1557" i="9" s="1"/>
  <c r="A1558" i="9" s="1"/>
  <c r="A1559" i="9" s="1"/>
  <c r="A1560" i="9" s="1"/>
  <c r="A1561" i="9" s="1"/>
  <c r="A1562" i="9" s="1"/>
  <c r="A1563" i="9" s="1"/>
  <c r="A1564" i="9" s="1"/>
  <c r="A1565" i="9" s="1"/>
  <c r="A1566" i="9" s="1"/>
  <c r="A1567" i="9" s="1"/>
  <c r="A1568" i="9" s="1"/>
  <c r="A1569" i="9" s="1"/>
  <c r="A1570" i="9" s="1"/>
  <c r="A1571" i="9" s="1"/>
  <c r="A1572" i="9" s="1"/>
  <c r="A1573" i="9" s="1"/>
  <c r="A1574" i="9" s="1"/>
  <c r="A1575" i="9" s="1"/>
  <c r="A1576" i="9" s="1"/>
  <c r="A1577" i="9" s="1"/>
  <c r="A1578" i="9" s="1"/>
  <c r="A1579" i="9" s="1"/>
  <c r="A1580" i="9" s="1"/>
  <c r="A1581" i="9" s="1"/>
  <c r="A1582" i="9" s="1"/>
  <c r="A1583" i="9" s="1"/>
  <c r="A1584" i="9" s="1"/>
  <c r="A1585" i="9" s="1"/>
  <c r="A1586" i="9" s="1"/>
  <c r="A1587" i="9" s="1"/>
  <c r="A1588" i="9" s="1"/>
  <c r="A1589" i="9" s="1"/>
  <c r="A1590" i="9" s="1"/>
  <c r="A1591" i="9" s="1"/>
  <c r="A1592" i="9" s="1"/>
  <c r="A1593" i="9" s="1"/>
  <c r="A1594" i="9" s="1"/>
  <c r="A1595" i="9" s="1"/>
  <c r="A1596" i="9" s="1"/>
  <c r="A1597" i="9" s="1"/>
  <c r="A1598" i="9" s="1"/>
  <c r="A1599" i="9" s="1"/>
  <c r="A1600" i="9" s="1"/>
  <c r="A1601" i="9" s="1"/>
  <c r="A1602" i="9" s="1"/>
  <c r="A1603" i="9" s="1"/>
  <c r="A1604" i="9" s="1"/>
  <c r="A1605" i="9" s="1"/>
  <c r="A1606" i="9" s="1"/>
  <c r="A1607" i="9" s="1"/>
  <c r="A1608" i="9" s="1"/>
  <c r="A1609" i="9" s="1"/>
  <c r="A1610" i="9" s="1"/>
  <c r="A1611" i="9" s="1"/>
  <c r="A1612" i="9" s="1"/>
  <c r="A1613" i="9" s="1"/>
  <c r="A1614" i="9" s="1"/>
  <c r="A1615" i="9" s="1"/>
  <c r="A1616" i="9" s="1"/>
  <c r="A1617" i="9" s="1"/>
  <c r="A1618" i="9" s="1"/>
  <c r="A1619" i="9" s="1"/>
  <c r="A1620" i="9" s="1"/>
  <c r="A1621" i="9" s="1"/>
  <c r="A1622" i="9" s="1"/>
  <c r="A1623" i="9" s="1"/>
  <c r="A1624" i="9" s="1"/>
  <c r="A1625" i="9" s="1"/>
  <c r="A1626" i="9" s="1"/>
  <c r="A1627" i="9" s="1"/>
  <c r="A1628" i="9" s="1"/>
  <c r="A1629" i="9" s="1"/>
  <c r="A1630" i="9" s="1"/>
  <c r="A1631" i="9" s="1"/>
  <c r="A1632" i="9" s="1"/>
  <c r="A1633" i="9" s="1"/>
  <c r="A1634" i="9" s="1"/>
  <c r="A1635" i="9" s="1"/>
  <c r="A1636" i="9" s="1"/>
  <c r="A1637" i="9" s="1"/>
  <c r="A1638" i="9" s="1"/>
  <c r="A1639" i="9" s="1"/>
  <c r="A1640" i="9" s="1"/>
  <c r="A1641" i="9" s="1"/>
  <c r="A1642" i="9" s="1"/>
  <c r="A1643" i="9" s="1"/>
  <c r="A1644" i="9" s="1"/>
  <c r="A1645" i="9" s="1"/>
  <c r="A1646" i="9" s="1"/>
  <c r="A1647" i="9" s="1"/>
  <c r="A1648" i="9" s="1"/>
  <c r="A1649" i="9" s="1"/>
  <c r="A1650" i="9" s="1"/>
  <c r="A1651" i="9" s="1"/>
  <c r="A1652" i="9" s="1"/>
  <c r="A1653" i="9" s="1"/>
  <c r="A1654" i="9" s="1"/>
  <c r="A1655" i="9" s="1"/>
  <c r="A1656" i="9" s="1"/>
  <c r="A1657" i="9" s="1"/>
  <c r="A1658" i="9" s="1"/>
  <c r="A1659" i="9" s="1"/>
  <c r="A1660" i="9" s="1"/>
  <c r="A1661" i="9" s="1"/>
  <c r="A1662" i="9" s="1"/>
  <c r="A1663" i="9" s="1"/>
  <c r="A1664" i="9" s="1"/>
  <c r="A1665" i="9" s="1"/>
  <c r="A1666" i="9" s="1"/>
  <c r="A1667" i="9" s="1"/>
  <c r="A1668" i="9" s="1"/>
  <c r="A1669" i="9" s="1"/>
  <c r="A1670" i="9" s="1"/>
  <c r="A1671" i="9" s="1"/>
  <c r="A1672" i="9" s="1"/>
  <c r="A1673" i="9" s="1"/>
  <c r="A1674" i="9" s="1"/>
  <c r="A1675" i="9" s="1"/>
  <c r="A1676" i="9" s="1"/>
  <c r="A1677" i="9" s="1"/>
  <c r="A1678" i="9" s="1"/>
  <c r="A1679" i="9" s="1"/>
  <c r="A1680" i="9" s="1"/>
  <c r="A1681" i="9" s="1"/>
  <c r="A1682" i="9" s="1"/>
  <c r="A1683" i="9" s="1"/>
  <c r="A1684" i="9" s="1"/>
  <c r="AA6" i="7"/>
  <c r="AB6" i="7" s="1"/>
  <c r="AA7" i="7"/>
  <c r="AB7" i="7" s="1"/>
  <c r="AA8" i="7"/>
  <c r="AB8" i="7" s="1"/>
  <c r="AA9" i="7"/>
  <c r="AB9" i="7" s="1"/>
  <c r="AA10" i="7"/>
  <c r="AB10" i="7" s="1"/>
  <c r="AA11" i="7"/>
  <c r="AB11" i="7" s="1"/>
  <c r="AA12" i="7"/>
  <c r="AB12" i="7" s="1"/>
  <c r="C32" i="2"/>
  <c r="K32" i="2"/>
  <c r="N32" i="2"/>
  <c r="Q32" i="2"/>
  <c r="V32" i="2"/>
  <c r="C33" i="2"/>
  <c r="K33" i="2"/>
  <c r="N33" i="2"/>
  <c r="Q33" i="2"/>
  <c r="V33" i="2"/>
  <c r="C31" i="2"/>
  <c r="K31" i="2"/>
  <c r="N31" i="2"/>
  <c r="Q31" i="2"/>
  <c r="V31" i="2"/>
  <c r="C28" i="1"/>
  <c r="C29" i="1"/>
  <c r="J6" i="7" l="1"/>
  <c r="J7" i="7"/>
  <c r="J8" i="7"/>
  <c r="J9" i="7"/>
  <c r="J10" i="7"/>
  <c r="J11" i="7"/>
  <c r="J12" i="7"/>
  <c r="C6" i="7"/>
  <c r="C7" i="7"/>
  <c r="C8" i="7"/>
  <c r="C9" i="7"/>
  <c r="C10" i="7"/>
  <c r="C11" i="7"/>
  <c r="C12" i="7"/>
  <c r="K8" i="4" l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7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7" i="1"/>
  <c r="N7" i="3"/>
  <c r="N8" i="3"/>
  <c r="K7" i="3"/>
  <c r="K8" i="3"/>
  <c r="H7" i="3"/>
  <c r="H8" i="3"/>
  <c r="D21" i="6" l="1"/>
  <c r="D8" i="6"/>
  <c r="D13" i="6"/>
  <c r="D5" i="6"/>
  <c r="T10" i="4"/>
  <c r="T22" i="4"/>
  <c r="T34" i="4"/>
  <c r="T38" i="4"/>
  <c r="S12" i="4"/>
  <c r="S24" i="4"/>
  <c r="S31" i="4"/>
  <c r="P14" i="4"/>
  <c r="P26" i="4"/>
  <c r="P31" i="4"/>
  <c r="P33" i="4"/>
  <c r="P38" i="4"/>
  <c r="O16" i="4"/>
  <c r="O28" i="4"/>
  <c r="O31" i="4"/>
  <c r="O33" i="4"/>
  <c r="O35" i="4"/>
  <c r="O38" i="4"/>
  <c r="O40" i="4"/>
  <c r="M15" i="4" a="1"/>
  <c r="M15" i="4" s="1"/>
  <c r="M26" i="4" a="1"/>
  <c r="M26" i="4" s="1"/>
  <c r="M31" i="4" a="1"/>
  <c r="M31" i="4" s="1"/>
  <c r="M33" i="4" a="1"/>
  <c r="M33" i="4" s="1"/>
  <c r="M38" i="4" a="1"/>
  <c r="M38" i="4" s="1"/>
  <c r="P28" i="4"/>
  <c r="P29" i="4"/>
  <c r="O30" i="4"/>
  <c r="T31" i="4"/>
  <c r="S33" i="4"/>
  <c r="O34" i="4"/>
  <c r="P35" i="4"/>
  <c r="T36" i="4"/>
  <c r="S38" i="4"/>
  <c r="S39" i="4"/>
  <c r="P40" i="4"/>
  <c r="P41" i="4"/>
  <c r="J38" i="4"/>
  <c r="J39" i="4"/>
  <c r="J40" i="4"/>
  <c r="J41" i="4"/>
  <c r="J33" i="4"/>
  <c r="J34" i="4"/>
  <c r="J35" i="4"/>
  <c r="J36" i="4"/>
  <c r="J28" i="4"/>
  <c r="J29" i="4"/>
  <c r="J30" i="4"/>
  <c r="J31" i="4"/>
  <c r="O23" i="4"/>
  <c r="T24" i="4"/>
  <c r="T25" i="4"/>
  <c r="S26" i="4"/>
  <c r="J23" i="4"/>
  <c r="J24" i="4"/>
  <c r="J25" i="4"/>
  <c r="J26" i="4"/>
  <c r="T13" i="4"/>
  <c r="J13" i="4"/>
  <c r="S14" i="4"/>
  <c r="J14" i="4"/>
  <c r="S15" i="4"/>
  <c r="J15" i="4"/>
  <c r="P16" i="4"/>
  <c r="J16" i="4"/>
  <c r="O18" i="4"/>
  <c r="J18" i="4"/>
  <c r="O19" i="4"/>
  <c r="J19" i="4"/>
  <c r="O20" i="4"/>
  <c r="J20" i="4"/>
  <c r="O21" i="4"/>
  <c r="J21" i="4"/>
  <c r="O8" i="4"/>
  <c r="J8" i="4"/>
  <c r="O9" i="4"/>
  <c r="J9" i="4"/>
  <c r="O10" i="4"/>
  <c r="J10" i="4"/>
  <c r="O11" i="4"/>
  <c r="J11" i="4"/>
  <c r="M7" i="4" a="1"/>
  <c r="M7" i="4" s="1"/>
  <c r="T12" i="4"/>
  <c r="M17" i="4" a="1"/>
  <c r="M17" i="4" s="1"/>
  <c r="O22" i="4"/>
  <c r="S27" i="4"/>
  <c r="O32" i="4"/>
  <c r="T37" i="4"/>
  <c r="J12" i="4"/>
  <c r="J17" i="4"/>
  <c r="J22" i="4"/>
  <c r="J27" i="4"/>
  <c r="J32" i="4"/>
  <c r="J37" i="4"/>
  <c r="C1" i="7"/>
  <c r="D1" i="7" s="1"/>
  <c r="E1" i="7" s="1"/>
  <c r="F1" i="7" s="1"/>
  <c r="G1" i="7" s="1"/>
  <c r="H1" i="7" s="1"/>
  <c r="I1" i="7" s="1"/>
  <c r="J1" i="7" s="1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E8" i="3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M39" i="4" l="1" a="1"/>
  <c r="M39" i="4" s="1"/>
  <c r="M27" i="4" a="1"/>
  <c r="M27" i="4" s="1"/>
  <c r="M16" i="4" a="1"/>
  <c r="M16" i="4" s="1"/>
  <c r="O41" i="4"/>
  <c r="O29" i="4"/>
  <c r="O17" i="4"/>
  <c r="P39" i="4"/>
  <c r="P27" i="4"/>
  <c r="P15" i="4"/>
  <c r="S37" i="4"/>
  <c r="S25" i="4"/>
  <c r="S13" i="4"/>
  <c r="T35" i="4"/>
  <c r="T23" i="4"/>
  <c r="T11" i="4"/>
  <c r="M37" i="4" a="1"/>
  <c r="M37" i="4" s="1"/>
  <c r="M25" i="4" a="1"/>
  <c r="M25" i="4" s="1"/>
  <c r="M14" i="4" a="1"/>
  <c r="M14" i="4" s="1"/>
  <c r="O39" i="4"/>
  <c r="O27" i="4"/>
  <c r="O15" i="4"/>
  <c r="P37" i="4"/>
  <c r="P25" i="4"/>
  <c r="P13" i="4"/>
  <c r="S35" i="4"/>
  <c r="S23" i="4"/>
  <c r="S11" i="4"/>
  <c r="T33" i="4"/>
  <c r="T21" i="4"/>
  <c r="T9" i="4"/>
  <c r="M36" i="4" a="1"/>
  <c r="M36" i="4" s="1"/>
  <c r="M24" i="4" a="1"/>
  <c r="M24" i="4" s="1"/>
  <c r="M13" i="4" a="1"/>
  <c r="M13" i="4" s="1"/>
  <c r="O26" i="4"/>
  <c r="O14" i="4"/>
  <c r="P36" i="4"/>
  <c r="P24" i="4"/>
  <c r="P12" i="4"/>
  <c r="S34" i="4"/>
  <c r="S22" i="4"/>
  <c r="S10" i="4"/>
  <c r="T32" i="4"/>
  <c r="T20" i="4"/>
  <c r="O7" i="4"/>
  <c r="M35" i="4" a="1"/>
  <c r="M35" i="4" s="1"/>
  <c r="M12" i="4" a="1"/>
  <c r="M12" i="4" s="1"/>
  <c r="O37" i="4"/>
  <c r="O25" i="4"/>
  <c r="O13" i="4"/>
  <c r="P23" i="4"/>
  <c r="P11" i="4"/>
  <c r="S21" i="4"/>
  <c r="S9" i="4"/>
  <c r="T19" i="4"/>
  <c r="P7" i="4"/>
  <c r="S36" i="4"/>
  <c r="M34" i="4" a="1"/>
  <c r="M34" i="4" s="1"/>
  <c r="M23" i="4" a="1"/>
  <c r="M23" i="4" s="1"/>
  <c r="O36" i="4"/>
  <c r="O24" i="4"/>
  <c r="O12" i="4"/>
  <c r="P34" i="4"/>
  <c r="P22" i="4"/>
  <c r="P10" i="4"/>
  <c r="S32" i="4"/>
  <c r="S20" i="4"/>
  <c r="T8" i="4"/>
  <c r="T30" i="4"/>
  <c r="T18" i="4"/>
  <c r="S7" i="4"/>
  <c r="M22" i="4" a="1"/>
  <c r="M22" i="4" s="1"/>
  <c r="M11" i="4" a="1"/>
  <c r="M11" i="4" s="1"/>
  <c r="P21" i="4"/>
  <c r="P9" i="4"/>
  <c r="S19" i="4"/>
  <c r="T41" i="4"/>
  <c r="T29" i="4"/>
  <c r="T17" i="4"/>
  <c r="T7" i="4"/>
  <c r="M32" i="4" a="1"/>
  <c r="M32" i="4" s="1"/>
  <c r="M21" i="4" a="1"/>
  <c r="M21" i="4" s="1"/>
  <c r="M10" i="4" a="1"/>
  <c r="M10" i="4" s="1"/>
  <c r="P32" i="4"/>
  <c r="P20" i="4"/>
  <c r="S8" i="4"/>
  <c r="S30" i="4"/>
  <c r="S18" i="4"/>
  <c r="T40" i="4"/>
  <c r="T28" i="4"/>
  <c r="T16" i="4"/>
  <c r="M20" i="4" a="1"/>
  <c r="M20" i="4" s="1"/>
  <c r="M9" i="4" a="1"/>
  <c r="M9" i="4" s="1"/>
  <c r="P19" i="4"/>
  <c r="S41" i="4"/>
  <c r="S29" i="4"/>
  <c r="S17" i="4"/>
  <c r="T39" i="4"/>
  <c r="T27" i="4"/>
  <c r="T15" i="4"/>
  <c r="M30" i="4" a="1"/>
  <c r="M30" i="4" s="1"/>
  <c r="M19" i="4" a="1"/>
  <c r="M19" i="4" s="1"/>
  <c r="P8" i="4"/>
  <c r="P30" i="4"/>
  <c r="P18" i="4"/>
  <c r="S40" i="4"/>
  <c r="S28" i="4"/>
  <c r="S16" i="4"/>
  <c r="T26" i="4"/>
  <c r="T14" i="4"/>
  <c r="M41" i="4" a="1"/>
  <c r="M41" i="4" s="1"/>
  <c r="M29" i="4" a="1"/>
  <c r="M29" i="4" s="1"/>
  <c r="M18" i="4" a="1"/>
  <c r="M18" i="4" s="1"/>
  <c r="M8" i="4" a="1"/>
  <c r="M8" i="4" s="1"/>
  <c r="P17" i="4"/>
  <c r="M40" i="4" a="1"/>
  <c r="M40" i="4" s="1"/>
  <c r="M28" i="4" a="1"/>
  <c r="M28" i="4" s="1"/>
  <c r="K1" i="7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l="1"/>
  <c r="W1" i="7" s="1"/>
  <c r="X1" i="7" s="1"/>
  <c r="Y1" i="7" s="1"/>
  <c r="Z1" i="7" s="1"/>
  <c r="AA1" i="7" s="1"/>
  <c r="AB1" i="7" s="1"/>
  <c r="C23" i="6"/>
  <c r="C12" i="6"/>
  <c r="J7" i="4"/>
  <c r="C1" i="4"/>
  <c r="D1" i="4" s="1"/>
  <c r="E1" i="4" s="1"/>
  <c r="F1" i="4" s="1"/>
  <c r="G1" i="4" s="1"/>
  <c r="H1" i="4" s="1"/>
  <c r="I1" i="4" s="1"/>
  <c r="J1" i="4" s="1"/>
  <c r="E7" i="3"/>
  <c r="C1" i="2"/>
  <c r="C1" i="1"/>
  <c r="D1" i="1" s="1"/>
  <c r="E1" i="1" s="1"/>
  <c r="F1" i="1" s="1"/>
  <c r="G1" i="1" s="1"/>
  <c r="H1" i="1" s="1"/>
  <c r="I1" i="1" s="1"/>
  <c r="J1" i="1" s="1"/>
  <c r="K1" i="1" l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A1" i="1" s="1"/>
  <c r="K1" i="4"/>
  <c r="L1" i="4" s="1"/>
  <c r="M1" i="4" s="1"/>
  <c r="N1" i="4" s="1"/>
  <c r="O1" i="4" s="1"/>
  <c r="P1" i="4" s="1"/>
  <c r="Q1" i="4" s="1"/>
  <c r="R1" i="4" s="1"/>
  <c r="S1" i="4" s="1"/>
  <c r="T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<sst xmlns="http://schemas.openxmlformats.org/spreadsheetml/2006/main" count="7643" uniqueCount="451">
  <si>
    <t>위험률코드</t>
    <phoneticPr fontId="1" type="noConversion"/>
  </si>
  <si>
    <t>qx(0)</t>
    <phoneticPr fontId="1" type="noConversion"/>
  </si>
  <si>
    <t>qx(1)</t>
  </si>
  <si>
    <t>qx(2)</t>
  </si>
  <si>
    <t>qx(3)</t>
  </si>
  <si>
    <t>qx(4)</t>
  </si>
  <si>
    <t>qx(5)</t>
  </si>
  <si>
    <t>qx(6)</t>
  </si>
  <si>
    <t>qx(7)</t>
  </si>
  <si>
    <t>qx(8)</t>
  </si>
  <si>
    <t>qx(9)</t>
  </si>
  <si>
    <t>qx(10)</t>
  </si>
  <si>
    <t>qx(11)</t>
  </si>
  <si>
    <t>qx(12)</t>
  </si>
  <si>
    <t>qx(13)</t>
  </si>
  <si>
    <t>qx(14)</t>
  </si>
  <si>
    <t>qx(15)</t>
  </si>
  <si>
    <t>qx(16)</t>
  </si>
  <si>
    <t>qx(17)</t>
  </si>
  <si>
    <t>qx(18)</t>
  </si>
  <si>
    <t>qx(19)</t>
  </si>
  <si>
    <t>qx(20)</t>
  </si>
  <si>
    <t>qx(21)</t>
  </si>
  <si>
    <t>qx(22)</t>
  </si>
  <si>
    <t>qx(23)</t>
  </si>
  <si>
    <t>qx(24)</t>
  </si>
  <si>
    <t>qx(25)</t>
  </si>
  <si>
    <t>qx(26)</t>
  </si>
  <si>
    <t>qx(27)</t>
  </si>
  <si>
    <t>qx(28)</t>
  </si>
  <si>
    <t>qx(29)</t>
  </si>
  <si>
    <t>qx(30)</t>
  </si>
  <si>
    <t>qx(31)</t>
  </si>
  <si>
    <t>qx(32)</t>
  </si>
  <si>
    <t>qx(33)</t>
  </si>
  <si>
    <t>qx(34)</t>
  </si>
  <si>
    <t>qx(35)</t>
  </si>
  <si>
    <t>qx(36)</t>
  </si>
  <si>
    <t>qx(37)</t>
  </si>
  <si>
    <t>qx(38)</t>
  </si>
  <si>
    <t>qx(39)</t>
  </si>
  <si>
    <t>qx(40)</t>
  </si>
  <si>
    <t>qx(41)</t>
  </si>
  <si>
    <t>qx(42)</t>
  </si>
  <si>
    <t>qx(43)</t>
  </si>
  <si>
    <t>qx(44)</t>
  </si>
  <si>
    <t>qx(45)</t>
  </si>
  <si>
    <t>qx(46)</t>
  </si>
  <si>
    <t>qx(47)</t>
  </si>
  <si>
    <t>qx(48)</t>
  </si>
  <si>
    <t>qx(49)</t>
  </si>
  <si>
    <t>qx(50)</t>
  </si>
  <si>
    <t>qx(51)</t>
  </si>
  <si>
    <t>qx(52)</t>
  </si>
  <si>
    <t>qx(53)</t>
  </si>
  <si>
    <t>qx(54)</t>
  </si>
  <si>
    <t>qx(55)</t>
  </si>
  <si>
    <t>qx(56)</t>
  </si>
  <si>
    <t>qx(57)</t>
  </si>
  <si>
    <t>qx(58)</t>
  </si>
  <si>
    <t>qx(59)</t>
  </si>
  <si>
    <t>qx(60)</t>
  </si>
  <si>
    <t>qx(61)</t>
  </si>
  <si>
    <t>qx(62)</t>
  </si>
  <si>
    <t>qx(63)</t>
  </si>
  <si>
    <t>qx(64)</t>
  </si>
  <si>
    <t>qx(65)</t>
  </si>
  <si>
    <t>qx(66)</t>
  </si>
  <si>
    <t>qx(67)</t>
  </si>
  <si>
    <t>qx(68)</t>
  </si>
  <si>
    <t>qx(69)</t>
  </si>
  <si>
    <t>qx(70)</t>
  </si>
  <si>
    <t>qx(71)</t>
  </si>
  <si>
    <t>qx(72)</t>
  </si>
  <si>
    <t>qx(73)</t>
  </si>
  <si>
    <t>qx(74)</t>
  </si>
  <si>
    <t>qx(75)</t>
  </si>
  <si>
    <t>qx(76)</t>
  </si>
  <si>
    <t>qx(77)</t>
  </si>
  <si>
    <t>qx(78)</t>
  </si>
  <si>
    <t>qx(79)</t>
  </si>
  <si>
    <t>qx(80)</t>
  </si>
  <si>
    <t>qx(81)</t>
  </si>
  <si>
    <t>qx(82)</t>
  </si>
  <si>
    <t>qx(83)</t>
  </si>
  <si>
    <t>qx(84)</t>
  </si>
  <si>
    <t>qx(85)</t>
  </si>
  <si>
    <t>qx(86)</t>
  </si>
  <si>
    <t>qx(87)</t>
  </si>
  <si>
    <t>qx(88)</t>
  </si>
  <si>
    <t>qx(89)</t>
  </si>
  <si>
    <t>qx(90)</t>
  </si>
  <si>
    <t>qx(91)</t>
  </si>
  <si>
    <t>qx(92)</t>
  </si>
  <si>
    <t>qx(93)</t>
  </si>
  <si>
    <t>qx(94)</t>
  </si>
  <si>
    <t>qx(95)</t>
  </si>
  <si>
    <t>qx(96)</t>
  </si>
  <si>
    <t>qx(97)</t>
  </si>
  <si>
    <t>qx(98)</t>
  </si>
  <si>
    <t>qx(99)</t>
  </si>
  <si>
    <t>qx(100)</t>
  </si>
  <si>
    <t>qx(101)</t>
  </si>
  <si>
    <t>qx(102)</t>
  </si>
  <si>
    <t>qx(103)</t>
  </si>
  <si>
    <t>qx(104)</t>
  </si>
  <si>
    <t>qx(105)</t>
  </si>
  <si>
    <t>qx(106)</t>
  </si>
  <si>
    <t>qx(107)</t>
  </si>
  <si>
    <t>qx(108)</t>
  </si>
  <si>
    <t>qx(109)</t>
  </si>
  <si>
    <t>qx(110)</t>
  </si>
  <si>
    <t>qx(111)</t>
  </si>
  <si>
    <t>qx(112)</t>
  </si>
  <si>
    <t>qx(113)</t>
  </si>
  <si>
    <t>qx(114)</t>
  </si>
  <si>
    <t>qx(115)</t>
  </si>
  <si>
    <t>qx(116)</t>
  </si>
  <si>
    <t>qx(117)</t>
  </si>
  <si>
    <t>qx(118)</t>
  </si>
  <si>
    <t>qx(119)</t>
  </si>
  <si>
    <t>qx(120)</t>
  </si>
  <si>
    <t>성별</t>
    <phoneticPr fontId="1" type="noConversion"/>
  </si>
  <si>
    <t>형</t>
    <phoneticPr fontId="1" type="noConversion"/>
  </si>
  <si>
    <t>종</t>
    <phoneticPr fontId="1" type="noConversion"/>
  </si>
  <si>
    <t>담보키</t>
    <phoneticPr fontId="1" type="noConversion"/>
  </si>
  <si>
    <t>담보명</t>
    <phoneticPr fontId="1" type="noConversion"/>
  </si>
  <si>
    <t>위험률명</t>
    <phoneticPr fontId="1" type="noConversion"/>
  </si>
  <si>
    <t>물건급수</t>
    <phoneticPr fontId="1" type="noConversion"/>
  </si>
  <si>
    <t>TAB_Qx</t>
    <phoneticPr fontId="1" type="noConversion"/>
  </si>
  <si>
    <t>담보코드</t>
    <phoneticPr fontId="1" type="noConversion"/>
  </si>
  <si>
    <t>sub1</t>
    <phoneticPr fontId="1" type="noConversion"/>
  </si>
  <si>
    <t>sub2</t>
    <phoneticPr fontId="1" type="noConversion"/>
  </si>
  <si>
    <t>sub3</t>
    <phoneticPr fontId="1" type="noConversion"/>
  </si>
  <si>
    <t>탈퇴위험률코드</t>
    <phoneticPr fontId="1" type="noConversion"/>
  </si>
  <si>
    <t>부담보기간</t>
    <phoneticPr fontId="1" type="noConversion"/>
  </si>
  <si>
    <t>급부위험률코드</t>
    <phoneticPr fontId="1" type="noConversion"/>
  </si>
  <si>
    <t>지급률</t>
    <phoneticPr fontId="1" type="noConversion"/>
  </si>
  <si>
    <t>감액률</t>
    <phoneticPr fontId="1" type="noConversion"/>
  </si>
  <si>
    <t>감액기간</t>
    <phoneticPr fontId="1" type="noConversion"/>
  </si>
  <si>
    <t>납면위험률코드</t>
    <phoneticPr fontId="1" type="noConversion"/>
  </si>
  <si>
    <t>무효해지기간</t>
    <phoneticPr fontId="1" type="noConversion"/>
  </si>
  <si>
    <t>TAB_Code</t>
    <phoneticPr fontId="1" type="noConversion"/>
  </si>
  <si>
    <t>ExCode</t>
    <phoneticPr fontId="1" type="noConversion"/>
  </si>
  <si>
    <t>NonCov</t>
    <phoneticPr fontId="1" type="noConversion"/>
  </si>
  <si>
    <t>BxCode</t>
    <phoneticPr fontId="1" type="noConversion"/>
  </si>
  <si>
    <t>PayRate</t>
    <phoneticPr fontId="1" type="noConversion"/>
  </si>
  <si>
    <t>ReduceRate</t>
    <phoneticPr fontId="1" type="noConversion"/>
  </si>
  <si>
    <t>ReducePeriod</t>
    <phoneticPr fontId="1" type="noConversion"/>
  </si>
  <si>
    <t>GxCode</t>
    <phoneticPr fontId="1" type="noConversion"/>
  </si>
  <si>
    <t>InvalidPeriod</t>
    <phoneticPr fontId="1" type="noConversion"/>
  </si>
  <si>
    <t>CoverageKey</t>
    <phoneticPr fontId="1" type="noConversion"/>
  </si>
  <si>
    <t>급부번호</t>
    <phoneticPr fontId="1" type="noConversion"/>
  </si>
  <si>
    <t>Bnum</t>
    <phoneticPr fontId="1" type="noConversion"/>
  </si>
  <si>
    <t>탈퇴위험률명</t>
    <phoneticPr fontId="1" type="noConversion"/>
  </si>
  <si>
    <t>급부위험률명</t>
    <phoneticPr fontId="1" type="noConversion"/>
  </si>
  <si>
    <t>납면위험률명</t>
    <phoneticPr fontId="1" type="noConversion"/>
  </si>
  <si>
    <t>k(1)</t>
    <phoneticPr fontId="1" type="noConversion"/>
  </si>
  <si>
    <t>k(2)</t>
  </si>
  <si>
    <t>Oper</t>
    <phoneticPr fontId="1" type="noConversion"/>
  </si>
  <si>
    <t>NumQx</t>
    <phoneticPr fontId="1" type="noConversion"/>
  </si>
  <si>
    <t>1 : SUM
2 : PROUDCT</t>
    <phoneticPr fontId="1" type="noConversion"/>
  </si>
  <si>
    <t>가입금액</t>
    <phoneticPr fontId="1" type="noConversion"/>
  </si>
  <si>
    <t>담보코드</t>
  </si>
  <si>
    <t>담보명</t>
  </si>
  <si>
    <t>형</t>
  </si>
  <si>
    <t>종</t>
  </si>
  <si>
    <t>sub2</t>
  </si>
  <si>
    <t>sub3</t>
  </si>
  <si>
    <t>담보키</t>
  </si>
  <si>
    <t>γ</t>
    <phoneticPr fontId="1" type="noConversion"/>
  </si>
  <si>
    <t>ce</t>
    <phoneticPr fontId="1" type="noConversion"/>
  </si>
  <si>
    <t>TAB_Expense</t>
    <phoneticPr fontId="1" type="noConversion"/>
  </si>
  <si>
    <t>TAB_Comb</t>
    <phoneticPr fontId="1" type="noConversion"/>
  </si>
  <si>
    <t>상해급수</t>
  </si>
  <si>
    <t>운전자급수</t>
  </si>
  <si>
    <t>최초가입연령</t>
  </si>
  <si>
    <t>변호사급수</t>
  </si>
  <si>
    <t>물건급수</t>
  </si>
  <si>
    <t>구분자</t>
    <phoneticPr fontId="1" type="noConversion"/>
  </si>
  <si>
    <t>Y</t>
    <phoneticPr fontId="1" type="noConversion"/>
  </si>
  <si>
    <t>1~3</t>
    <phoneticPr fontId="1" type="noConversion"/>
  </si>
  <si>
    <t>0~120</t>
    <phoneticPr fontId="1" type="noConversion"/>
  </si>
  <si>
    <t>1~10</t>
    <phoneticPr fontId="1" type="noConversion"/>
  </si>
  <si>
    <t>신규/갱신</t>
    <phoneticPr fontId="1" type="noConversion"/>
  </si>
  <si>
    <t>신규/갱신</t>
    <phoneticPr fontId="1" type="noConversion"/>
  </si>
  <si>
    <t>sub1</t>
    <phoneticPr fontId="1" type="noConversion"/>
  </si>
  <si>
    <t>x</t>
    <phoneticPr fontId="1" type="noConversion"/>
  </si>
  <si>
    <t>m</t>
  </si>
  <si>
    <t>m</t>
    <phoneticPr fontId="1" type="noConversion"/>
  </si>
  <si>
    <t>신규/갱신</t>
  </si>
  <si>
    <t>sub1</t>
  </si>
  <si>
    <t>갱신구분</t>
    <phoneticPr fontId="1" type="noConversion"/>
  </si>
  <si>
    <t>구분자1</t>
    <phoneticPr fontId="1" type="noConversion"/>
  </si>
  <si>
    <t>구분자2</t>
    <phoneticPr fontId="1" type="noConversion"/>
  </si>
  <si>
    <t>구분자3</t>
    <phoneticPr fontId="1" type="noConversion"/>
  </si>
  <si>
    <t>INPUT</t>
    <phoneticPr fontId="1" type="noConversion"/>
  </si>
  <si>
    <t>n</t>
    <phoneticPr fontId="1" type="noConversion"/>
  </si>
  <si>
    <t>sex</t>
    <phoneticPr fontId="1" type="noConversion"/>
  </si>
  <si>
    <t>성별</t>
  </si>
  <si>
    <t>상해급수</t>
    <phoneticPr fontId="1" type="noConversion"/>
  </si>
  <si>
    <t>운전자급수</t>
    <phoneticPr fontId="1" type="noConversion"/>
  </si>
  <si>
    <t>최초가입연령</t>
    <phoneticPr fontId="1" type="noConversion"/>
  </si>
  <si>
    <t>변호사급수</t>
    <phoneticPr fontId="1" type="noConversion"/>
  </si>
  <si>
    <t>보험기간</t>
  </si>
  <si>
    <t>보험기간</t>
    <phoneticPr fontId="1" type="noConversion"/>
  </si>
  <si>
    <t>v</t>
    <phoneticPr fontId="1" type="noConversion"/>
  </si>
  <si>
    <t>i</t>
    <phoneticPr fontId="1" type="noConversion"/>
  </si>
  <si>
    <t>Result</t>
    <phoneticPr fontId="1" type="noConversion"/>
  </si>
  <si>
    <r>
      <t>α</t>
    </r>
    <r>
      <rPr>
        <b/>
        <sz val="11"/>
        <color theme="1"/>
        <rFont val="맑은 고딕"/>
        <family val="3"/>
        <charset val="129"/>
      </rPr>
      <t>1</t>
    </r>
    <phoneticPr fontId="1" type="noConversion"/>
  </si>
  <si>
    <r>
      <t>α</t>
    </r>
    <r>
      <rPr>
        <b/>
        <sz val="11"/>
        <color theme="1"/>
        <rFont val="맑은 고딕"/>
        <family val="3"/>
        <charset val="129"/>
      </rPr>
      <t>2</t>
    </r>
    <phoneticPr fontId="1" type="noConversion"/>
  </si>
  <si>
    <r>
      <t>α</t>
    </r>
    <r>
      <rPr>
        <b/>
        <sz val="11"/>
        <color theme="1"/>
        <rFont val="맑은 고딕"/>
        <family val="3"/>
        <charset val="129"/>
      </rPr>
      <t>3</t>
    </r>
    <phoneticPr fontId="1" type="noConversion"/>
  </si>
  <si>
    <r>
      <t>β</t>
    </r>
    <r>
      <rPr>
        <b/>
        <sz val="11"/>
        <color theme="1"/>
        <rFont val="맑은 고딕"/>
        <family val="3"/>
        <charset val="129"/>
      </rPr>
      <t>1</t>
    </r>
    <phoneticPr fontId="1" type="noConversion"/>
  </si>
  <si>
    <r>
      <t>β</t>
    </r>
    <r>
      <rPr>
        <b/>
        <sz val="11"/>
        <color theme="1"/>
        <rFont val="맑은 고딕"/>
        <family val="3"/>
        <charset val="129"/>
      </rPr>
      <t>2</t>
    </r>
    <phoneticPr fontId="1" type="noConversion"/>
  </si>
  <si>
    <r>
      <t>β</t>
    </r>
    <r>
      <rPr>
        <b/>
        <sz val="11"/>
        <color theme="1"/>
        <rFont val="맑은 고딕"/>
        <family val="3"/>
        <charset val="129"/>
      </rPr>
      <t>5</t>
    </r>
    <phoneticPr fontId="1" type="noConversion"/>
  </si>
  <si>
    <t>C1</t>
  </si>
  <si>
    <t>위험률명(1)</t>
    <phoneticPr fontId="1" type="noConversion"/>
  </si>
  <si>
    <t>Qx(1)</t>
    <phoneticPr fontId="1" type="noConversion"/>
  </si>
  <si>
    <t>Qx(2)</t>
  </si>
  <si>
    <t>위험률명(2)</t>
  </si>
  <si>
    <t>Qx(3)</t>
  </si>
  <si>
    <t>위험률명(3)</t>
  </si>
  <si>
    <t>k(3)</t>
  </si>
  <si>
    <t>Qx(4)</t>
  </si>
  <si>
    <t>위험률명(4)</t>
  </si>
  <si>
    <t>k(4)</t>
  </si>
  <si>
    <t>Qx(5)</t>
  </si>
  <si>
    <t>위험률명(5)</t>
  </si>
  <si>
    <t>k(5)</t>
  </si>
  <si>
    <t>Qx(6)</t>
  </si>
  <si>
    <t>위험률명(6)</t>
  </si>
  <si>
    <t>k(6)</t>
  </si>
  <si>
    <t>Qx(7)</t>
  </si>
  <si>
    <t>위험률명(7)</t>
  </si>
  <si>
    <t>k(7)</t>
  </si>
  <si>
    <t>Qx(8)</t>
  </si>
  <si>
    <t>위험률명(8)</t>
  </si>
  <si>
    <t>k(8)</t>
  </si>
  <si>
    <t>C2</t>
    <phoneticPr fontId="1" type="noConversion"/>
  </si>
  <si>
    <t>LA9228</t>
  </si>
  <si>
    <t>LA9308</t>
  </si>
  <si>
    <t>LA9518</t>
  </si>
  <si>
    <t>LA9158</t>
  </si>
  <si>
    <t>LA9248</t>
  </si>
  <si>
    <t>LA9318</t>
  </si>
  <si>
    <t>LA9528</t>
  </si>
  <si>
    <t>LA9468</t>
  </si>
  <si>
    <t>LA9148</t>
  </si>
  <si>
    <t>LA9268</t>
  </si>
  <si>
    <t>LA9328</t>
  </si>
  <si>
    <t>LA9538</t>
  </si>
  <si>
    <t>LA9208</t>
  </si>
  <si>
    <t>LJ0508</t>
  </si>
  <si>
    <t>LB5758</t>
  </si>
  <si>
    <t>LB7268</t>
  </si>
  <si>
    <t>LB7718</t>
  </si>
  <si>
    <t>LB7808</t>
  </si>
  <si>
    <t>LB5768</t>
  </si>
  <si>
    <t>LB7278</t>
  </si>
  <si>
    <t>LB7438</t>
  </si>
  <si>
    <t>LB7408</t>
  </si>
  <si>
    <t>LB7448</t>
  </si>
  <si>
    <t>LB5838</t>
  </si>
  <si>
    <t>LB7288</t>
  </si>
  <si>
    <t>LB7458</t>
  </si>
  <si>
    <t>LB7418</t>
  </si>
  <si>
    <t>LB5488</t>
  </si>
  <si>
    <t>LB9768</t>
  </si>
  <si>
    <t>LB0918</t>
  </si>
  <si>
    <t>LB0868</t>
  </si>
  <si>
    <t>LB7098</t>
  </si>
  <si>
    <t>LA3348</t>
  </si>
  <si>
    <t>LB1668</t>
  </si>
  <si>
    <t>LC0738</t>
  </si>
  <si>
    <t>LB7088</t>
  </si>
  <si>
    <t>LA9218</t>
  </si>
  <si>
    <t>LA1568</t>
  </si>
  <si>
    <t>LB7068</t>
  </si>
  <si>
    <t>LB4648</t>
  </si>
  <si>
    <t>HKFM194</t>
  </si>
  <si>
    <t>HKFM192</t>
  </si>
  <si>
    <t>HKFM111</t>
  </si>
  <si>
    <t>HKFM187</t>
  </si>
  <si>
    <t>HKFM267</t>
  </si>
  <si>
    <t>HKFM266</t>
  </si>
  <si>
    <t>HKFM269</t>
  </si>
  <si>
    <t>HKFM229</t>
  </si>
  <si>
    <t>HKFM256</t>
  </si>
  <si>
    <t>일반상해사망(10년간매년지급)(갱신형_5년)</t>
  </si>
  <si>
    <t>일반상해사망(10년간매월지급)(갱신형_5년)</t>
  </si>
  <si>
    <t>일반상해사망(5년간매년지급)(갱신형_5년)</t>
  </si>
  <si>
    <t>일반상해후유장해(80%이상)(갱신형_5년)</t>
  </si>
  <si>
    <t>일반상해후유장해(80%이상)(10년간매년지급)(갱신형_5년)</t>
  </si>
  <si>
    <t>일반상해후유장해(80%이상)(10년간매월지급)(갱신형_5년)</t>
  </si>
  <si>
    <t>일반상해후유장해(80%이상)(5년간매년지급)(갱신형_5년)</t>
  </si>
  <si>
    <t>일반상해후유장해(80%이상)(5년간매월지급)(갱신형_5년)</t>
  </si>
  <si>
    <t>일반상해후유장해(50%이상)(갱신형_5년)</t>
  </si>
  <si>
    <t>일반상해후유장해(50%이상)(10년간매년지급)(갱신형_5년)</t>
  </si>
  <si>
    <t>일반상해후유장해(50%이상)(10년간매월지급)(갱신형_5년)</t>
  </si>
  <si>
    <t>일반상해후유장해(50%이상)(5년간매년지급)(갱신형_5년)</t>
  </si>
  <si>
    <t>일반상해후유장해(80%미만)(갱신형_5년)</t>
  </si>
  <si>
    <t>일반상해후유장해(80%미만)Ⅱ(갱신형_5년)</t>
  </si>
  <si>
    <t>질병사망(감액없음)(갱신형_5년)</t>
  </si>
  <si>
    <t>질병사망(10년간매년지급)(감액없음)(갱신형_5년)</t>
  </si>
  <si>
    <t>질병사망(10년간매월지급)(감액없음)(갱신형_5년)</t>
  </si>
  <si>
    <t>질병사망(5년간매년지급)(감액없음)(갱신형_5년)</t>
  </si>
  <si>
    <t>질병후유장해(80%이상)(감액없음)(갱신형_5년)</t>
  </si>
  <si>
    <t>질병후유장해(80%이상)(10년간매년지급)(감액없음)(갱신형_5년)</t>
  </si>
  <si>
    <t>질병후유장해(80%이상)(10년간매월지급)(감액없음)(갱신형_5년)</t>
  </si>
  <si>
    <t>질병후유장해(80%이상)(5년간매년지급)(감액없음)(갱신형_5년)</t>
  </si>
  <si>
    <t>질병후유장해(80%이상)(5년간매월지급)(감액없음)(갱신형_5년)</t>
  </si>
  <si>
    <t>질병후유장해(50%이상)(감액없음)(갱신형_5년)</t>
  </si>
  <si>
    <t>질병후유장해(50%이상)(10년간매년지급)(감액없음)(갱신형_5년)</t>
  </si>
  <si>
    <t>질병후유장해(50%이상)(10년간매월지급)(감액없음)(갱신형_5년)</t>
  </si>
  <si>
    <t>질병후유장해(50%이상)(5년간매년지급)(감액없음)(갱신형_5년)</t>
  </si>
  <si>
    <t>질병후유장해(80%미만)(감액없음)(갱신형_5년)</t>
  </si>
  <si>
    <t>질병후유장해(80%미만)II(감액없음)(갱신형_5년)</t>
  </si>
  <si>
    <t>뇌졸중진단비(갱신형_5년)</t>
  </si>
  <si>
    <t>급성심근경색증진단비(갱신형_5년)</t>
  </si>
  <si>
    <t>3대질병진단비(갱신형_5년)</t>
  </si>
  <si>
    <t>상해중환자실입원비(갱신형_5년)</t>
  </si>
  <si>
    <t>질병중환자실입원비(갱신형_5년)</t>
  </si>
  <si>
    <t>응급실내원비(갱신형_5년)</t>
  </si>
  <si>
    <t>3대질병사망(갱신형_5년)</t>
  </si>
  <si>
    <t>교통상해사망(갱신형_5년)</t>
  </si>
  <si>
    <t>대중교통이용중교통상해사망(갱신형_5년)</t>
  </si>
  <si>
    <t>암진단비(유사암제외)(갱신형_5년)</t>
  </si>
  <si>
    <t>유사암진단비(갱신형_5년)</t>
  </si>
  <si>
    <t>정기보험산출용</t>
  </si>
  <si>
    <t>HKFM256</t>
    <phoneticPr fontId="1" type="noConversion"/>
  </si>
  <si>
    <t>질병후유장해(80%미만)(감액없음)</t>
  </si>
  <si>
    <t>뇌졸중진단비</t>
  </si>
  <si>
    <t>대중교통이용중교통상해사망</t>
  </si>
  <si>
    <t>일반암진단비</t>
  </si>
  <si>
    <t>기타피부암진단비(감액없음)</t>
  </si>
  <si>
    <t>갑상샘암진단비(감액없음)</t>
  </si>
  <si>
    <t>경계성종양진단비(감액없음)</t>
  </si>
  <si>
    <t>제자리암진단비</t>
  </si>
  <si>
    <t>HKFM339</t>
  </si>
  <si>
    <t>HKFM340</t>
  </si>
  <si>
    <t>응급실내원비(응급)</t>
  </si>
  <si>
    <t>응급실내원비(비응급)</t>
  </si>
  <si>
    <t>HKFM340</t>
    <phoneticPr fontId="1" type="noConversion"/>
  </si>
  <si>
    <t>HKFM340</t>
    <phoneticPr fontId="1" type="noConversion"/>
  </si>
  <si>
    <t>최초나이</t>
  </si>
  <si>
    <t>최종나이</t>
  </si>
  <si>
    <t>중간연령</t>
  </si>
  <si>
    <t>운전자구분</t>
  </si>
  <si>
    <t>담보키</t>
    <phoneticPr fontId="11" type="noConversion"/>
  </si>
  <si>
    <t>세만기</t>
    <phoneticPr fontId="11" type="noConversion"/>
  </si>
  <si>
    <t>x</t>
    <phoneticPr fontId="11" type="noConversion"/>
  </si>
  <si>
    <t>n</t>
    <phoneticPr fontId="11" type="noConversion"/>
  </si>
  <si>
    <t>납방계수</t>
    <phoneticPr fontId="11" type="noConversion"/>
  </si>
  <si>
    <t>위험보험료</t>
    <phoneticPr fontId="11" type="noConversion"/>
  </si>
  <si>
    <t>정기보험순보</t>
    <phoneticPr fontId="11" type="noConversion"/>
  </si>
  <si>
    <t>위험보험료/정기보험순보</t>
    <phoneticPr fontId="11" type="noConversion"/>
  </si>
  <si>
    <t>S rate</t>
    <phoneticPr fontId="11" type="noConversion"/>
  </si>
  <si>
    <t>alpha1 (n=1)</t>
  </si>
  <si>
    <t>alpha1 (n=2)</t>
  </si>
  <si>
    <t>alpha1 (n=3)</t>
  </si>
  <si>
    <t>alpha1 (n=4)</t>
  </si>
  <si>
    <t>alpha1 (n=5)</t>
  </si>
  <si>
    <t>alpha3</t>
  </si>
  <si>
    <t>beta1</t>
  </si>
  <si>
    <t>beta2</t>
  </si>
  <si>
    <t>gamma</t>
  </si>
  <si>
    <t>ce</t>
  </si>
  <si>
    <t>급성심근경색증진단비</t>
  </si>
  <si>
    <t>TAB_INFO_COV</t>
    <phoneticPr fontId="1" type="noConversion"/>
  </si>
  <si>
    <t>TAB_INFO_Qx</t>
    <phoneticPr fontId="1" type="noConversion"/>
  </si>
  <si>
    <t>납입기간</t>
  </si>
  <si>
    <t>납입주기</t>
  </si>
  <si>
    <t>연령</t>
  </si>
  <si>
    <t>가입금액</t>
  </si>
  <si>
    <t>NP</t>
  </si>
  <si>
    <t>Pr</t>
  </si>
  <si>
    <t>G</t>
  </si>
  <si>
    <t>V(0)</t>
  </si>
  <si>
    <t>V(1)</t>
  </si>
  <si>
    <t>V(2)</t>
  </si>
  <si>
    <t>V(3)</t>
  </si>
  <si>
    <t>V(4)</t>
  </si>
  <si>
    <t>V(5)</t>
  </si>
  <si>
    <t>신계약비</t>
  </si>
  <si>
    <t>표준해약공제액</t>
  </si>
  <si>
    <t>A080</t>
  </si>
  <si>
    <t>^</t>
  </si>
  <si>
    <t>A100</t>
  </si>
  <si>
    <t>단일률 : 0</t>
    <phoneticPr fontId="1" type="noConversion"/>
  </si>
  <si>
    <t>단일률?</t>
    <phoneticPr fontId="1" type="noConversion"/>
  </si>
  <si>
    <t>t</t>
  </si>
  <si>
    <t>x+t</t>
  </si>
  <si>
    <t>Alpha1</t>
  </si>
  <si>
    <t>Alpha2</t>
  </si>
  <si>
    <t>Alpha3</t>
  </si>
  <si>
    <t>Beta1</t>
  </si>
  <si>
    <t>Beta2</t>
  </si>
  <si>
    <t>Beta5</t>
  </si>
  <si>
    <t>Gamma</t>
  </si>
  <si>
    <t>Ce</t>
  </si>
  <si>
    <t>Ex(0)</t>
  </si>
  <si>
    <t>Ex(1)</t>
  </si>
  <si>
    <t>Bx(1)</t>
  </si>
  <si>
    <t>Gx</t>
  </si>
  <si>
    <t>lx(0)</t>
  </si>
  <si>
    <t>lx(1)</t>
  </si>
  <si>
    <t>l'x</t>
  </si>
  <si>
    <t>Dx</t>
  </si>
  <si>
    <t>D'x</t>
  </si>
  <si>
    <t>Nx</t>
  </si>
  <si>
    <t>N'x</t>
  </si>
  <si>
    <t>Cx(1)</t>
  </si>
  <si>
    <t>지급률 : 1</t>
  </si>
  <si>
    <t>Mx(1)</t>
  </si>
  <si>
    <t>SUMx</t>
  </si>
  <si>
    <t>NP12(full)</t>
  </si>
  <si>
    <t>NP12(round)</t>
  </si>
  <si>
    <t>가입금액 : 1000000</t>
  </si>
  <si>
    <t>NP1(full)</t>
  </si>
  <si>
    <t>NP1(round)</t>
  </si>
  <si>
    <t>G12(full)</t>
  </si>
  <si>
    <t>G12(round)</t>
  </si>
  <si>
    <t>G1(full)</t>
  </si>
  <si>
    <t>G1(round)</t>
  </si>
  <si>
    <t>tVx(full)</t>
  </si>
  <si>
    <t>tVx(round)</t>
  </si>
  <si>
    <t>표준알파</t>
  </si>
  <si>
    <t>적용알파</t>
  </si>
  <si>
    <t>tWx(full)</t>
  </si>
  <si>
    <t>tWx(round)</t>
  </si>
  <si>
    <t>세만기</t>
    <phoneticPr fontId="1" type="noConversion"/>
  </si>
  <si>
    <t>대천 알파</t>
    <phoneticPr fontId="1" type="noConversion"/>
  </si>
  <si>
    <t>흥국 최만희 주임이 준거 보험료, 준비금, ST 파일 (V4) 보내준거 python으로 전처리해 놓은거 (V6이 최종버전이라 오류 있을수도….)</t>
  </si>
  <si>
    <t>TAB_Srate</t>
    <phoneticPr fontId="1" type="noConversion"/>
  </si>
  <si>
    <t>조건</t>
    <phoneticPr fontId="1" type="noConversion"/>
  </si>
  <si>
    <t>S rate 계산시 적용할 조건 수기로 박아넣기</t>
    <phoneticPr fontId="1" type="noConversion"/>
  </si>
  <si>
    <t>HKFQPR</t>
  </si>
  <si>
    <t>정기보험</t>
    <phoneticPr fontId="1" type="noConversion"/>
  </si>
  <si>
    <r>
      <t>★</t>
    </r>
    <r>
      <rPr>
        <sz val="6.6"/>
        <color theme="1"/>
        <rFont val="맑은 고딕"/>
        <family val="3"/>
        <charset val="129"/>
      </rPr>
      <t xml:space="preserve"> 위험률명 작명시에 정기보험 위험률은 [회사코드] QPR 로 짓기</t>
    </r>
    <phoneticPr fontId="1" type="noConversion"/>
  </si>
  <si>
    <t>LBQPR</t>
  </si>
  <si>
    <t>LBQPR</t>
    <phoneticPr fontId="1" type="noConversion"/>
  </si>
  <si>
    <t>From 흥국</t>
    <phoneticPr fontId="1" type="noConversion"/>
  </si>
  <si>
    <t>My</t>
    <phoneticPr fontId="1" type="noConversion"/>
  </si>
  <si>
    <t>#</t>
    <phoneticPr fontId="1" type="noConversion"/>
  </si>
  <si>
    <t>NP1</t>
    <phoneticPr fontId="1" type="noConversion"/>
  </si>
  <si>
    <t>NP12</t>
    <phoneticPr fontId="1" type="noConversion"/>
  </si>
  <si>
    <t>G12</t>
    <phoneticPr fontId="1" type="noConversion"/>
  </si>
  <si>
    <t>비교</t>
    <phoneticPr fontId="1" type="noConversion"/>
  </si>
  <si>
    <t>담보명</t>
    <phoneticPr fontId="1" type="noConversion"/>
  </si>
  <si>
    <t>결합위험률코드</t>
    <phoneticPr fontId="1" type="noConversion"/>
  </si>
  <si>
    <t>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</si>
</sst>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Calibri"/>
      <family val="3"/>
      <charset val="161"/>
    </font>
    <font>
      <b/>
      <sz val="11"/>
      <color theme="1"/>
      <name val="맑은 고딕"/>
      <family val="3"/>
      <charset val="129"/>
    </font>
    <font>
      <b/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6.6"/>
      <color theme="1"/>
      <name val="맑은 고딕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</borders>
  <cellStyleXfs count="2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0" borderId="0" xfId="0" applyFont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8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>
      <alignment vertical="center"/>
    </xf>
    <xf numFmtId="16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1" xfId="0" applyBorder="1">
      <alignment vertical="center"/>
    </xf>
    <xf numFmtId="0" fontId="0" fillId="2" borderId="11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2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" xfId="0" applyNumberFormat="1" applyBorder="1">
      <alignment vertical="center"/>
    </xf>
    <xf numFmtId="0" fontId="0" fillId="0" borderId="8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5" fillId="8" borderId="16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0" fillId="0" borderId="3" xfId="0" applyNumberFormat="1" applyBorder="1">
      <alignment vertical="center"/>
    </xf>
    <xf numFmtId="41" fontId="0" fillId="0" borderId="1" xfId="1" applyFont="1" applyFill="1" applyBorder="1">
      <alignment vertical="center"/>
    </xf>
    <xf numFmtId="0" fontId="0" fillId="3" borderId="0" xfId="0" applyFill="1">
      <alignment vertical="center"/>
    </xf>
    <xf numFmtId="41" fontId="0" fillId="0" borderId="1" xfId="1" applyFont="1" applyBorder="1">
      <alignment vertical="center"/>
    </xf>
    <xf numFmtId="0" fontId="0" fillId="0" borderId="17" xfId="0" applyBorder="1">
      <alignment vertical="center"/>
    </xf>
    <xf numFmtId="0" fontId="5" fillId="5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15" borderId="3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4" borderId="19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12" borderId="19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13" borderId="19" xfId="0" applyFont="1" applyFill="1" applyBorder="1" applyAlignment="1">
      <alignment horizontal="center" vertical="center"/>
    </xf>
    <xf numFmtId="0" fontId="10" fillId="14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13" fillId="0" borderId="0" xfId="0" applyFont="1">
      <alignment vertical="center"/>
    </xf>
    <xf numFmtId="0" fontId="0" fillId="0" borderId="4" xfId="0" applyFill="1" applyBorder="1">
      <alignment vertical="center"/>
    </xf>
    <xf numFmtId="0" fontId="0" fillId="4" borderId="0" xfId="0" applyFill="1">
      <alignment vertical="center"/>
    </xf>
    <xf numFmtId="0" fontId="5" fillId="8" borderId="3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47">
    <dxf>
      <numFmt numFmtId="0" formatCode="General"/>
      <border diagonalUp="0" diagonalDown="0">
        <left style="thin">
          <color theme="6"/>
        </left>
        <right/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numFmt numFmtId="0" formatCode="General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numFmt numFmtId="0" formatCode="General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numFmt numFmtId="0" formatCode="General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/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>
        <top style="thin">
          <color theme="6"/>
        </top>
      </border>
    </dxf>
    <dxf>
      <border diagonalUp="0" diagonalDown="0">
        <left/>
        <right/>
        <top/>
        <bottom/>
      </border>
    </dxf>
    <dxf>
      <border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/>
        <bottom/>
        <vertical style="thin">
          <color theme="6"/>
        </vertical>
        <horizontal style="thin">
          <color theme="6"/>
        </horizontal>
      </border>
    </dxf>
    <dxf>
      <numFmt numFmtId="0" formatCode="General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3"/>
        <charset val="16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/>
        <family val="3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/>
        <family val="3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1</xdr:row>
          <xdr:rowOff>129540</xdr:rowOff>
        </xdr:from>
        <xdr:to>
          <xdr:col>10</xdr:col>
          <xdr:colOff>1181100</xdr:colOff>
          <xdr:row>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Cov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0</xdr:row>
          <xdr:rowOff>60960</xdr:rowOff>
        </xdr:from>
        <xdr:to>
          <xdr:col>3</xdr:col>
          <xdr:colOff>0</xdr:colOff>
          <xdr:row>1</xdr:row>
          <xdr:rowOff>60960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세팅 &amp; 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</xdr:row>
          <xdr:rowOff>114300</xdr:rowOff>
        </xdr:from>
        <xdr:to>
          <xdr:col>3</xdr:col>
          <xdr:colOff>7620</xdr:colOff>
          <xdr:row>2</xdr:row>
          <xdr:rowOff>99060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찍기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</xdr:row>
          <xdr:rowOff>144780</xdr:rowOff>
        </xdr:from>
        <xdr:to>
          <xdr:col>2</xdr:col>
          <xdr:colOff>1211580</xdr:colOff>
          <xdr:row>3</xdr:row>
          <xdr:rowOff>129540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ACB0D3-2688-4176-8CEC-221C718BF703}" name="TAB_Qx" displayName="TAB_Qx" ref="B6:EA29" totalsRowShown="0" headerRowDxfId="246" headerRowBorderDxfId="245" tableBorderDxfId="244" totalsRowBorderDxfId="243">
  <autoFilter ref="B6:EA29" xr:uid="{0FACB0D3-2688-4176-8CEC-221C718BF703}"/>
  <tableColumns count="130">
    <tableColumn id="2" xr3:uid="{B05B78DD-21B8-497A-BE85-5AF036AD8124}" name="위험률코드" dataDxfId="242"/>
    <tableColumn id="3" xr3:uid="{5AE3584E-CF24-4E40-BFC5-F05FBA895FB3}" name="위험률명" dataDxfId="241">
      <calculatedColumnFormula>VLOOKUP(TAB_Qx[[#This Row],[위험률코드]], TAB_INFO_Qx,2,FALSE)</calculatedColumnFormula>
    </tableColumn>
    <tableColumn id="133" xr3:uid="{A0483CBF-ABE5-4269-B366-32234256D9C0}" name="성별" dataDxfId="240"/>
    <tableColumn id="1" xr3:uid="{6525B827-A96B-432B-827D-25909A3C73DD}" name="상해급수" dataDxfId="239"/>
    <tableColumn id="4" xr3:uid="{551C68F0-4DEB-49DE-9631-8222AA200C32}" name="운전자급수" dataDxfId="238"/>
    <tableColumn id="5" xr3:uid="{1957502F-9EC4-41DB-B343-F8332D477DC2}" name="최초가입연령" dataDxfId="237"/>
    <tableColumn id="6" xr3:uid="{FED7D93C-0588-404E-A7B5-38D4DE6489EF}" name="변호사급수" dataDxfId="236"/>
    <tableColumn id="7" xr3:uid="{07778DDD-2BD7-4D69-9D1F-0973CA4636E2}" name="물건급수" dataDxfId="235"/>
    <tableColumn id="132" xr3:uid="{B0A33F1D-8856-43E3-BBFA-800CD6227EF5}" name="구분자" dataDxfId="234">
      <calculatedColumnFormula array="1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calculatedColumnFormula>
    </tableColumn>
    <tableColumn id="10" xr3:uid="{470FBAE1-D21F-4EEC-A5E1-A3B9E28867F4}" name="qx(0)" dataDxfId="233"/>
    <tableColumn id="11" xr3:uid="{3AD0FC32-2FC6-4C2E-A427-23700554A2E5}" name="qx(1)" dataDxfId="232"/>
    <tableColumn id="12" xr3:uid="{7FCD659C-01B9-43DF-B4D7-36DDA672B5AC}" name="qx(2)" dataDxfId="231"/>
    <tableColumn id="13" xr3:uid="{076EB53A-6463-451E-A951-6DD4F89F935F}" name="qx(3)" dataDxfId="230"/>
    <tableColumn id="14" xr3:uid="{642A74EB-70B7-4888-87A2-5CD3AC685D8D}" name="qx(4)" dataDxfId="229"/>
    <tableColumn id="15" xr3:uid="{DF462A55-51D8-49EE-A1FB-64F5BAE249A8}" name="qx(5)" dataDxfId="228"/>
    <tableColumn id="16" xr3:uid="{B839B335-1332-40EF-9640-BABB0A8F1E12}" name="qx(6)" dataDxfId="227"/>
    <tableColumn id="17" xr3:uid="{4DB4986A-CAC4-4431-884F-DCD40227708C}" name="qx(7)" dataDxfId="226"/>
    <tableColumn id="18" xr3:uid="{D518FC58-6B49-4826-8258-F1C37D02C49B}" name="qx(8)" dataDxfId="225"/>
    <tableColumn id="19" xr3:uid="{E269C6F8-92EA-4212-AEC0-1F93BE07A06D}" name="qx(9)" dataDxfId="224"/>
    <tableColumn id="20" xr3:uid="{206AFEF8-F27C-4B55-A9D9-55BDAD347DD8}" name="qx(10)" dataDxfId="223"/>
    <tableColumn id="21" xr3:uid="{81C364B3-363A-4F27-ACE9-DB62A585C48B}" name="qx(11)" dataDxfId="222"/>
    <tableColumn id="22" xr3:uid="{1A7A5F48-8DD3-4548-9D8E-DA37DAD85CE8}" name="qx(12)" dataDxfId="221"/>
    <tableColumn id="23" xr3:uid="{4E1FBA25-35FF-4E9A-AD61-E76F64510A67}" name="qx(13)" dataDxfId="220"/>
    <tableColumn id="24" xr3:uid="{FE901274-B81C-46DE-96A3-91190707BCF6}" name="qx(14)" dataDxfId="219"/>
    <tableColumn id="25" xr3:uid="{666163A0-F4C6-491D-A41E-FB9DC1862E3C}" name="qx(15)" dataDxfId="218"/>
    <tableColumn id="26" xr3:uid="{960082AF-3C7D-48B4-B4E0-BC89EAF9BBA3}" name="qx(16)" dataDxfId="217"/>
    <tableColumn id="27" xr3:uid="{650B3E53-9B0A-4399-8B82-B94EE2B00D5F}" name="qx(17)" dataDxfId="216"/>
    <tableColumn id="28" xr3:uid="{C866ABE1-21FF-4920-B87E-5E61FEC2D136}" name="qx(18)" dataDxfId="215"/>
    <tableColumn id="29" xr3:uid="{4CF7D066-48F8-40C2-86BF-226158FD10E9}" name="qx(19)" dataDxfId="214"/>
    <tableColumn id="30" xr3:uid="{707BB909-07F4-45BB-9E22-1C83FF897579}" name="qx(20)" dataDxfId="213"/>
    <tableColumn id="31" xr3:uid="{2798FDAF-FE7B-414F-AB48-4F08216E843E}" name="qx(21)" dataDxfId="212"/>
    <tableColumn id="32" xr3:uid="{FE806250-1D5C-41B6-B158-A526817ECD41}" name="qx(22)" dataDxfId="211"/>
    <tableColumn id="33" xr3:uid="{56D5BE50-938E-4DAF-B969-29EE711A1AFC}" name="qx(23)" dataDxfId="210"/>
    <tableColumn id="34" xr3:uid="{77C40F2A-6907-4F8B-B5BE-D5D4AFB6A8F8}" name="qx(24)" dataDxfId="209"/>
    <tableColumn id="35" xr3:uid="{10BBBA80-27C3-4D6E-9E01-99C35BA96E25}" name="qx(25)" dataDxfId="208"/>
    <tableColumn id="36" xr3:uid="{97F0AE81-D99E-4B61-B5D4-54B0842ACC4D}" name="qx(26)" dataDxfId="207"/>
    <tableColumn id="37" xr3:uid="{956066D6-A1C7-4C47-A0B6-F71FA572F980}" name="qx(27)" dataDxfId="206"/>
    <tableColumn id="38" xr3:uid="{201229F3-F616-481D-815F-E763FCA9A90E}" name="qx(28)" dataDxfId="205"/>
    <tableColumn id="39" xr3:uid="{483FD0AA-A111-461F-81CB-9BF29ADB88B2}" name="qx(29)" dataDxfId="204"/>
    <tableColumn id="40" xr3:uid="{4FBF9644-2E97-4E49-A183-961574A7FE2B}" name="qx(30)" dataDxfId="203"/>
    <tableColumn id="41" xr3:uid="{924B141F-313F-49A4-8058-20A84FF2B269}" name="qx(31)" dataDxfId="202"/>
    <tableColumn id="42" xr3:uid="{075723E6-5FDA-413C-8CED-C70F689A9771}" name="qx(32)" dataDxfId="201"/>
    <tableColumn id="43" xr3:uid="{219BB954-97A3-44F9-91A2-0D7D5C2FE690}" name="qx(33)" dataDxfId="200"/>
    <tableColumn id="44" xr3:uid="{3B5DA2CF-379D-49FE-B9AF-6078F7F20BA9}" name="qx(34)" dataDxfId="199"/>
    <tableColumn id="45" xr3:uid="{7AAF4D88-5B1C-4FB0-9A50-93B1050FD7F8}" name="qx(35)" dataDxfId="198"/>
    <tableColumn id="46" xr3:uid="{9D0983C2-B1E7-45A4-BF1B-1D02B97D7FDA}" name="qx(36)" dataDxfId="197"/>
    <tableColumn id="47" xr3:uid="{D0132953-DE82-469F-BB19-1443DEE7274E}" name="qx(37)" dataDxfId="196"/>
    <tableColumn id="48" xr3:uid="{AF1CC5F4-F18B-4F4A-9E9B-41C374F161E9}" name="qx(38)" dataDxfId="195"/>
    <tableColumn id="49" xr3:uid="{F502D5DA-D32F-45F6-9029-671D4436B082}" name="qx(39)" dataDxfId="194"/>
    <tableColumn id="50" xr3:uid="{9AF5BD69-43F5-457C-BBE7-6BC31E92B7C6}" name="qx(40)" dataDxfId="193"/>
    <tableColumn id="51" xr3:uid="{2DC330CB-F3FC-4319-958A-CB43EF77EB5E}" name="qx(41)" dataDxfId="192"/>
    <tableColumn id="52" xr3:uid="{F468D8E9-CB5E-4B49-85CB-0FFA7A248127}" name="qx(42)" dataDxfId="191"/>
    <tableColumn id="53" xr3:uid="{388E2AE1-5864-4AAB-AF0E-032F83637F22}" name="qx(43)" dataDxfId="190"/>
    <tableColumn id="54" xr3:uid="{B2034A5B-664E-4BC5-8D6C-8D6C5554E840}" name="qx(44)" dataDxfId="189"/>
    <tableColumn id="55" xr3:uid="{8DF216CD-F1D4-4F31-B091-D7441A75225C}" name="qx(45)" dataDxfId="188"/>
    <tableColumn id="56" xr3:uid="{A5A20DB3-9F7F-48C2-9B17-8AE3DB61F70D}" name="qx(46)" dataDxfId="187"/>
    <tableColumn id="57" xr3:uid="{ADDA403D-53E6-4721-9E24-78A97A41F1BF}" name="qx(47)" dataDxfId="186"/>
    <tableColumn id="58" xr3:uid="{510447DD-2A79-4623-A8CD-2F68BB01A1A5}" name="qx(48)" dataDxfId="185"/>
    <tableColumn id="59" xr3:uid="{7BC9FDE4-2CDD-4D4A-B448-CED75F076DB4}" name="qx(49)" dataDxfId="184"/>
    <tableColumn id="60" xr3:uid="{DCFCC4ED-BADE-4B2A-BB0F-1D404326BF69}" name="qx(50)" dataDxfId="183"/>
    <tableColumn id="61" xr3:uid="{FFE7631A-0C6C-4897-A0BB-742F5CE6952E}" name="qx(51)" dataDxfId="182"/>
    <tableColumn id="62" xr3:uid="{C8404A0B-3B6D-4CEE-A4CD-61FFBB1CEB88}" name="qx(52)" dataDxfId="181"/>
    <tableColumn id="63" xr3:uid="{1866B12C-2F20-4F76-B6C4-AC4026274372}" name="qx(53)" dataDxfId="180"/>
    <tableColumn id="64" xr3:uid="{CBF421F5-F79F-44D2-BF2A-C8656F5B4ED5}" name="qx(54)" dataDxfId="179"/>
    <tableColumn id="65" xr3:uid="{A5188AE5-741E-422A-A43C-53C2BA18EFD5}" name="qx(55)" dataDxfId="178"/>
    <tableColumn id="66" xr3:uid="{85DA41C9-C422-417A-971F-9DB575D6605F}" name="qx(56)" dataDxfId="177"/>
    <tableColumn id="67" xr3:uid="{C6182B97-CE36-4092-8FF1-00BF3C7DB1C2}" name="qx(57)" dataDxfId="176"/>
    <tableColumn id="68" xr3:uid="{5E1E8516-92F7-4A26-BB93-6F6881F85204}" name="qx(58)" dataDxfId="175"/>
    <tableColumn id="69" xr3:uid="{494869FC-03A1-4223-A8A4-BB76FA0BB866}" name="qx(59)" dataDxfId="174"/>
    <tableColumn id="70" xr3:uid="{2375C800-09FE-4007-A3F4-E699AD94E971}" name="qx(60)" dataDxfId="173"/>
    <tableColumn id="71" xr3:uid="{1D5D7E6A-8C56-4CCD-B41E-EF230E2D0998}" name="qx(61)" dataDxfId="172"/>
    <tableColumn id="72" xr3:uid="{1FDB5BEC-8BC3-49A3-955F-448A6E8A5C27}" name="qx(62)" dataDxfId="171"/>
    <tableColumn id="73" xr3:uid="{A291652F-DE4F-44BC-BADB-41B36E1DF812}" name="qx(63)" dataDxfId="170"/>
    <tableColumn id="74" xr3:uid="{F8FE10B7-FA60-4C07-B10B-4B30E29DFAF1}" name="qx(64)" dataDxfId="169"/>
    <tableColumn id="75" xr3:uid="{BCF99C23-FEEF-46D8-8F9A-A6145A55C77B}" name="qx(65)" dataDxfId="168"/>
    <tableColumn id="76" xr3:uid="{27CF4F32-3F99-4044-A356-032A2DC7344D}" name="qx(66)" dataDxfId="167"/>
    <tableColumn id="77" xr3:uid="{8C1BC349-19E8-4F95-A456-4E218647E3B5}" name="qx(67)" dataDxfId="166"/>
    <tableColumn id="78" xr3:uid="{32499AF1-6B7E-4260-8A5B-4597CB3A969B}" name="qx(68)" dataDxfId="165"/>
    <tableColumn id="79" xr3:uid="{11641E54-1EA1-4AC8-9EB9-C97A92752C29}" name="qx(69)" dataDxfId="164"/>
    <tableColumn id="80" xr3:uid="{E41F78C1-A8DB-412D-A169-8DFF34697492}" name="qx(70)" dataDxfId="163"/>
    <tableColumn id="81" xr3:uid="{0A5E10E4-F341-41CC-B53B-B8835FA5223D}" name="qx(71)" dataDxfId="162"/>
    <tableColumn id="82" xr3:uid="{BCF274DD-C810-4391-872F-D53BE8C5EDE2}" name="qx(72)" dataDxfId="161"/>
    <tableColumn id="83" xr3:uid="{0482B087-5D08-4B4E-A393-1C695367A784}" name="qx(73)" dataDxfId="160"/>
    <tableColumn id="84" xr3:uid="{E3A6AC2D-995C-4FC5-B1EB-CFB2521921D1}" name="qx(74)" dataDxfId="159"/>
    <tableColumn id="85" xr3:uid="{5330BB15-0ACA-41E1-A505-A6AB3E5D35DB}" name="qx(75)" dataDxfId="158"/>
    <tableColumn id="86" xr3:uid="{A6356605-C226-467D-9CD7-FE49A16ADA81}" name="qx(76)" dataDxfId="157"/>
    <tableColumn id="87" xr3:uid="{C46021B0-5697-48E2-ABB9-0D218C974B35}" name="qx(77)" dataDxfId="156"/>
    <tableColumn id="88" xr3:uid="{7CE3DC3B-5C63-4D97-B9FA-B070C9ED586D}" name="qx(78)" dataDxfId="155"/>
    <tableColumn id="89" xr3:uid="{E0C9663E-4C09-4F09-B8C4-C7A705142C35}" name="qx(79)" dataDxfId="154"/>
    <tableColumn id="90" xr3:uid="{D523ECD0-EA03-4192-ADC4-0133E463E13C}" name="qx(80)" dataDxfId="153"/>
    <tableColumn id="91" xr3:uid="{1E2C0D26-B347-403F-8A65-FA8B72CE78C1}" name="qx(81)" dataDxfId="152"/>
    <tableColumn id="92" xr3:uid="{6DABA211-1F70-4016-B99B-D16963C66AC0}" name="qx(82)" dataDxfId="151"/>
    <tableColumn id="93" xr3:uid="{0470080A-CDC1-4A70-B1B5-69A484ECE74F}" name="qx(83)" dataDxfId="150"/>
    <tableColumn id="94" xr3:uid="{C51D7C95-E166-4EBB-B33A-C2C63E1CC8FE}" name="qx(84)" dataDxfId="149"/>
    <tableColumn id="95" xr3:uid="{51675D95-5EB9-4D3C-AB01-7F10D859CE6D}" name="qx(85)" dataDxfId="148"/>
    <tableColumn id="96" xr3:uid="{E6FCBEA1-7455-4EF5-9BFF-A761DA533A64}" name="qx(86)" dataDxfId="147"/>
    <tableColumn id="97" xr3:uid="{6041DFDD-CD91-4945-9F48-9B4EC5BAE9E4}" name="qx(87)" dataDxfId="146"/>
    <tableColumn id="98" xr3:uid="{59795CCA-1E3E-4EB9-B533-E57FD7879AA3}" name="qx(88)" dataDxfId="145"/>
    <tableColumn id="99" xr3:uid="{0FE8EE03-BA01-4A18-9848-0249A706C21F}" name="qx(89)" dataDxfId="144"/>
    <tableColumn id="100" xr3:uid="{A251F11B-4972-4224-BF51-AD82E61320A0}" name="qx(90)" dataDxfId="143"/>
    <tableColumn id="101" xr3:uid="{1745E8E2-D1DD-4109-A88B-72ECA7E269B6}" name="qx(91)" dataDxfId="142"/>
    <tableColumn id="102" xr3:uid="{E7109F13-578B-432C-B4C6-2878E5D9A339}" name="qx(92)" dataDxfId="141"/>
    <tableColumn id="103" xr3:uid="{3301820A-3AE3-4045-9581-5FF36B08A879}" name="qx(93)" dataDxfId="140"/>
    <tableColumn id="104" xr3:uid="{DF0B5CD3-FAE7-46B3-B261-689FAC411E92}" name="qx(94)" dataDxfId="139"/>
    <tableColumn id="105" xr3:uid="{A86FA52F-6013-4907-9C03-E5C24E87E966}" name="qx(95)" dataDxfId="138"/>
    <tableColumn id="106" xr3:uid="{34C2256C-75B7-4D49-98ED-B2E30EBA4FE5}" name="qx(96)" dataDxfId="137"/>
    <tableColumn id="107" xr3:uid="{C00C39A2-3071-497E-ABDE-684CCFEB0EEF}" name="qx(97)" dataDxfId="136"/>
    <tableColumn id="108" xr3:uid="{D802818B-BD59-4F64-95DE-4D6ADC14923F}" name="qx(98)" dataDxfId="135"/>
    <tableColumn id="109" xr3:uid="{2FD3D7A6-E711-46F7-8312-45533EECB740}" name="qx(99)" dataDxfId="134"/>
    <tableColumn id="110" xr3:uid="{6E0114F3-563D-4133-8553-5866DC71CA32}" name="qx(100)" dataDxfId="133"/>
    <tableColumn id="111" xr3:uid="{C8825AFB-ED49-4476-A190-BC399253AF34}" name="qx(101)" dataDxfId="132"/>
    <tableColumn id="112" xr3:uid="{DE528C2F-2571-4FCE-B740-D83AC0CC5E17}" name="qx(102)" dataDxfId="131"/>
    <tableColumn id="113" xr3:uid="{E5C42A81-54A4-43CC-AC23-1D7807599AB4}" name="qx(103)" dataDxfId="130"/>
    <tableColumn id="114" xr3:uid="{2471477F-7854-4F1F-BE70-83A7019E72A6}" name="qx(104)" dataDxfId="129"/>
    <tableColumn id="115" xr3:uid="{5D192F0B-55D2-4700-B75B-8FBBDDC8C060}" name="qx(105)" dataDxfId="128"/>
    <tableColumn id="116" xr3:uid="{80D34A72-8CB8-4719-9D97-805D2E2BDAA3}" name="qx(106)" dataDxfId="127"/>
    <tableColumn id="117" xr3:uid="{C5544E73-7B10-4C9E-AF6D-361D0ACEDCE9}" name="qx(107)" dataDxfId="126"/>
    <tableColumn id="118" xr3:uid="{D44A43DB-0BE0-4560-9AB7-4877FEF493A4}" name="qx(108)" dataDxfId="125"/>
    <tableColumn id="119" xr3:uid="{8D54C13B-2B79-4BB6-B50B-E1D7C8F2FA31}" name="qx(109)" dataDxfId="124"/>
    <tableColumn id="120" xr3:uid="{14A610E8-2692-4E50-A4FF-C8883D5E8126}" name="qx(110)" dataDxfId="123"/>
    <tableColumn id="121" xr3:uid="{4D86FB1F-DF5A-4230-8CAF-B49544810485}" name="qx(111)" dataDxfId="122"/>
    <tableColumn id="122" xr3:uid="{4A803F90-552C-45DD-96A1-04BF1357FE8C}" name="qx(112)" dataDxfId="121"/>
    <tableColumn id="123" xr3:uid="{D812BC49-CA34-4A5F-ADD9-231290E5C685}" name="qx(113)" dataDxfId="120"/>
    <tableColumn id="124" xr3:uid="{69F30F06-4588-4DE7-B045-C1027D870E10}" name="qx(114)" dataDxfId="119"/>
    <tableColumn id="125" xr3:uid="{718AAAFB-233C-43D2-AB1F-A3DD7CE7DB18}" name="qx(115)" dataDxfId="118"/>
    <tableColumn id="126" xr3:uid="{BBAA2CB2-27AA-4944-A926-1E4B45C9F0D2}" name="qx(116)" dataDxfId="117"/>
    <tableColumn id="127" xr3:uid="{C93D4BB6-9291-458F-BB64-69D8F2A38325}" name="qx(117)" dataDxfId="116"/>
    <tableColumn id="128" xr3:uid="{431FDA38-59F8-46DB-AC06-EB34C8BA409E}" name="qx(118)" dataDxfId="115"/>
    <tableColumn id="129" xr3:uid="{99DF9004-35F9-442A-83A9-CF6624D44871}" name="qx(119)" dataDxfId="114"/>
    <tableColumn id="130" xr3:uid="{1ED1E82D-95BA-4D38-9D3A-F7E59BCBA08C}" name="qx(120)" dataDxfId="11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1A8848-C302-4403-B996-151CA8F3BCCA}" name="TAB_Code" displayName="TAB_Code" ref="B6:W33" totalsRowShown="0" headerRowDxfId="112" headerRowBorderDxfId="111" tableBorderDxfId="110" totalsRowBorderDxfId="109">
  <autoFilter ref="B6:W33" xr:uid="{0B1A8848-C302-4403-B996-151CA8F3BCCA}"/>
  <tableColumns count="22">
    <tableColumn id="1" xr3:uid="{6251A4D7-4174-4948-835A-66BC7E805DEB}" name="담보코드" dataDxfId="108"/>
    <tableColumn id="2" xr3:uid="{905A7105-E805-4A7C-8CD9-5B139D11190F}" name="담보명" dataDxfId="107">
      <calculatedColumnFormula>VLOOKUP(TAB_Code[[#This Row],[담보코드]],TAB_INFO_COV, 2, FALSE)</calculatedColumnFormula>
    </tableColumn>
    <tableColumn id="3" xr3:uid="{140D7925-A8AD-478F-97E7-97D95383EC53}" name="형" dataDxfId="106"/>
    <tableColumn id="4" xr3:uid="{9858F6EB-8E06-4943-B871-6BD33D6BC274}" name="종" dataDxfId="105"/>
    <tableColumn id="5" xr3:uid="{79B3ABFD-6F28-480F-8F48-0DFF696D190F}" name="신규/갱신" dataDxfId="104"/>
    <tableColumn id="6" xr3:uid="{177E22AF-BD0F-4BA6-A570-BECECC3DFA39}" name="sub1" dataDxfId="103"/>
    <tableColumn id="7" xr3:uid="{5C364D33-5754-4BF1-8AFD-8427EF1D0775}" name="sub2" dataDxfId="102"/>
    <tableColumn id="21" xr3:uid="{7E47CB74-3FC7-4DB8-8845-3C3DC4F63D42}" name="sub3" dataDxfId="101"/>
    <tableColumn id="27" xr3:uid="{C38A9B4D-2A3A-451A-815F-55D46B3B7E21}" name="단일률?" dataDxfId="100"/>
    <tableColumn id="8" xr3:uid="{A803C66A-C327-4F1A-80F3-BDA5551A9EF7}" name="담보키" dataDxfId="99">
      <calculatedColumnFormula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calculatedColumnFormula>
    </tableColumn>
    <tableColumn id="20" xr3:uid="{E6F2C742-BC63-43AD-A823-8066830360C6}" name="급부번호" dataDxfId="98"/>
    <tableColumn id="9" xr3:uid="{D5D2A163-1697-4F76-B385-4BB66B695237}" name="탈퇴위험률코드" dataDxfId="97"/>
    <tableColumn id="22" xr3:uid="{A4FE1950-44F6-4A9D-B6A5-D3418339D4B5}" name="탈퇴위험률명" dataDxfId="96">
      <calculatedColumnFormula>IFERROR(VLOOKUP(TAB_Code[[#This Row],[탈퇴위험률코드]], Remark!$A$5:$B$101, 2, FALSE), "")</calculatedColumnFormula>
    </tableColumn>
    <tableColumn id="11" xr3:uid="{73CDBAF7-ED7F-4675-A4C9-F12F7CF4D224}" name="부담보기간" dataDxfId="95"/>
    <tableColumn id="12" xr3:uid="{08AD98AC-BB23-4C80-80DE-7E38E3A4782B}" name="급부위험률코드" dataDxfId="94"/>
    <tableColumn id="23" xr3:uid="{E6F287C7-47EA-45A9-8C84-C2C6529AC3DE}" name="급부위험률명" dataDxfId="93">
      <calculatedColumnFormula>IFERROR(VLOOKUP(TAB_Code[[#This Row],[급부위험률코드]], Remark!$A$5:$B$101, 2, FALSE), "")</calculatedColumnFormula>
    </tableColumn>
    <tableColumn id="14" xr3:uid="{9AF1416E-182C-44FD-8004-1AEC15D201B2}" name="지급률" dataDxfId="92"/>
    <tableColumn id="15" xr3:uid="{1CDA9723-85DF-420F-B6DF-2E76ACAE111A}" name="감액률" dataDxfId="91"/>
    <tableColumn id="16" xr3:uid="{2D75D3B4-EB87-4FE5-AB98-7498330C62BA}" name="감액기간" dataDxfId="90"/>
    <tableColumn id="17" xr3:uid="{6EF686CF-C4AA-49A4-AE48-944B8896495A}" name="납면위험률코드" dataDxfId="89"/>
    <tableColumn id="24" xr3:uid="{F5C44554-F2A1-42CF-B16D-35D2D4C83E4C}" name="납면위험률명" dataDxfId="88">
      <calculatedColumnFormula>IFERROR(VLOOKUP(TAB_Code[[#This Row],[납면위험률코드]], Remark!$A$5:$B$101, 2, FALSE), "")</calculatedColumnFormula>
    </tableColumn>
    <tableColumn id="19" xr3:uid="{4072D250-84B8-4ABF-88EC-6D048593EC80}" name="무효해지기간" dataDxfId="8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82C328-60AD-4835-96BC-2F7CAEF44DC6}" name="TAB_Comb" displayName="TAB_Comb" ref="B6:AD8" totalsRowShown="0" headerRowDxfId="86" headerRowBorderDxfId="85" tableBorderDxfId="84" totalsRowBorderDxfId="83">
  <autoFilter ref="B6:AD8" xr:uid="{1782C328-60AD-4835-96BC-2F7CAEF44DC6}"/>
  <tableColumns count="29">
    <tableColumn id="3" xr3:uid="{F0A1B4BC-CDE5-4A3C-BC90-AE4EEBBE4AA1}" name="담보코드" dataDxfId="82"/>
    <tableColumn id="2" xr3:uid="{2C6DA9F6-5ADD-43F3-9A03-C3DE2331C4C7}" name="담보명" dataDxfId="81">
      <calculatedColumnFormula>VLOOKUP(TAB_Comb[[#This Row],[담보코드]], TAB_INFO_COV, 2, FALSE)</calculatedColumnFormula>
    </tableColumn>
    <tableColumn id="1" xr3:uid="{F3B53BD3-46B4-4DB9-AAB6-3B28BDCC92ED}" name="결합위험률코드" dataDxfId="80"/>
    <tableColumn id="4" xr3:uid="{6E22D5FE-ADBD-440C-98CC-8A5774D1CC0A}" name="NumQx" dataDxfId="79">
      <calculatedColumnFormula>COUNTA(TAB_Comb[[#This Row],[Qx(1)]],TAB_Comb[[#This Row],[Qx(2)]],TAB_Comb[[#This Row],[Qx(3)]],TAB_Comb[[#This Row],[Qx(4)]],TAB_Comb[[#This Row],[Qx(5)]],TAB_Comb[[#This Row],[Qx(6)]],TAB_Comb[[#This Row],[Qx(7)]],TAB_Comb[[#This Row],[Qx(8)]])</calculatedColumnFormula>
    </tableColumn>
    <tableColumn id="5" xr3:uid="{C4A3F9A0-B8F0-49C3-8164-584E2AC4E0CD}" name="Oper" dataDxfId="78"/>
    <tableColumn id="6" xr3:uid="{7A2A7D60-C578-42DF-B27B-72B3C7835626}" name="Qx(1)" dataDxfId="77"/>
    <tableColumn id="7" xr3:uid="{DC5A66DE-676A-435A-9008-E04FD7D1EE60}" name="위험률명(1)" dataDxfId="76">
      <calculatedColumnFormula>IFERROR(VLOOKUP(TAB_Comb[[#This Row],[Qx(1)]], TAB_INFO_Qx, 2, FALSE), "")</calculatedColumnFormula>
    </tableColumn>
    <tableColumn id="8" xr3:uid="{A047581E-12D5-46C4-B95A-8613B1E4855B}" name="k(1)" dataDxfId="75"/>
    <tableColumn id="9" xr3:uid="{402A2429-8D59-4876-85DC-0BF22B2F0832}" name="Qx(2)" dataDxfId="74"/>
    <tableColumn id="10" xr3:uid="{5DC5F768-5140-41FD-ADDB-BAEB0A97003E}" name="위험률명(2)" dataDxfId="73">
      <calculatedColumnFormula>IFERROR(VLOOKUP(TAB_Comb[[#This Row],[Qx(2)]], TAB_INFO_Qx, 2, FALSE), "")</calculatedColumnFormula>
    </tableColumn>
    <tableColumn id="11" xr3:uid="{FAD8802B-E278-42CA-AF30-E3357E566F51}" name="k(2)" dataDxfId="72"/>
    <tableColumn id="12" xr3:uid="{1602BB99-6BB1-44EF-9203-F406B72AE10D}" name="Qx(3)" dataDxfId="71"/>
    <tableColumn id="13" xr3:uid="{62BAFC56-1ADB-4F5B-A5DE-F0BF2F63DF71}" name="위험률명(3)" dataDxfId="70">
      <calculatedColumnFormula>IFERROR(VLOOKUP(TAB_Comb[[#This Row],[Qx(3)]], TAB_INFO_Qx, 2, FALSE), "")</calculatedColumnFormula>
    </tableColumn>
    <tableColumn id="14" xr3:uid="{5AF6A91D-43A1-40C4-946B-BD2BC32824A1}" name="k(3)" dataDxfId="69"/>
    <tableColumn id="15" xr3:uid="{2129F68D-691E-4840-BFA2-719FD1BA0FF6}" name="Qx(4)" dataDxfId="68"/>
    <tableColumn id="16" xr3:uid="{C8CEAA9A-133E-43F5-90D5-E8ECAC0DF625}" name="위험률명(4)" dataDxfId="67"/>
    <tableColumn id="17" xr3:uid="{AD68D6B3-B82A-48C5-9AE4-1CF0EDBFCA58}" name="k(4)" dataDxfId="66"/>
    <tableColumn id="18" xr3:uid="{6DE4F1A8-D507-4FB4-9189-E6BE0CD5FA3E}" name="Qx(5)" dataDxfId="65"/>
    <tableColumn id="19" xr3:uid="{1A49FBD1-D63C-41D5-9D42-BD0A2063458F}" name="위험률명(5)" dataDxfId="64"/>
    <tableColumn id="20" xr3:uid="{0872403E-CB7B-40B9-9591-13BCD6712BB9}" name="k(5)" dataDxfId="63"/>
    <tableColumn id="21" xr3:uid="{60571EE0-E707-44A1-99C0-C82265B176B8}" name="Qx(6)" dataDxfId="62"/>
    <tableColumn id="22" xr3:uid="{E8B440F6-8A11-4E70-BC6E-EC9C416368FE}" name="위험률명(6)" dataDxfId="61"/>
    <tableColumn id="23" xr3:uid="{35170146-99AF-443E-AFFF-10EE4FB41139}" name="k(6)" dataDxfId="60"/>
    <tableColumn id="24" xr3:uid="{26466199-ADA4-40AB-9E67-686FA9B07DFD}" name="Qx(7)" dataDxfId="59"/>
    <tableColumn id="25" xr3:uid="{A729B105-4A3C-41AE-9714-E53437E4EADB}" name="위험률명(7)" dataDxfId="58"/>
    <tableColumn id="26" xr3:uid="{00BBEDEF-C9DC-4A85-B3FC-3DDE33B0E719}" name="k(7)" dataDxfId="57"/>
    <tableColumn id="27" xr3:uid="{89A666A2-7822-4577-BE70-30322073DB96}" name="Qx(8)" dataDxfId="56"/>
    <tableColumn id="28" xr3:uid="{9025F67C-4805-4B9F-AA70-DBAD97EE3604}" name="위험률명(8)" dataDxfId="55"/>
    <tableColumn id="29" xr3:uid="{CCA184AA-AE20-4044-A167-5C81FAA98D0D}" name="k(8)" dataDxfId="5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012877-5007-44F2-8C9B-525BD4F9A3D3}" name="TAB_Expense" displayName="TAB_Expense" ref="B6:T41" totalsRowShown="0" headerRowDxfId="53" headerRowBorderDxfId="52" tableBorderDxfId="51" totalsRowBorderDxfId="50">
  <autoFilter ref="B6:T41" xr:uid="{AE012877-5007-44F2-8C9B-525BD4F9A3D3}"/>
  <tableColumns count="19">
    <tableColumn id="1" xr3:uid="{DB97B744-3177-4AD6-82FA-99EAF73DD890}" name="담보코드" dataDxfId="49"/>
    <tableColumn id="2" xr3:uid="{253102D1-C1BF-4521-BA6B-11FD37704AF4}" name="담보명" dataDxfId="48">
      <calculatedColumnFormula>VLOOKUP(TAB_Expense[[#This Row],[담보코드]], TAB_INFO_COV, 2, FALSE)</calculatedColumnFormula>
    </tableColumn>
    <tableColumn id="3" xr3:uid="{0A8EA1B8-958A-455D-B6A0-F03FA6E08F19}" name="형" dataDxfId="47"/>
    <tableColumn id="4" xr3:uid="{17CB15E4-63C5-4373-8406-BA66BC6F0F26}" name="종" dataDxfId="46"/>
    <tableColumn id="5" xr3:uid="{5A167B04-6D05-4F24-960D-A8F100367A85}" name="신규/갱신" dataDxfId="45"/>
    <tableColumn id="6" xr3:uid="{F79AEBB9-B229-41BA-B772-3426DEB086EC}" name="sub1" dataDxfId="44"/>
    <tableColumn id="7" xr3:uid="{0052A8D4-9C6E-4AD9-B7B3-CD208D488406}" name="sub2" dataDxfId="43"/>
    <tableColumn id="8" xr3:uid="{96871B7E-B944-4AB9-87A0-318919244040}" name="sub3" dataDxfId="42"/>
    <tableColumn id="9" xr3:uid="{4DCCBFBC-531A-4898-80FA-D5C550F4EC8B}" name="담보키" dataDxfId="41">
      <calculatedColumnFormula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calculatedColumnFormula>
    </tableColumn>
    <tableColumn id="10" xr3:uid="{DE043EE8-8391-445E-A378-74ECE2075F16}" name="가입금액" dataDxfId="40">
      <calculatedColumnFormula>VLOOKUP(TAB_Expense[[#This Row],[담보코드]], TAB_INFO_COV, 3, FALSE)</calculatedColumnFormula>
    </tableColumn>
    <tableColumn id="20" xr3:uid="{DFF4311E-516E-4CC3-BF5D-1540549AFBFA}" name="보험기간" dataDxfId="39"/>
    <tableColumn id="11" xr3:uid="{66EF9DA9-A04C-4B9E-8C72-6E8D0E0AB89C}" name="α1" dataDxfId="38">
      <calculatedColumnFormula array="1">INDEX($W$7:$AF$13, MATCH(TAB_Expense[[#This Row],[담보명]],$V$7:$V$13, 0), TAB_Expense[[#This Row],[보험기간]])</calculatedColumnFormula>
    </tableColumn>
    <tableColumn id="12" xr3:uid="{D9557D6D-9A6B-4AD3-9350-C04FD7A03467}" name="α2" dataDxfId="37"/>
    <tableColumn id="13" xr3:uid="{535048A0-A771-43C9-BE1E-3EC719550C5A}" name="α3" dataDxfId="36">
      <calculatedColumnFormula>AB7</calculatedColumnFormula>
    </tableColumn>
    <tableColumn id="15" xr3:uid="{445BD787-1CC2-4CE1-A3A5-D76F9FC38653}" name="β1" dataDxfId="35">
      <calculatedColumnFormula>AC7</calculatedColumnFormula>
    </tableColumn>
    <tableColumn id="16" xr3:uid="{335CBB3E-217F-4359-BB32-E47C1D92CDA1}" name="β2" dataDxfId="34">
      <calculatedColumnFormula>AD7</calculatedColumnFormula>
    </tableColumn>
    <tableColumn id="17" xr3:uid="{8131AAA6-CC47-41B3-A99B-711AAA54444A}" name="β5" dataDxfId="33"/>
    <tableColumn id="18" xr3:uid="{EB3E9AEE-89CD-44DE-8251-654F9F6F308D}" name="γ" dataDxfId="32">
      <calculatedColumnFormula>AE7</calculatedColumnFormula>
    </tableColumn>
    <tableColumn id="19" xr3:uid="{05ED664D-4D68-46B6-9214-82ECB62B490F}" name="ce" dataDxfId="31">
      <calculatedColumnFormula>AF7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51A421-34FB-4169-8370-674197438548}" name="TAB_Srate" displayName="TAB_Srate" ref="B5:AB12" totalsRowShown="0" headerRowDxfId="30" headerRowBorderDxfId="29" tableBorderDxfId="28" totalsRowBorderDxfId="27">
  <autoFilter ref="B5:AB12" xr:uid="{6451A421-34FB-4169-8370-674197438548}"/>
  <tableColumns count="27">
    <tableColumn id="1" xr3:uid="{D049FD8E-4131-48A5-82BC-7338FB6646AB}" name="담보코드" dataDxfId="26"/>
    <tableColumn id="2" xr3:uid="{982D4796-4686-480A-BFC2-7280C972FF20}" name="담보명" dataDxfId="25">
      <calculatedColumnFormula>VLOOKUP(TAB_Srate[[#This Row],[담보코드]], TAB_INFO_COV, 2, FALSE)</calculatedColumnFormula>
    </tableColumn>
    <tableColumn id="3" xr3:uid="{6CA96B45-474E-4D50-BD0D-B05FD36AA8F5}" name="형" dataDxfId="24"/>
    <tableColumn id="4" xr3:uid="{517747C7-D806-4D40-8AD1-03DAC2A9334D}" name="종" dataDxfId="23"/>
    <tableColumn id="5" xr3:uid="{74551574-6A6B-4908-BFBC-EDDDD65114A4}" name="신규/갱신" dataDxfId="22"/>
    <tableColumn id="6" xr3:uid="{07555FC6-09E6-40F7-93A6-5C0ADC89AF88}" name="sub1" dataDxfId="21"/>
    <tableColumn id="7" xr3:uid="{60D9387B-31AF-4789-AC88-ABD2BC3F6EBF}" name="sub2" dataDxfId="20"/>
    <tableColumn id="8" xr3:uid="{5D4614C8-E542-41DA-95D6-24403D9F4B09}" name="sub3" dataDxfId="19"/>
    <tableColumn id="9" xr3:uid="{88780744-4A95-4360-895E-EB80C2556A85}" name="담보키" dataDxfId="18">
      <calculatedColumnFormula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calculatedColumnFormula>
    </tableColumn>
    <tableColumn id="10" xr3:uid="{78ABBF08-482F-4B19-8D7B-A40C73DA0E02}" name="세만기" dataDxfId="17"/>
    <tableColumn id="11" xr3:uid="{F2098931-DDBA-45D7-9F46-AABE44BA4E89}" name="최초나이" dataDxfId="16"/>
    <tableColumn id="12" xr3:uid="{7BFDED2B-33C0-49F6-83D5-3BD5CA1497F6}" name="최종나이" dataDxfId="15"/>
    <tableColumn id="13" xr3:uid="{7D857885-5D9A-4EBF-95ED-7534BDF90B43}" name="중간연령" dataDxfId="14"/>
    <tableColumn id="14" xr3:uid="{FC15E299-3172-4E11-9DE4-23E76734F7C8}" name="x" dataDxfId="13"/>
    <tableColumn id="15" xr3:uid="{0724BDC0-B7DD-4630-9795-8A7CACA6EE82}" name="n" dataDxfId="12"/>
    <tableColumn id="16" xr3:uid="{DA3195FE-BCAD-4CAA-A53F-AA101E3D188C}" name="m" dataDxfId="11"/>
    <tableColumn id="17" xr3:uid="{C2C5FC9A-E24A-46E4-8521-1B73D64B6897}" name="성별" dataDxfId="10"/>
    <tableColumn id="18" xr3:uid="{5B0BFBB6-7F92-4C2F-8CDA-F7B5110CF6EA}" name="상해급수" dataDxfId="9"/>
    <tableColumn id="19" xr3:uid="{BEA2A6ED-27FE-4AB5-BA34-CA17476720CD}" name="운전자구분" dataDxfId="8"/>
    <tableColumn id="20" xr3:uid="{C68526D6-4F16-4DE4-8E13-2B10FC269BFD}" name="최초가입연령" dataDxfId="7"/>
    <tableColumn id="21" xr3:uid="{8D697341-3753-45E3-B4F3-7D4382B35F63}" name="변호사급수" dataDxfId="6"/>
    <tableColumn id="22" xr3:uid="{D3E30EB5-E2D5-4EEB-B014-C0BEA1D925B3}" name="물건급수" dataDxfId="5"/>
    <tableColumn id="23" xr3:uid="{A5813FAC-3C9F-4F1F-845B-044FFA7DB2E7}" name="납방계수" dataDxfId="4"/>
    <tableColumn id="24" xr3:uid="{6C8B443F-7CCC-4382-B157-843A161C3F79}" name="위험보험료" dataDxfId="3"/>
    <tableColumn id="25" xr3:uid="{AE70A355-D8D3-4833-BAE8-C7D33613627E}" name="정기보험순보" dataDxfId="2"/>
    <tableColumn id="26" xr3:uid="{9C31862F-9024-4FD6-9F07-99EEC8673302}" name="위험보험료/정기보험순보" dataDxfId="1">
      <calculatedColumnFormula>TAB_Srate[[#This Row],[위험보험료]]/TAB_Srate[[#This Row],[정기보험순보]]</calculatedColumnFormula>
    </tableColumn>
    <tableColumn id="27" xr3:uid="{B82C126F-E8A4-4262-A2C5-1C08D6437A72}" name="S rate" dataDxfId="0">
      <calculatedColumnFormula>_xlfn.MINIFS(TAB_Srate[위험보험료/정기보험순보],TAB_Srate[담보키], TAB_Srate[[#This Row],[담보키]])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7A8AC-F575-47E6-AF0B-A8CA8A20FB0B}">
  <sheetPr codeName="Sheet1">
    <pageSetUpPr fitToPage="1"/>
  </sheetPr>
  <dimension ref="B1:EA31"/>
  <sheetViews>
    <sheetView showGridLines="0" tabSelected="1" view="pageBreakPreview" zoomScale="6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H15" sqref="H15"/>
    </sheetView>
  </sheetViews>
  <sheetFormatPr defaultRowHeight="17.399999999999999"/>
  <cols>
    <col min="1" max="1" width="1.296875" customWidth="1"/>
    <col min="2" max="2" width="9" customWidth="1"/>
    <col min="3" max="3" width="32.296875" bestFit="1" customWidth="1"/>
    <col min="4" max="4" width="9" bestFit="1" customWidth="1"/>
    <col min="5" max="5" width="8.59765625" bestFit="1" customWidth="1"/>
    <col min="6" max="6" width="10.3984375" bestFit="1" customWidth="1"/>
    <col min="7" max="7" width="12.3984375" bestFit="1" customWidth="1"/>
    <col min="8" max="8" width="10.3984375" bestFit="1" customWidth="1"/>
    <col min="9" max="9" width="8.59765625" bestFit="1" customWidth="1"/>
    <col min="10" max="10" width="10.796875" style="2" bestFit="1" customWidth="1"/>
    <col min="111" max="131" width="8.8984375" customWidth="1"/>
  </cols>
  <sheetData>
    <row r="1" spans="2:131" s="3" customFormat="1">
      <c r="B1" s="3">
        <v>1</v>
      </c>
      <c r="C1" s="3">
        <f t="shared" ref="C1:D1" si="0">B1+1</f>
        <v>2</v>
      </c>
      <c r="D1" s="3">
        <f t="shared" si="0"/>
        <v>3</v>
      </c>
      <c r="E1" s="3">
        <f t="shared" ref="E1" si="1">D1+1</f>
        <v>4</v>
      </c>
      <c r="F1" s="3">
        <f t="shared" ref="F1" si="2">E1+1</f>
        <v>5</v>
      </c>
      <c r="G1" s="3">
        <f t="shared" ref="G1" si="3">F1+1</f>
        <v>6</v>
      </c>
      <c r="H1" s="3">
        <f t="shared" ref="H1" si="4">G1+1</f>
        <v>7</v>
      </c>
      <c r="I1" s="3">
        <f>H1+1</f>
        <v>8</v>
      </c>
      <c r="J1" s="3">
        <f t="shared" ref="J1" si="5">I1+1</f>
        <v>9</v>
      </c>
      <c r="K1" s="3">
        <f t="shared" ref="K1" si="6">J1+1</f>
        <v>10</v>
      </c>
      <c r="L1" s="3">
        <f t="shared" ref="L1" si="7">K1+1</f>
        <v>11</v>
      </c>
      <c r="M1" s="3">
        <f t="shared" ref="M1" si="8">L1+1</f>
        <v>12</v>
      </c>
      <c r="N1" s="3">
        <f t="shared" ref="N1" si="9">M1+1</f>
        <v>13</v>
      </c>
      <c r="O1" s="3">
        <f t="shared" ref="O1" si="10">N1+1</f>
        <v>14</v>
      </c>
      <c r="P1" s="3">
        <f t="shared" ref="P1" si="11">O1+1</f>
        <v>15</v>
      </c>
      <c r="Q1" s="3">
        <f t="shared" ref="Q1" si="12">P1+1</f>
        <v>16</v>
      </c>
      <c r="R1" s="3">
        <f t="shared" ref="R1" si="13">Q1+1</f>
        <v>17</v>
      </c>
      <c r="S1" s="3">
        <f t="shared" ref="S1" si="14">R1+1</f>
        <v>18</v>
      </c>
      <c r="T1" s="3">
        <f t="shared" ref="T1" si="15">S1+1</f>
        <v>19</v>
      </c>
      <c r="U1" s="3">
        <f t="shared" ref="U1" si="16">T1+1</f>
        <v>20</v>
      </c>
      <c r="V1" s="3">
        <f t="shared" ref="V1" si="17">U1+1</f>
        <v>21</v>
      </c>
      <c r="W1" s="3">
        <f t="shared" ref="W1" si="18">V1+1</f>
        <v>22</v>
      </c>
      <c r="X1" s="3">
        <f t="shared" ref="X1" si="19">W1+1</f>
        <v>23</v>
      </c>
      <c r="Y1" s="3">
        <f t="shared" ref="Y1" si="20">X1+1</f>
        <v>24</v>
      </c>
      <c r="Z1" s="3">
        <f t="shared" ref="Z1" si="21">Y1+1</f>
        <v>25</v>
      </c>
      <c r="AA1" s="3">
        <f t="shared" ref="AA1" si="22">Z1+1</f>
        <v>26</v>
      </c>
      <c r="AB1" s="3">
        <f t="shared" ref="AB1" si="23">AA1+1</f>
        <v>27</v>
      </c>
      <c r="AC1" s="3">
        <f t="shared" ref="AC1" si="24">AB1+1</f>
        <v>28</v>
      </c>
      <c r="AD1" s="3">
        <f t="shared" ref="AD1" si="25">AC1+1</f>
        <v>29</v>
      </c>
      <c r="AE1" s="3">
        <f t="shared" ref="AE1" si="26">AD1+1</f>
        <v>30</v>
      </c>
      <c r="AF1" s="3">
        <f t="shared" ref="AF1" si="27">AE1+1</f>
        <v>31</v>
      </c>
      <c r="AG1" s="3">
        <f t="shared" ref="AG1" si="28">AF1+1</f>
        <v>32</v>
      </c>
      <c r="AH1" s="3">
        <f t="shared" ref="AH1" si="29">AG1+1</f>
        <v>33</v>
      </c>
      <c r="AI1" s="3">
        <f t="shared" ref="AI1" si="30">AH1+1</f>
        <v>34</v>
      </c>
      <c r="AJ1" s="3">
        <f t="shared" ref="AJ1" si="31">AI1+1</f>
        <v>35</v>
      </c>
      <c r="AK1" s="3">
        <f t="shared" ref="AK1" si="32">AJ1+1</f>
        <v>36</v>
      </c>
      <c r="AL1" s="3">
        <f t="shared" ref="AL1" si="33">AK1+1</f>
        <v>37</v>
      </c>
      <c r="AM1" s="3">
        <f t="shared" ref="AM1" si="34">AL1+1</f>
        <v>38</v>
      </c>
      <c r="AN1" s="3">
        <f t="shared" ref="AN1" si="35">AM1+1</f>
        <v>39</v>
      </c>
      <c r="AO1" s="3">
        <f t="shared" ref="AO1" si="36">AN1+1</f>
        <v>40</v>
      </c>
      <c r="AP1" s="3">
        <f t="shared" ref="AP1" si="37">AO1+1</f>
        <v>41</v>
      </c>
      <c r="AQ1" s="3">
        <f t="shared" ref="AQ1" si="38">AP1+1</f>
        <v>42</v>
      </c>
      <c r="AR1" s="3">
        <f t="shared" ref="AR1" si="39">AQ1+1</f>
        <v>43</v>
      </c>
      <c r="AS1" s="3">
        <f t="shared" ref="AS1" si="40">AR1+1</f>
        <v>44</v>
      </c>
      <c r="AT1" s="3">
        <f t="shared" ref="AT1" si="41">AS1+1</f>
        <v>45</v>
      </c>
      <c r="AU1" s="3">
        <f t="shared" ref="AU1" si="42">AT1+1</f>
        <v>46</v>
      </c>
      <c r="AV1" s="3">
        <f t="shared" ref="AV1" si="43">AU1+1</f>
        <v>47</v>
      </c>
      <c r="AW1" s="3">
        <f t="shared" ref="AW1" si="44">AV1+1</f>
        <v>48</v>
      </c>
      <c r="AX1" s="3">
        <f t="shared" ref="AX1" si="45">AW1+1</f>
        <v>49</v>
      </c>
      <c r="AY1" s="3">
        <f t="shared" ref="AY1" si="46">AX1+1</f>
        <v>50</v>
      </c>
      <c r="AZ1" s="3">
        <f t="shared" ref="AZ1" si="47">AY1+1</f>
        <v>51</v>
      </c>
      <c r="BA1" s="3">
        <f t="shared" ref="BA1" si="48">AZ1+1</f>
        <v>52</v>
      </c>
      <c r="BB1" s="3">
        <f t="shared" ref="BB1" si="49">BA1+1</f>
        <v>53</v>
      </c>
      <c r="BC1" s="3">
        <f t="shared" ref="BC1" si="50">BB1+1</f>
        <v>54</v>
      </c>
      <c r="BD1" s="3">
        <f t="shared" ref="BD1" si="51">BC1+1</f>
        <v>55</v>
      </c>
      <c r="BE1" s="3">
        <f t="shared" ref="BE1" si="52">BD1+1</f>
        <v>56</v>
      </c>
      <c r="BF1" s="3">
        <f t="shared" ref="BF1" si="53">BE1+1</f>
        <v>57</v>
      </c>
      <c r="BG1" s="3">
        <f t="shared" ref="BG1" si="54">BF1+1</f>
        <v>58</v>
      </c>
      <c r="BH1" s="3">
        <f t="shared" ref="BH1" si="55">BG1+1</f>
        <v>59</v>
      </c>
      <c r="BI1" s="3">
        <f t="shared" ref="BI1" si="56">BH1+1</f>
        <v>60</v>
      </c>
      <c r="BJ1" s="3">
        <f t="shared" ref="BJ1" si="57">BI1+1</f>
        <v>61</v>
      </c>
      <c r="BK1" s="3">
        <f t="shared" ref="BK1" si="58">BJ1+1</f>
        <v>62</v>
      </c>
      <c r="BL1" s="3">
        <f t="shared" ref="BL1" si="59">BK1+1</f>
        <v>63</v>
      </c>
      <c r="BM1" s="3">
        <f t="shared" ref="BM1" si="60">BL1+1</f>
        <v>64</v>
      </c>
      <c r="BN1" s="3">
        <f t="shared" ref="BN1" si="61">BM1+1</f>
        <v>65</v>
      </c>
      <c r="BO1" s="3">
        <f t="shared" ref="BO1" si="62">BN1+1</f>
        <v>66</v>
      </c>
      <c r="BP1" s="3">
        <f t="shared" ref="BP1" si="63">BO1+1</f>
        <v>67</v>
      </c>
      <c r="BQ1" s="3">
        <f t="shared" ref="BQ1" si="64">BP1+1</f>
        <v>68</v>
      </c>
      <c r="BR1" s="3">
        <f t="shared" ref="BR1" si="65">BQ1+1</f>
        <v>69</v>
      </c>
      <c r="BS1" s="3">
        <f t="shared" ref="BS1" si="66">BR1+1</f>
        <v>70</v>
      </c>
      <c r="BT1" s="3">
        <f t="shared" ref="BT1" si="67">BS1+1</f>
        <v>71</v>
      </c>
      <c r="BU1" s="3">
        <f t="shared" ref="BU1" si="68">BT1+1</f>
        <v>72</v>
      </c>
      <c r="BV1" s="3">
        <f t="shared" ref="BV1" si="69">BU1+1</f>
        <v>73</v>
      </c>
      <c r="BW1" s="3">
        <f t="shared" ref="BW1" si="70">BV1+1</f>
        <v>74</v>
      </c>
      <c r="BX1" s="3">
        <f t="shared" ref="BX1" si="71">BW1+1</f>
        <v>75</v>
      </c>
      <c r="BY1" s="3">
        <f t="shared" ref="BY1" si="72">BX1+1</f>
        <v>76</v>
      </c>
      <c r="BZ1" s="3">
        <f t="shared" ref="BZ1" si="73">BY1+1</f>
        <v>77</v>
      </c>
      <c r="CA1" s="3">
        <f t="shared" ref="CA1" si="74">BZ1+1</f>
        <v>78</v>
      </c>
      <c r="CB1" s="3">
        <f t="shared" ref="CB1" si="75">CA1+1</f>
        <v>79</v>
      </c>
      <c r="CC1" s="3">
        <f t="shared" ref="CC1" si="76">CB1+1</f>
        <v>80</v>
      </c>
      <c r="CD1" s="3">
        <f t="shared" ref="CD1" si="77">CC1+1</f>
        <v>81</v>
      </c>
      <c r="CE1" s="3">
        <f t="shared" ref="CE1" si="78">CD1+1</f>
        <v>82</v>
      </c>
      <c r="CF1" s="3">
        <f t="shared" ref="CF1" si="79">CE1+1</f>
        <v>83</v>
      </c>
      <c r="CG1" s="3">
        <f t="shared" ref="CG1" si="80">CF1+1</f>
        <v>84</v>
      </c>
      <c r="CH1" s="3">
        <f t="shared" ref="CH1" si="81">CG1+1</f>
        <v>85</v>
      </c>
      <c r="CI1" s="3">
        <f t="shared" ref="CI1" si="82">CH1+1</f>
        <v>86</v>
      </c>
      <c r="CJ1" s="3">
        <f t="shared" ref="CJ1" si="83">CI1+1</f>
        <v>87</v>
      </c>
      <c r="CK1" s="3">
        <f t="shared" ref="CK1" si="84">CJ1+1</f>
        <v>88</v>
      </c>
      <c r="CL1" s="3">
        <f t="shared" ref="CL1" si="85">CK1+1</f>
        <v>89</v>
      </c>
      <c r="CM1" s="3">
        <f t="shared" ref="CM1" si="86">CL1+1</f>
        <v>90</v>
      </c>
      <c r="CN1" s="3">
        <f t="shared" ref="CN1" si="87">CM1+1</f>
        <v>91</v>
      </c>
      <c r="CO1" s="3">
        <f t="shared" ref="CO1" si="88">CN1+1</f>
        <v>92</v>
      </c>
      <c r="CP1" s="3">
        <f t="shared" ref="CP1" si="89">CO1+1</f>
        <v>93</v>
      </c>
      <c r="CQ1" s="3">
        <f t="shared" ref="CQ1" si="90">CP1+1</f>
        <v>94</v>
      </c>
      <c r="CR1" s="3">
        <f t="shared" ref="CR1" si="91">CQ1+1</f>
        <v>95</v>
      </c>
      <c r="CS1" s="3">
        <f t="shared" ref="CS1" si="92">CR1+1</f>
        <v>96</v>
      </c>
      <c r="CT1" s="3">
        <f t="shared" ref="CT1" si="93">CS1+1</f>
        <v>97</v>
      </c>
      <c r="CU1" s="3">
        <f t="shared" ref="CU1" si="94">CT1+1</f>
        <v>98</v>
      </c>
      <c r="CV1" s="3">
        <f t="shared" ref="CV1" si="95">CU1+1</f>
        <v>99</v>
      </c>
      <c r="CW1" s="3">
        <f t="shared" ref="CW1" si="96">CV1+1</f>
        <v>100</v>
      </c>
      <c r="CX1" s="3">
        <f t="shared" ref="CX1" si="97">CW1+1</f>
        <v>101</v>
      </c>
      <c r="CY1" s="3">
        <f t="shared" ref="CY1" si="98">CX1+1</f>
        <v>102</v>
      </c>
      <c r="CZ1" s="3">
        <f t="shared" ref="CZ1" si="99">CY1+1</f>
        <v>103</v>
      </c>
      <c r="DA1" s="3">
        <f t="shared" ref="DA1" si="100">CZ1+1</f>
        <v>104</v>
      </c>
      <c r="DB1" s="3">
        <f t="shared" ref="DB1" si="101">DA1+1</f>
        <v>105</v>
      </c>
      <c r="DC1" s="3">
        <f t="shared" ref="DC1" si="102">DB1+1</f>
        <v>106</v>
      </c>
      <c r="DD1" s="3">
        <f t="shared" ref="DD1" si="103">DC1+1</f>
        <v>107</v>
      </c>
      <c r="DE1" s="3">
        <f t="shared" ref="DE1" si="104">DD1+1</f>
        <v>108</v>
      </c>
      <c r="DF1" s="3">
        <f t="shared" ref="DF1" si="105">DE1+1</f>
        <v>109</v>
      </c>
      <c r="DG1" s="3">
        <f t="shared" ref="DG1" si="106">DF1+1</f>
        <v>110</v>
      </c>
      <c r="DH1" s="3">
        <f t="shared" ref="DH1" si="107">DG1+1</f>
        <v>111</v>
      </c>
      <c r="DI1" s="3">
        <f t="shared" ref="DI1" si="108">DH1+1</f>
        <v>112</v>
      </c>
      <c r="DJ1" s="3">
        <f t="shared" ref="DJ1" si="109">DI1+1</f>
        <v>113</v>
      </c>
      <c r="DK1" s="3">
        <f t="shared" ref="DK1" si="110">DJ1+1</f>
        <v>114</v>
      </c>
      <c r="DL1" s="3">
        <f t="shared" ref="DL1" si="111">DK1+1</f>
        <v>115</v>
      </c>
      <c r="DM1" s="3">
        <f t="shared" ref="DM1" si="112">DL1+1</f>
        <v>116</v>
      </c>
      <c r="DN1" s="3">
        <f t="shared" ref="DN1" si="113">DM1+1</f>
        <v>117</v>
      </c>
      <c r="DO1" s="3">
        <f t="shared" ref="DO1" si="114">DN1+1</f>
        <v>118</v>
      </c>
      <c r="DP1" s="3">
        <f t="shared" ref="DP1" si="115">DO1+1</f>
        <v>119</v>
      </c>
      <c r="DQ1" s="3">
        <f t="shared" ref="DQ1" si="116">DP1+1</f>
        <v>120</v>
      </c>
      <c r="DR1" s="3">
        <f t="shared" ref="DR1" si="117">DQ1+1</f>
        <v>121</v>
      </c>
      <c r="DS1" s="3">
        <f t="shared" ref="DS1" si="118">DR1+1</f>
        <v>122</v>
      </c>
      <c r="DT1" s="3">
        <f t="shared" ref="DT1" si="119">DS1+1</f>
        <v>123</v>
      </c>
      <c r="DU1" s="3">
        <f t="shared" ref="DU1" si="120">DT1+1</f>
        <v>124</v>
      </c>
      <c r="DV1" s="3">
        <f t="shared" ref="DV1" si="121">DU1+1</f>
        <v>125</v>
      </c>
      <c r="DW1" s="3">
        <f t="shared" ref="DW1" si="122">DV1+1</f>
        <v>126</v>
      </c>
      <c r="DX1" s="3">
        <f t="shared" ref="DX1" si="123">DW1+1</f>
        <v>127</v>
      </c>
      <c r="DY1" s="3">
        <f t="shared" ref="DY1" si="124">DX1+1</f>
        <v>128</v>
      </c>
      <c r="DZ1" s="3">
        <f t="shared" ref="DZ1" si="125">DY1+1</f>
        <v>129</v>
      </c>
      <c r="EA1" s="3">
        <f t="shared" ref="EA1" si="126">DZ1+1</f>
        <v>130</v>
      </c>
    </row>
    <row r="3" spans="2:131">
      <c r="B3" s="4" t="s">
        <v>129</v>
      </c>
    </row>
    <row r="5" spans="2:131" s="2" customFormat="1">
      <c r="D5" s="2" t="s">
        <v>388</v>
      </c>
      <c r="E5" s="2" t="s">
        <v>181</v>
      </c>
      <c r="F5" s="2" t="s">
        <v>181</v>
      </c>
      <c r="G5" s="2" t="s">
        <v>182</v>
      </c>
      <c r="H5" s="2" t="s">
        <v>181</v>
      </c>
      <c r="I5" s="2" t="s">
        <v>183</v>
      </c>
    </row>
    <row r="6" spans="2:131" s="1" customFormat="1">
      <c r="B6" s="16" t="s">
        <v>0</v>
      </c>
      <c r="C6" s="17" t="s">
        <v>127</v>
      </c>
      <c r="D6" s="19" t="s">
        <v>122</v>
      </c>
      <c r="E6" s="19" t="s">
        <v>174</v>
      </c>
      <c r="F6" s="19" t="s">
        <v>175</v>
      </c>
      <c r="G6" s="19" t="s">
        <v>176</v>
      </c>
      <c r="H6" s="19" t="s">
        <v>177</v>
      </c>
      <c r="I6" s="19" t="s">
        <v>178</v>
      </c>
      <c r="J6" s="18" t="s">
        <v>179</v>
      </c>
      <c r="K6" s="20" t="s">
        <v>1</v>
      </c>
      <c r="L6" s="20" t="s">
        <v>2</v>
      </c>
      <c r="M6" s="20" t="s">
        <v>3</v>
      </c>
      <c r="N6" s="20" t="s">
        <v>4</v>
      </c>
      <c r="O6" s="20" t="s">
        <v>5</v>
      </c>
      <c r="P6" s="20" t="s">
        <v>6</v>
      </c>
      <c r="Q6" s="20" t="s">
        <v>7</v>
      </c>
      <c r="R6" s="20" t="s">
        <v>8</v>
      </c>
      <c r="S6" s="20" t="s">
        <v>9</v>
      </c>
      <c r="T6" s="20" t="s">
        <v>10</v>
      </c>
      <c r="U6" s="20" t="s">
        <v>11</v>
      </c>
      <c r="V6" s="20" t="s">
        <v>12</v>
      </c>
      <c r="W6" s="20" t="s">
        <v>13</v>
      </c>
      <c r="X6" s="20" t="s">
        <v>14</v>
      </c>
      <c r="Y6" s="20" t="s">
        <v>15</v>
      </c>
      <c r="Z6" s="20" t="s">
        <v>16</v>
      </c>
      <c r="AA6" s="20" t="s">
        <v>17</v>
      </c>
      <c r="AB6" s="20" t="s">
        <v>18</v>
      </c>
      <c r="AC6" s="20" t="s">
        <v>19</v>
      </c>
      <c r="AD6" s="20" t="s">
        <v>20</v>
      </c>
      <c r="AE6" s="20" t="s">
        <v>21</v>
      </c>
      <c r="AF6" s="20" t="s">
        <v>22</v>
      </c>
      <c r="AG6" s="20" t="s">
        <v>23</v>
      </c>
      <c r="AH6" s="20" t="s">
        <v>24</v>
      </c>
      <c r="AI6" s="20" t="s">
        <v>25</v>
      </c>
      <c r="AJ6" s="20" t="s">
        <v>26</v>
      </c>
      <c r="AK6" s="20" t="s">
        <v>27</v>
      </c>
      <c r="AL6" s="20" t="s">
        <v>28</v>
      </c>
      <c r="AM6" s="20" t="s">
        <v>29</v>
      </c>
      <c r="AN6" s="20" t="s">
        <v>30</v>
      </c>
      <c r="AO6" s="20" t="s">
        <v>31</v>
      </c>
      <c r="AP6" s="20" t="s">
        <v>32</v>
      </c>
      <c r="AQ6" s="20" t="s">
        <v>33</v>
      </c>
      <c r="AR6" s="20" t="s">
        <v>34</v>
      </c>
      <c r="AS6" s="20" t="s">
        <v>35</v>
      </c>
      <c r="AT6" s="20" t="s">
        <v>36</v>
      </c>
      <c r="AU6" s="20" t="s">
        <v>37</v>
      </c>
      <c r="AV6" s="20" t="s">
        <v>38</v>
      </c>
      <c r="AW6" s="20" t="s">
        <v>39</v>
      </c>
      <c r="AX6" s="20" t="s">
        <v>40</v>
      </c>
      <c r="AY6" s="20" t="s">
        <v>41</v>
      </c>
      <c r="AZ6" s="20" t="s">
        <v>42</v>
      </c>
      <c r="BA6" s="20" t="s">
        <v>43</v>
      </c>
      <c r="BB6" s="20" t="s">
        <v>44</v>
      </c>
      <c r="BC6" s="20" t="s">
        <v>45</v>
      </c>
      <c r="BD6" s="20" t="s">
        <v>46</v>
      </c>
      <c r="BE6" s="20" t="s">
        <v>47</v>
      </c>
      <c r="BF6" s="20" t="s">
        <v>48</v>
      </c>
      <c r="BG6" s="20" t="s">
        <v>49</v>
      </c>
      <c r="BH6" s="20" t="s">
        <v>50</v>
      </c>
      <c r="BI6" s="20" t="s">
        <v>51</v>
      </c>
      <c r="BJ6" s="20" t="s">
        <v>52</v>
      </c>
      <c r="BK6" s="20" t="s">
        <v>53</v>
      </c>
      <c r="BL6" s="20" t="s">
        <v>54</v>
      </c>
      <c r="BM6" s="20" t="s">
        <v>55</v>
      </c>
      <c r="BN6" s="20" t="s">
        <v>56</v>
      </c>
      <c r="BO6" s="20" t="s">
        <v>57</v>
      </c>
      <c r="BP6" s="20" t="s">
        <v>58</v>
      </c>
      <c r="BQ6" s="20" t="s">
        <v>59</v>
      </c>
      <c r="BR6" s="20" t="s">
        <v>60</v>
      </c>
      <c r="BS6" s="20" t="s">
        <v>61</v>
      </c>
      <c r="BT6" s="20" t="s">
        <v>62</v>
      </c>
      <c r="BU6" s="20" t="s">
        <v>63</v>
      </c>
      <c r="BV6" s="20" t="s">
        <v>64</v>
      </c>
      <c r="BW6" s="20" t="s">
        <v>65</v>
      </c>
      <c r="BX6" s="20" t="s">
        <v>66</v>
      </c>
      <c r="BY6" s="20" t="s">
        <v>67</v>
      </c>
      <c r="BZ6" s="20" t="s">
        <v>68</v>
      </c>
      <c r="CA6" s="20" t="s">
        <v>69</v>
      </c>
      <c r="CB6" s="20" t="s">
        <v>70</v>
      </c>
      <c r="CC6" s="20" t="s">
        <v>71</v>
      </c>
      <c r="CD6" s="20" t="s">
        <v>72</v>
      </c>
      <c r="CE6" s="20" t="s">
        <v>73</v>
      </c>
      <c r="CF6" s="20" t="s">
        <v>74</v>
      </c>
      <c r="CG6" s="20" t="s">
        <v>75</v>
      </c>
      <c r="CH6" s="20" t="s">
        <v>76</v>
      </c>
      <c r="CI6" s="20" t="s">
        <v>77</v>
      </c>
      <c r="CJ6" s="20" t="s">
        <v>78</v>
      </c>
      <c r="CK6" s="20" t="s">
        <v>79</v>
      </c>
      <c r="CL6" s="20" t="s">
        <v>80</v>
      </c>
      <c r="CM6" s="20" t="s">
        <v>81</v>
      </c>
      <c r="CN6" s="20" t="s">
        <v>82</v>
      </c>
      <c r="CO6" s="20" t="s">
        <v>83</v>
      </c>
      <c r="CP6" s="20" t="s">
        <v>84</v>
      </c>
      <c r="CQ6" s="20" t="s">
        <v>85</v>
      </c>
      <c r="CR6" s="20" t="s">
        <v>86</v>
      </c>
      <c r="CS6" s="20" t="s">
        <v>87</v>
      </c>
      <c r="CT6" s="20" t="s">
        <v>88</v>
      </c>
      <c r="CU6" s="20" t="s">
        <v>89</v>
      </c>
      <c r="CV6" s="20" t="s">
        <v>90</v>
      </c>
      <c r="CW6" s="20" t="s">
        <v>91</v>
      </c>
      <c r="CX6" s="20" t="s">
        <v>92</v>
      </c>
      <c r="CY6" s="20" t="s">
        <v>93</v>
      </c>
      <c r="CZ6" s="20" t="s">
        <v>94</v>
      </c>
      <c r="DA6" s="20" t="s">
        <v>95</v>
      </c>
      <c r="DB6" s="20" t="s">
        <v>96</v>
      </c>
      <c r="DC6" s="20" t="s">
        <v>97</v>
      </c>
      <c r="DD6" s="20" t="s">
        <v>98</v>
      </c>
      <c r="DE6" s="20" t="s">
        <v>99</v>
      </c>
      <c r="DF6" s="20" t="s">
        <v>100</v>
      </c>
      <c r="DG6" s="20" t="s">
        <v>101</v>
      </c>
      <c r="DH6" s="20" t="s">
        <v>102</v>
      </c>
      <c r="DI6" s="20" t="s">
        <v>103</v>
      </c>
      <c r="DJ6" s="20" t="s">
        <v>104</v>
      </c>
      <c r="DK6" s="20" t="s">
        <v>105</v>
      </c>
      <c r="DL6" s="20" t="s">
        <v>106</v>
      </c>
      <c r="DM6" s="20" t="s">
        <v>107</v>
      </c>
      <c r="DN6" s="20" t="s">
        <v>108</v>
      </c>
      <c r="DO6" s="20" t="s">
        <v>109</v>
      </c>
      <c r="DP6" s="20" t="s">
        <v>110</v>
      </c>
      <c r="DQ6" s="20" t="s">
        <v>111</v>
      </c>
      <c r="DR6" s="20" t="s">
        <v>112</v>
      </c>
      <c r="DS6" s="20" t="s">
        <v>113</v>
      </c>
      <c r="DT6" s="20" t="s">
        <v>114</v>
      </c>
      <c r="DU6" s="20" t="s">
        <v>115</v>
      </c>
      <c r="DV6" s="20" t="s">
        <v>116</v>
      </c>
      <c r="DW6" s="20" t="s">
        <v>117</v>
      </c>
      <c r="DX6" s="20" t="s">
        <v>118</v>
      </c>
      <c r="DY6" s="20" t="s">
        <v>119</v>
      </c>
      <c r="DZ6" s="20" t="s">
        <v>120</v>
      </c>
      <c r="EA6" s="21" t="s">
        <v>121</v>
      </c>
    </row>
    <row r="7" spans="2:131">
      <c r="B7" s="6" t="s">
        <v>329</v>
      </c>
      <c r="C7" s="6" t="str">
        <f>VLOOKUP(TAB_Qx[[#This Row],[위험률코드]], TAB_INFO_Qx,2,FALSE)</f>
        <v>질병후유장해(80%미만)(감액없음)</v>
      </c>
      <c r="D7" s="6">
        <v>1</v>
      </c>
      <c r="E7" s="6"/>
      <c r="F7" s="6"/>
      <c r="G7" s="6"/>
      <c r="H7" s="6"/>
      <c r="I7" s="6"/>
      <c r="J7" s="23" t="str" cm="1">
        <f t="array" ref="J7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7" s="6">
        <v>2.9E-5</v>
      </c>
      <c r="L7" s="6">
        <v>2.9E-5</v>
      </c>
      <c r="M7" s="6">
        <v>2.6999999999999999E-5</v>
      </c>
      <c r="N7" s="6">
        <v>2.6999999999999999E-5</v>
      </c>
      <c r="O7" s="6">
        <v>3.1000000000000001E-5</v>
      </c>
      <c r="P7" s="6">
        <v>3.1000000000000001E-5</v>
      </c>
      <c r="Q7" s="6">
        <v>2.9E-5</v>
      </c>
      <c r="R7" s="6">
        <v>2.9E-5</v>
      </c>
      <c r="S7" s="6">
        <v>2.4000000000000001E-5</v>
      </c>
      <c r="T7" s="6">
        <v>3.0000000000000001E-5</v>
      </c>
      <c r="U7" s="6">
        <v>2.5000000000000001E-5</v>
      </c>
      <c r="V7" s="6">
        <v>2.0999999999999999E-5</v>
      </c>
      <c r="W7" s="6">
        <v>2.8E-5</v>
      </c>
      <c r="X7" s="6">
        <v>2.5999999999999998E-5</v>
      </c>
      <c r="Y7" s="6">
        <v>2.5999999999999998E-5</v>
      </c>
      <c r="Z7" s="6">
        <v>2.5999999999999998E-5</v>
      </c>
      <c r="AA7" s="6">
        <v>2.5999999999999998E-5</v>
      </c>
      <c r="AB7" s="6">
        <v>2.0999999999999999E-5</v>
      </c>
      <c r="AC7" s="6">
        <v>2.3E-5</v>
      </c>
      <c r="AD7" s="6">
        <v>2.3E-5</v>
      </c>
      <c r="AE7" s="6">
        <v>2.0000000000000002E-5</v>
      </c>
      <c r="AF7" s="6">
        <v>2.0000000000000002E-5</v>
      </c>
      <c r="AG7" s="6">
        <v>2.0000000000000002E-5</v>
      </c>
      <c r="AH7" s="6">
        <v>1.7E-5</v>
      </c>
      <c r="AI7" s="6">
        <v>1.7E-5</v>
      </c>
      <c r="AJ7" s="6">
        <v>2.0000000000000002E-5</v>
      </c>
      <c r="AK7" s="6">
        <v>2.0000000000000002E-5</v>
      </c>
      <c r="AL7" s="6">
        <v>2.5000000000000001E-5</v>
      </c>
      <c r="AM7" s="6">
        <v>2.8E-5</v>
      </c>
      <c r="AN7" s="6">
        <v>2.9E-5</v>
      </c>
      <c r="AO7" s="6">
        <v>3.8000000000000002E-5</v>
      </c>
      <c r="AP7" s="6">
        <v>4.3999999999999999E-5</v>
      </c>
      <c r="AQ7" s="6">
        <v>5.1E-5</v>
      </c>
      <c r="AR7" s="6">
        <v>5.8E-5</v>
      </c>
      <c r="AS7" s="6">
        <v>6.6000000000000005E-5</v>
      </c>
      <c r="AT7" s="6">
        <v>8.0000000000000007E-5</v>
      </c>
      <c r="AU7" s="6">
        <v>8.2999999999999998E-5</v>
      </c>
      <c r="AV7" s="6">
        <v>9.7999999999999997E-5</v>
      </c>
      <c r="AW7" s="6">
        <v>1.12E-4</v>
      </c>
      <c r="AX7" s="6">
        <v>1.26E-4</v>
      </c>
      <c r="AY7" s="6">
        <v>1.4799999999999999E-4</v>
      </c>
      <c r="AZ7" s="6">
        <v>1.7200000000000001E-4</v>
      </c>
      <c r="BA7" s="6">
        <v>2.0100000000000001E-4</v>
      </c>
      <c r="BB7" s="6">
        <v>2.2800000000000001E-4</v>
      </c>
      <c r="BC7" s="6">
        <v>2.61E-4</v>
      </c>
      <c r="BD7" s="6">
        <v>2.9999999999999997E-4</v>
      </c>
      <c r="BE7" s="6">
        <v>3.3199999999999999E-4</v>
      </c>
      <c r="BF7" s="6">
        <v>3.6999999999999999E-4</v>
      </c>
      <c r="BG7" s="6">
        <v>4.2299999999999998E-4</v>
      </c>
      <c r="BH7" s="6">
        <v>4.9799999999999996E-4</v>
      </c>
      <c r="BI7" s="6">
        <v>5.8299999999999997E-4</v>
      </c>
      <c r="BJ7" s="6">
        <v>6.6699999999999995E-4</v>
      </c>
      <c r="BK7" s="6">
        <v>7.3200000000000001E-4</v>
      </c>
      <c r="BL7" s="6">
        <v>7.9699999999999997E-4</v>
      </c>
      <c r="BM7" s="6">
        <v>8.4800000000000001E-4</v>
      </c>
      <c r="BN7" s="6">
        <v>9.19E-4</v>
      </c>
      <c r="BO7" s="6">
        <v>1.0039999999999999E-3</v>
      </c>
      <c r="BP7" s="6">
        <v>1.101E-3</v>
      </c>
      <c r="BQ7" s="6">
        <v>1.2049999999999999E-3</v>
      </c>
      <c r="BR7" s="6">
        <v>1.307E-3</v>
      </c>
      <c r="BS7" s="6">
        <v>1.4319999999999999E-3</v>
      </c>
      <c r="BT7" s="6">
        <v>1.5629999999999999E-3</v>
      </c>
      <c r="BU7" s="6">
        <v>1.738E-3</v>
      </c>
      <c r="BV7" s="6">
        <v>1.967E-3</v>
      </c>
      <c r="BW7" s="6">
        <v>2.2369999999999998E-3</v>
      </c>
      <c r="BX7" s="6">
        <v>2.542E-3</v>
      </c>
      <c r="BY7" s="6">
        <v>2.9139999999999999E-3</v>
      </c>
      <c r="BZ7" s="6">
        <v>3.3969999999999998E-3</v>
      </c>
      <c r="CA7" s="6">
        <v>4.0740000000000004E-3</v>
      </c>
      <c r="CB7" s="6">
        <v>4.9509999999999997E-3</v>
      </c>
      <c r="CC7" s="6">
        <v>5.973E-3</v>
      </c>
      <c r="CD7" s="6">
        <v>7.0489999999999997E-3</v>
      </c>
      <c r="CE7" s="6">
        <v>8.1499999999999993E-3</v>
      </c>
      <c r="CF7" s="6">
        <v>9.2820000000000003E-3</v>
      </c>
      <c r="CG7" s="6">
        <v>1.0559000000000001E-2</v>
      </c>
      <c r="CH7" s="6">
        <v>1.2054E-2</v>
      </c>
      <c r="CI7" s="6">
        <v>1.3837E-2</v>
      </c>
      <c r="CJ7" s="6">
        <v>1.6105999999999999E-2</v>
      </c>
      <c r="CK7" s="6">
        <v>1.8859000000000001E-2</v>
      </c>
      <c r="CL7" s="6">
        <v>2.1871000000000002E-2</v>
      </c>
      <c r="CM7" s="6">
        <v>2.4816999999999999E-2</v>
      </c>
      <c r="CN7" s="6">
        <v>2.7428000000000001E-2</v>
      </c>
      <c r="CO7" s="6">
        <v>2.9839000000000001E-2</v>
      </c>
      <c r="CP7" s="6">
        <v>3.2301000000000003E-2</v>
      </c>
      <c r="CQ7" s="6">
        <v>3.5048000000000003E-2</v>
      </c>
      <c r="CR7" s="6">
        <v>3.7949999999999998E-2</v>
      </c>
      <c r="CS7" s="6">
        <v>4.0844999999999999E-2</v>
      </c>
      <c r="CT7" s="6">
        <v>4.3770000000000003E-2</v>
      </c>
      <c r="CU7" s="6">
        <v>4.6776999999999999E-2</v>
      </c>
      <c r="CV7" s="6">
        <v>4.9856999999999999E-2</v>
      </c>
      <c r="CW7" s="6">
        <v>5.2963000000000003E-2</v>
      </c>
      <c r="CX7" s="6">
        <v>5.5951000000000001E-2</v>
      </c>
      <c r="CY7" s="6">
        <v>5.8583999999999997E-2</v>
      </c>
      <c r="CZ7" s="6">
        <v>6.0587000000000002E-2</v>
      </c>
      <c r="DA7" s="6">
        <v>6.2590999999999994E-2</v>
      </c>
      <c r="DB7" s="6">
        <v>6.5490000000000007E-2</v>
      </c>
      <c r="DC7" s="6">
        <v>6.9589999999999999E-2</v>
      </c>
      <c r="DD7" s="6">
        <v>7.4547000000000002E-2</v>
      </c>
      <c r="DE7" s="6">
        <v>7.9630999999999993E-2</v>
      </c>
      <c r="DF7" s="6">
        <v>8.4123000000000003E-2</v>
      </c>
      <c r="DG7" s="6">
        <v>8.7793999999999997E-2</v>
      </c>
      <c r="DH7" s="6">
        <v>9.1083999999999998E-2</v>
      </c>
      <c r="DI7" s="6">
        <v>9.4367000000000006E-2</v>
      </c>
      <c r="DJ7" s="6">
        <v>9.7642000000000007E-2</v>
      </c>
      <c r="DK7" s="6">
        <v>0.101033</v>
      </c>
      <c r="DL7" s="6">
        <v>0.104396</v>
      </c>
      <c r="DM7" s="6">
        <v>0.107779</v>
      </c>
      <c r="DN7" s="6">
        <v>0.111192</v>
      </c>
      <c r="DO7" s="6">
        <v>0.114621</v>
      </c>
      <c r="DP7" s="6">
        <v>0.118085</v>
      </c>
      <c r="DQ7" s="6">
        <v>0.121603</v>
      </c>
      <c r="DR7" s="6"/>
      <c r="DS7" s="6"/>
      <c r="DT7" s="6"/>
      <c r="DU7" s="6"/>
      <c r="DV7" s="6"/>
      <c r="DW7" s="6"/>
      <c r="DX7" s="6"/>
      <c r="DY7" s="6"/>
      <c r="DZ7" s="6"/>
      <c r="EA7" s="6"/>
    </row>
    <row r="8" spans="2:131">
      <c r="B8" s="6" t="s">
        <v>329</v>
      </c>
      <c r="C8" s="6" t="str">
        <f>VLOOKUP(TAB_Qx[[#This Row],[위험률코드]], TAB_INFO_Qx,2,FALSE)</f>
        <v>질병후유장해(80%미만)(감액없음)</v>
      </c>
      <c r="D8" s="6">
        <v>2</v>
      </c>
      <c r="E8" s="6"/>
      <c r="F8" s="6"/>
      <c r="G8" s="6"/>
      <c r="H8" s="6"/>
      <c r="I8" s="6"/>
      <c r="J8" s="23" t="str" cm="1">
        <f t="array" ref="J8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8" s="6">
        <v>3.1999999999999999E-5</v>
      </c>
      <c r="L8" s="6">
        <v>3.1000000000000001E-5</v>
      </c>
      <c r="M8" s="6">
        <v>2.5000000000000001E-5</v>
      </c>
      <c r="N8" s="6">
        <v>2.5000000000000001E-5</v>
      </c>
      <c r="O8" s="6">
        <v>2.4000000000000001E-5</v>
      </c>
      <c r="P8" s="6">
        <v>2.4000000000000001E-5</v>
      </c>
      <c r="Q8" s="6">
        <v>2.3E-5</v>
      </c>
      <c r="R8" s="6">
        <v>2.3E-5</v>
      </c>
      <c r="S8" s="6">
        <v>2.1999999999999999E-5</v>
      </c>
      <c r="T8" s="6">
        <v>1.7E-5</v>
      </c>
      <c r="U8" s="6">
        <v>2.0999999999999999E-5</v>
      </c>
      <c r="V8" s="6">
        <v>1.5999999999999999E-5</v>
      </c>
      <c r="W8" s="6">
        <v>1.5E-5</v>
      </c>
      <c r="X8" s="6">
        <v>1.5E-5</v>
      </c>
      <c r="Y8" s="6">
        <v>1.5E-5</v>
      </c>
      <c r="Z8" s="6">
        <v>1.5E-5</v>
      </c>
      <c r="AA8" s="6">
        <v>1.5E-5</v>
      </c>
      <c r="AB8" s="6">
        <v>1.5E-5</v>
      </c>
      <c r="AC8" s="6">
        <v>1.5E-5</v>
      </c>
      <c r="AD8" s="6">
        <v>1.5E-5</v>
      </c>
      <c r="AE8" s="6">
        <v>1.5E-5</v>
      </c>
      <c r="AF8" s="6">
        <v>1.9000000000000001E-5</v>
      </c>
      <c r="AG8" s="6">
        <v>1.9000000000000001E-5</v>
      </c>
      <c r="AH8" s="6">
        <v>1.9000000000000001E-5</v>
      </c>
      <c r="AI8" s="6">
        <v>2.0000000000000002E-5</v>
      </c>
      <c r="AJ8" s="6">
        <v>2.4000000000000001E-5</v>
      </c>
      <c r="AK8" s="6">
        <v>2.0000000000000002E-5</v>
      </c>
      <c r="AL8" s="6">
        <v>2.6999999999999999E-5</v>
      </c>
      <c r="AM8" s="6">
        <v>2.5000000000000001E-5</v>
      </c>
      <c r="AN8" s="6">
        <v>3.1999999999999999E-5</v>
      </c>
      <c r="AO8" s="6">
        <v>3.6000000000000001E-5</v>
      </c>
      <c r="AP8" s="6">
        <v>4.0000000000000003E-5</v>
      </c>
      <c r="AQ8" s="6">
        <v>4.3000000000000002E-5</v>
      </c>
      <c r="AR8" s="6">
        <v>5.1E-5</v>
      </c>
      <c r="AS8" s="6">
        <v>5.3999999999999998E-5</v>
      </c>
      <c r="AT8" s="6">
        <v>6.3999999999999997E-5</v>
      </c>
      <c r="AU8" s="6">
        <v>7.1000000000000005E-5</v>
      </c>
      <c r="AV8" s="6">
        <v>7.8999999999999996E-5</v>
      </c>
      <c r="AW8" s="6">
        <v>9.0000000000000006E-5</v>
      </c>
      <c r="AX8" s="6">
        <v>1.0399999999999999E-4</v>
      </c>
      <c r="AY8" s="6">
        <v>1.2400000000000001E-4</v>
      </c>
      <c r="AZ8" s="6">
        <v>1.4300000000000001E-4</v>
      </c>
      <c r="BA8" s="6">
        <v>1.6799999999999999E-4</v>
      </c>
      <c r="BB8" s="6">
        <v>1.9000000000000001E-4</v>
      </c>
      <c r="BC8" s="6">
        <v>2.1100000000000001E-4</v>
      </c>
      <c r="BD8" s="6">
        <v>2.41E-4</v>
      </c>
      <c r="BE8" s="6">
        <v>2.6699999999999998E-4</v>
      </c>
      <c r="BF8" s="6">
        <v>2.9700000000000001E-4</v>
      </c>
      <c r="BG8" s="6">
        <v>3.2899999999999997E-4</v>
      </c>
      <c r="BH8" s="6">
        <v>3.4900000000000003E-4</v>
      </c>
      <c r="BI8" s="6">
        <v>3.6999999999999999E-4</v>
      </c>
      <c r="BJ8" s="6">
        <v>3.9199999999999999E-4</v>
      </c>
      <c r="BK8" s="6">
        <v>4.2400000000000001E-4</v>
      </c>
      <c r="BL8" s="6">
        <v>4.6799999999999999E-4</v>
      </c>
      <c r="BM8" s="6">
        <v>5.22E-4</v>
      </c>
      <c r="BN8" s="6">
        <v>5.8399999999999999E-4</v>
      </c>
      <c r="BO8" s="6">
        <v>6.6799999999999997E-4</v>
      </c>
      <c r="BP8" s="6">
        <v>7.5600000000000005E-4</v>
      </c>
      <c r="BQ8" s="6">
        <v>8.5599999999999999E-4</v>
      </c>
      <c r="BR8" s="6">
        <v>9.5600000000000004E-4</v>
      </c>
      <c r="BS8" s="6">
        <v>1.07E-3</v>
      </c>
      <c r="BT8" s="6">
        <v>1.2080000000000001E-3</v>
      </c>
      <c r="BU8" s="6">
        <v>1.3730000000000001E-3</v>
      </c>
      <c r="BV8" s="6">
        <v>1.575E-3</v>
      </c>
      <c r="BW8" s="6">
        <v>1.8109999999999999E-3</v>
      </c>
      <c r="BX8" s="6">
        <v>2.0560000000000001E-3</v>
      </c>
      <c r="BY8" s="6">
        <v>2.3319999999999999E-3</v>
      </c>
      <c r="BZ8" s="6">
        <v>2.6840000000000002E-3</v>
      </c>
      <c r="CA8" s="6">
        <v>3.2520000000000001E-3</v>
      </c>
      <c r="CB8" s="6">
        <v>4.0610000000000004E-3</v>
      </c>
      <c r="CC8" s="6">
        <v>5.0959999999999998E-3</v>
      </c>
      <c r="CD8" s="6">
        <v>6.2839999999999997E-3</v>
      </c>
      <c r="CE8" s="6">
        <v>7.6119999999999998E-3</v>
      </c>
      <c r="CF8" s="6">
        <v>9.1319999999999995E-3</v>
      </c>
      <c r="CG8" s="6">
        <v>1.0925000000000001E-2</v>
      </c>
      <c r="CH8" s="6">
        <v>1.3089E-2</v>
      </c>
      <c r="CI8" s="6">
        <v>1.5658999999999999E-2</v>
      </c>
      <c r="CJ8" s="6">
        <v>1.8932999999999998E-2</v>
      </c>
      <c r="CK8" s="6">
        <v>2.2859999999999998E-2</v>
      </c>
      <c r="CL8" s="6">
        <v>2.7258000000000001E-2</v>
      </c>
      <c r="CM8" s="6">
        <v>3.1544000000000003E-2</v>
      </c>
      <c r="CN8" s="6">
        <v>3.4726E-2</v>
      </c>
      <c r="CO8" s="6">
        <v>3.6434000000000001E-2</v>
      </c>
      <c r="CP8" s="6">
        <v>3.7338000000000003E-2</v>
      </c>
      <c r="CQ8" s="6">
        <v>3.8247000000000003E-2</v>
      </c>
      <c r="CR8" s="6">
        <v>3.9531999999999998E-2</v>
      </c>
      <c r="CS8" s="6">
        <v>4.1175999999999997E-2</v>
      </c>
      <c r="CT8" s="6">
        <v>4.3110999999999997E-2</v>
      </c>
      <c r="CU8" s="6">
        <v>4.5144999999999998E-2</v>
      </c>
      <c r="CV8" s="6">
        <v>4.7230000000000001E-2</v>
      </c>
      <c r="CW8" s="6">
        <v>4.9357999999999999E-2</v>
      </c>
      <c r="CX8" s="6">
        <v>5.1469000000000001E-2</v>
      </c>
      <c r="CY8" s="6">
        <v>5.3490999999999997E-2</v>
      </c>
      <c r="CZ8" s="6">
        <v>5.5351999999999998E-2</v>
      </c>
      <c r="DA8" s="6">
        <v>5.7016999999999998E-2</v>
      </c>
      <c r="DB8" s="6">
        <v>5.8484000000000001E-2</v>
      </c>
      <c r="DC8" s="6">
        <v>5.9756999999999998E-2</v>
      </c>
      <c r="DD8" s="6">
        <v>6.0842E-2</v>
      </c>
      <c r="DE8" s="6">
        <v>6.1740999999999997E-2</v>
      </c>
      <c r="DF8" s="6">
        <v>6.2468999999999997E-2</v>
      </c>
      <c r="DG8" s="6">
        <v>6.2964999999999993E-2</v>
      </c>
      <c r="DH8" s="6">
        <v>6.2825000000000006E-2</v>
      </c>
      <c r="DI8" s="6">
        <v>6.2512999999999999E-2</v>
      </c>
      <c r="DJ8" s="6">
        <v>6.3568E-2</v>
      </c>
      <c r="DK8" s="6">
        <v>6.7153000000000004E-2</v>
      </c>
      <c r="DL8" s="6">
        <v>7.3139999999999997E-2</v>
      </c>
      <c r="DM8" s="6">
        <v>8.0390000000000003E-2</v>
      </c>
      <c r="DN8" s="6">
        <v>8.7790999999999994E-2</v>
      </c>
      <c r="DO8" s="6">
        <v>9.4792000000000001E-2</v>
      </c>
      <c r="DP8" s="6">
        <v>0.101926</v>
      </c>
      <c r="DQ8" s="6">
        <v>0.11039599999999999</v>
      </c>
      <c r="DR8" s="6"/>
      <c r="DS8" s="6"/>
      <c r="DT8" s="6"/>
      <c r="DU8" s="6"/>
      <c r="DV8" s="6"/>
      <c r="DW8" s="6"/>
      <c r="DX8" s="6"/>
      <c r="DY8" s="6"/>
      <c r="DZ8" s="6"/>
      <c r="EA8" s="6"/>
    </row>
    <row r="9" spans="2:131">
      <c r="B9" s="6" t="s">
        <v>279</v>
      </c>
      <c r="C9" s="6" t="str">
        <f>VLOOKUP(TAB_Qx[[#This Row],[위험률코드]], TAB_INFO_Qx,2,FALSE)</f>
        <v>뇌졸중진단비</v>
      </c>
      <c r="D9" s="6">
        <v>1</v>
      </c>
      <c r="E9" s="6"/>
      <c r="F9" s="6"/>
      <c r="G9" s="6"/>
      <c r="H9" s="6"/>
      <c r="I9" s="6"/>
      <c r="J9" s="23" t="str" cm="1">
        <f t="array" ref="J9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9" s="6">
        <v>4.5000000000000003E-5</v>
      </c>
      <c r="L9" s="6">
        <v>4.5000000000000003E-5</v>
      </c>
      <c r="M9" s="6">
        <v>4.5000000000000003E-5</v>
      </c>
      <c r="N9" s="6">
        <v>4.3999999999999999E-5</v>
      </c>
      <c r="O9" s="6">
        <v>4.3000000000000002E-5</v>
      </c>
      <c r="P9" s="6">
        <v>4.1E-5</v>
      </c>
      <c r="Q9" s="6">
        <v>3.8999999999999999E-5</v>
      </c>
      <c r="R9" s="6">
        <v>3.6999999999999998E-5</v>
      </c>
      <c r="S9" s="6">
        <v>3.6999999999999998E-5</v>
      </c>
      <c r="T9" s="6">
        <v>3.6000000000000001E-5</v>
      </c>
      <c r="U9" s="6">
        <v>3.6999999999999998E-5</v>
      </c>
      <c r="V9" s="6">
        <v>3.6999999999999998E-5</v>
      </c>
      <c r="W9" s="6">
        <v>3.8999999999999999E-5</v>
      </c>
      <c r="X9" s="6">
        <v>4.1E-5</v>
      </c>
      <c r="Y9" s="6">
        <v>4.3000000000000002E-5</v>
      </c>
      <c r="Z9" s="6">
        <v>4.6999999999999997E-5</v>
      </c>
      <c r="AA9" s="6">
        <v>5.1E-5</v>
      </c>
      <c r="AB9" s="6">
        <v>5.5999999999999999E-5</v>
      </c>
      <c r="AC9" s="6">
        <v>6.2000000000000003E-5</v>
      </c>
      <c r="AD9" s="6">
        <v>6.8999999999999997E-5</v>
      </c>
      <c r="AE9" s="6">
        <v>7.7000000000000001E-5</v>
      </c>
      <c r="AF9" s="6">
        <v>8.5000000000000006E-5</v>
      </c>
      <c r="AG9" s="6">
        <v>9.5000000000000005E-5</v>
      </c>
      <c r="AH9" s="6">
        <v>1.07E-4</v>
      </c>
      <c r="AI9" s="6">
        <v>1.22E-4</v>
      </c>
      <c r="AJ9" s="6">
        <v>1.3899999999999999E-4</v>
      </c>
      <c r="AK9" s="6">
        <v>1.5799999999999999E-4</v>
      </c>
      <c r="AL9" s="6">
        <v>1.7899999999999999E-4</v>
      </c>
      <c r="AM9" s="6">
        <v>2.0100000000000001E-4</v>
      </c>
      <c r="AN9" s="6">
        <v>2.23E-4</v>
      </c>
      <c r="AO9" s="6">
        <v>2.4499999999999999E-4</v>
      </c>
      <c r="AP9" s="6">
        <v>2.6800000000000001E-4</v>
      </c>
      <c r="AQ9" s="6">
        <v>2.9300000000000002E-4</v>
      </c>
      <c r="AR9" s="6">
        <v>3.2299999999999999E-4</v>
      </c>
      <c r="AS9" s="6">
        <v>3.57E-4</v>
      </c>
      <c r="AT9" s="6">
        <v>3.9599999999999998E-4</v>
      </c>
      <c r="AU9" s="6">
        <v>4.4200000000000001E-4</v>
      </c>
      <c r="AV9" s="6">
        <v>4.95E-4</v>
      </c>
      <c r="AW9" s="6">
        <v>5.5800000000000001E-4</v>
      </c>
      <c r="AX9" s="6">
        <v>6.3299999999999999E-4</v>
      </c>
      <c r="AY9" s="6">
        <v>7.2099999999999996E-4</v>
      </c>
      <c r="AZ9" s="6">
        <v>8.2100000000000001E-4</v>
      </c>
      <c r="BA9" s="6">
        <v>9.2900000000000003E-4</v>
      </c>
      <c r="BB9" s="6">
        <v>1.0399999999999999E-3</v>
      </c>
      <c r="BC9" s="6">
        <v>1.1490000000000001E-3</v>
      </c>
      <c r="BD9" s="6">
        <v>1.2570000000000001E-3</v>
      </c>
      <c r="BE9" s="6">
        <v>1.3649999999999999E-3</v>
      </c>
      <c r="BF9" s="6">
        <v>1.4779999999999999E-3</v>
      </c>
      <c r="BG9" s="6">
        <v>1.5969999999999999E-3</v>
      </c>
      <c r="BH9" s="6">
        <v>1.7279999999999999E-3</v>
      </c>
      <c r="BI9" s="6">
        <v>1.8779999999999999E-3</v>
      </c>
      <c r="BJ9" s="6">
        <v>2.0509999999999999E-3</v>
      </c>
      <c r="BK9" s="6">
        <v>2.2550000000000001E-3</v>
      </c>
      <c r="BL9" s="6">
        <v>2.4919999999999999E-3</v>
      </c>
      <c r="BM9" s="6">
        <v>2.7650000000000001E-3</v>
      </c>
      <c r="BN9" s="6">
        <v>3.0769999999999999E-3</v>
      </c>
      <c r="BO9" s="6">
        <v>3.4320000000000002E-3</v>
      </c>
      <c r="BP9" s="6">
        <v>3.8279999999999998E-3</v>
      </c>
      <c r="BQ9" s="6">
        <v>4.2560000000000002E-3</v>
      </c>
      <c r="BR9" s="6">
        <v>4.7029999999999997E-3</v>
      </c>
      <c r="BS9" s="6">
        <v>5.1619999999999999E-3</v>
      </c>
      <c r="BT9" s="6">
        <v>5.6369999999999996E-3</v>
      </c>
      <c r="BU9" s="6">
        <v>6.1380000000000002E-3</v>
      </c>
      <c r="BV9" s="6">
        <v>6.6779999999999999E-3</v>
      </c>
      <c r="BW9" s="6">
        <v>7.2560000000000003E-3</v>
      </c>
      <c r="BX9" s="6">
        <v>7.8639999999999995E-3</v>
      </c>
      <c r="BY9" s="6">
        <v>8.4899999999999993E-3</v>
      </c>
      <c r="BZ9" s="6">
        <v>9.1269999999999997E-3</v>
      </c>
      <c r="CA9" s="6">
        <v>9.7719999999999994E-3</v>
      </c>
      <c r="CB9" s="6">
        <v>1.0425E-2</v>
      </c>
      <c r="CC9" s="6">
        <v>1.1091999999999999E-2</v>
      </c>
      <c r="CD9" s="6">
        <v>1.1785E-2</v>
      </c>
      <c r="CE9" s="6">
        <v>1.252E-2</v>
      </c>
      <c r="CF9" s="6">
        <v>1.3304E-2</v>
      </c>
      <c r="CG9" s="6">
        <v>1.4115000000000001E-2</v>
      </c>
      <c r="CH9" s="6">
        <v>1.4896E-2</v>
      </c>
      <c r="CI9" s="6">
        <v>1.5564E-2</v>
      </c>
      <c r="CJ9" s="6">
        <v>1.6043000000000002E-2</v>
      </c>
      <c r="CK9" s="6">
        <v>1.6309000000000001E-2</v>
      </c>
      <c r="CL9" s="6">
        <v>1.6393999999999999E-2</v>
      </c>
      <c r="CM9" s="6">
        <v>1.6369000000000002E-2</v>
      </c>
      <c r="CN9" s="6">
        <v>1.6310999999999999E-2</v>
      </c>
      <c r="CO9" s="6">
        <v>1.6267E-2</v>
      </c>
      <c r="CP9" s="6">
        <v>1.6249E-2</v>
      </c>
      <c r="CQ9" s="6">
        <v>1.6249E-2</v>
      </c>
      <c r="CR9" s="6">
        <v>1.6253E-2</v>
      </c>
      <c r="CS9" s="6">
        <v>1.6256E-2</v>
      </c>
      <c r="CT9" s="6">
        <v>1.6257000000000001E-2</v>
      </c>
      <c r="CU9" s="6">
        <v>1.6256E-2</v>
      </c>
      <c r="CV9" s="6">
        <v>1.6256E-2</v>
      </c>
      <c r="CW9" s="6">
        <v>1.6256E-2</v>
      </c>
      <c r="CX9" s="6">
        <v>1.6256E-2</v>
      </c>
      <c r="CY9" s="6">
        <v>1.6256E-2</v>
      </c>
      <c r="CZ9" s="6">
        <v>1.6256E-2</v>
      </c>
      <c r="DA9" s="6">
        <v>1.6263E-2</v>
      </c>
      <c r="DB9" s="6">
        <v>1.6274E-2</v>
      </c>
      <c r="DC9" s="6">
        <v>1.6261000000000001E-2</v>
      </c>
      <c r="DD9" s="6">
        <v>1.6192999999999999E-2</v>
      </c>
      <c r="DE9" s="6">
        <v>1.6063999999999998E-2</v>
      </c>
      <c r="DF9" s="6">
        <v>1.5907999999999999E-2</v>
      </c>
      <c r="DG9" s="6">
        <v>1.5776999999999999E-2</v>
      </c>
      <c r="DH9" s="6">
        <v>1.5706000000000001E-2</v>
      </c>
      <c r="DI9" s="6">
        <v>1.5692000000000001E-2</v>
      </c>
      <c r="DJ9" s="6">
        <v>1.5703000000000002E-2</v>
      </c>
      <c r="DK9" s="6">
        <v>1.5716000000000001E-2</v>
      </c>
      <c r="DL9" s="6">
        <v>1.5723000000000001E-2</v>
      </c>
      <c r="DM9" s="6">
        <v>1.5724999999999999E-2</v>
      </c>
      <c r="DN9" s="6">
        <v>1.5724999999999999E-2</v>
      </c>
      <c r="DO9" s="6">
        <v>1.5724999999999999E-2</v>
      </c>
      <c r="DP9" s="6">
        <v>1.5724999999999999E-2</v>
      </c>
      <c r="DQ9" s="6">
        <v>1.5724999999999999E-2</v>
      </c>
      <c r="DR9" s="6"/>
      <c r="DS9" s="6"/>
      <c r="DT9" s="6"/>
      <c r="DU9" s="6"/>
      <c r="DV9" s="6"/>
      <c r="DW9" s="6"/>
      <c r="DX9" s="6"/>
      <c r="DY9" s="6"/>
      <c r="DZ9" s="6"/>
      <c r="EA9" s="6"/>
    </row>
    <row r="10" spans="2:131">
      <c r="B10" s="6" t="s">
        <v>279</v>
      </c>
      <c r="C10" s="6" t="str">
        <f>VLOOKUP(TAB_Qx[[#This Row],[위험률코드]], TAB_INFO_Qx,2,FALSE)</f>
        <v>뇌졸중진단비</v>
      </c>
      <c r="D10" s="6">
        <v>2</v>
      </c>
      <c r="E10" s="6"/>
      <c r="F10" s="6"/>
      <c r="G10" s="6"/>
      <c r="H10" s="6"/>
      <c r="I10" s="6"/>
      <c r="J10" s="23" t="str" cm="1">
        <f t="array" ref="J10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0" s="6">
        <v>1.5999999999999999E-5</v>
      </c>
      <c r="L10" s="6">
        <v>1.5999999999999999E-5</v>
      </c>
      <c r="M10" s="6">
        <v>1.5999999999999999E-5</v>
      </c>
      <c r="N10" s="6">
        <v>1.5999999999999999E-5</v>
      </c>
      <c r="O10" s="6">
        <v>1.5999999999999999E-5</v>
      </c>
      <c r="P10" s="6">
        <v>1.5999999999999999E-5</v>
      </c>
      <c r="Q10" s="6">
        <v>1.5999999999999999E-5</v>
      </c>
      <c r="R10" s="6">
        <v>1.5E-5</v>
      </c>
      <c r="S10" s="6">
        <v>1.5E-5</v>
      </c>
      <c r="T10" s="6">
        <v>1.5E-5</v>
      </c>
      <c r="U10" s="6">
        <v>1.5999999999999999E-5</v>
      </c>
      <c r="V10" s="6">
        <v>1.5999999999999999E-5</v>
      </c>
      <c r="W10" s="6">
        <v>1.7E-5</v>
      </c>
      <c r="X10" s="6">
        <v>1.8E-5</v>
      </c>
      <c r="Y10" s="6">
        <v>1.9000000000000001E-5</v>
      </c>
      <c r="Z10" s="6">
        <v>2.0999999999999999E-5</v>
      </c>
      <c r="AA10" s="6">
        <v>2.4000000000000001E-5</v>
      </c>
      <c r="AB10" s="6">
        <v>2.6999999999999999E-5</v>
      </c>
      <c r="AC10" s="6">
        <v>3.1000000000000001E-5</v>
      </c>
      <c r="AD10" s="6">
        <v>3.6000000000000001E-5</v>
      </c>
      <c r="AE10" s="6">
        <v>4.1E-5</v>
      </c>
      <c r="AF10" s="6">
        <v>4.8000000000000001E-5</v>
      </c>
      <c r="AG10" s="6">
        <v>5.5000000000000002E-5</v>
      </c>
      <c r="AH10" s="6">
        <v>6.4999999999999994E-5</v>
      </c>
      <c r="AI10" s="6">
        <v>7.7000000000000001E-5</v>
      </c>
      <c r="AJ10" s="6">
        <v>9.1000000000000003E-5</v>
      </c>
      <c r="AK10" s="6">
        <v>1.07E-4</v>
      </c>
      <c r="AL10" s="6">
        <v>1.2400000000000001E-4</v>
      </c>
      <c r="AM10" s="6">
        <v>1.4100000000000001E-4</v>
      </c>
      <c r="AN10" s="6">
        <v>1.56E-4</v>
      </c>
      <c r="AO10" s="6">
        <v>1.7100000000000001E-4</v>
      </c>
      <c r="AP10" s="6">
        <v>1.85E-4</v>
      </c>
      <c r="AQ10" s="6">
        <v>1.9799999999999999E-4</v>
      </c>
      <c r="AR10" s="6">
        <v>2.1100000000000001E-4</v>
      </c>
      <c r="AS10" s="6">
        <v>2.22E-4</v>
      </c>
      <c r="AT10" s="6">
        <v>2.32E-4</v>
      </c>
      <c r="AU10" s="6">
        <v>2.41E-4</v>
      </c>
      <c r="AV10" s="6">
        <v>2.5500000000000002E-4</v>
      </c>
      <c r="AW10" s="6">
        <v>2.7799999999999998E-4</v>
      </c>
      <c r="AX10" s="6">
        <v>3.1500000000000001E-4</v>
      </c>
      <c r="AY10" s="6">
        <v>3.68E-4</v>
      </c>
      <c r="AZ10" s="6">
        <v>4.37E-4</v>
      </c>
      <c r="BA10" s="6">
        <v>5.1699999999999999E-4</v>
      </c>
      <c r="BB10" s="6">
        <v>6.02E-4</v>
      </c>
      <c r="BC10" s="6">
        <v>6.8499999999999995E-4</v>
      </c>
      <c r="BD10" s="6">
        <v>7.6199999999999998E-4</v>
      </c>
      <c r="BE10" s="6">
        <v>8.34E-4</v>
      </c>
      <c r="BF10" s="6">
        <v>9.0399999999999996E-4</v>
      </c>
      <c r="BG10" s="6">
        <v>9.7400000000000004E-4</v>
      </c>
      <c r="BH10" s="6">
        <v>1.0430000000000001E-3</v>
      </c>
      <c r="BI10" s="6">
        <v>1.111E-3</v>
      </c>
      <c r="BJ10" s="6">
        <v>1.1770000000000001E-3</v>
      </c>
      <c r="BK10" s="6">
        <v>1.243E-3</v>
      </c>
      <c r="BL10" s="6">
        <v>1.315E-3</v>
      </c>
      <c r="BM10" s="6">
        <v>1.403E-3</v>
      </c>
      <c r="BN10" s="6">
        <v>1.5150000000000001E-3</v>
      </c>
      <c r="BO10" s="6">
        <v>1.6559999999999999E-3</v>
      </c>
      <c r="BP10" s="6">
        <v>1.8259999999999999E-3</v>
      </c>
      <c r="BQ10" s="6">
        <v>2.0200000000000001E-3</v>
      </c>
      <c r="BR10" s="6">
        <v>2.2330000000000002E-3</v>
      </c>
      <c r="BS10" s="6">
        <v>2.4659999999999999E-3</v>
      </c>
      <c r="BT10" s="6">
        <v>2.7239999999999999E-3</v>
      </c>
      <c r="BU10" s="6">
        <v>3.0119999999999999E-3</v>
      </c>
      <c r="BV10" s="6">
        <v>3.3349999999999999E-3</v>
      </c>
      <c r="BW10" s="6">
        <v>3.6909999999999998E-3</v>
      </c>
      <c r="BX10" s="6">
        <v>4.0730000000000002E-3</v>
      </c>
      <c r="BY10" s="6">
        <v>4.4759999999999999E-3</v>
      </c>
      <c r="BZ10" s="6">
        <v>4.8979999999999996E-3</v>
      </c>
      <c r="CA10" s="6">
        <v>5.3359999999999996E-3</v>
      </c>
      <c r="CB10" s="6">
        <v>5.79E-3</v>
      </c>
      <c r="CC10" s="6">
        <v>6.2639999999999996E-3</v>
      </c>
      <c r="CD10" s="6">
        <v>6.7679999999999997E-3</v>
      </c>
      <c r="CE10" s="6">
        <v>7.3220000000000004E-3</v>
      </c>
      <c r="CF10" s="6">
        <v>7.9330000000000008E-3</v>
      </c>
      <c r="CG10" s="6">
        <v>8.5719999999999998E-3</v>
      </c>
      <c r="CH10" s="6">
        <v>9.1599999999999997E-3</v>
      </c>
      <c r="CI10" s="6">
        <v>9.5919999999999998E-3</v>
      </c>
      <c r="CJ10" s="6">
        <v>9.7809999999999998E-3</v>
      </c>
      <c r="CK10" s="6">
        <v>9.7190000000000002E-3</v>
      </c>
      <c r="CL10" s="6">
        <v>9.4809999999999998E-3</v>
      </c>
      <c r="CM10" s="6">
        <v>9.1929999999999998E-3</v>
      </c>
      <c r="CN10" s="6">
        <v>8.9650000000000007E-3</v>
      </c>
      <c r="CO10" s="6">
        <v>8.8579999999999996E-3</v>
      </c>
      <c r="CP10" s="6">
        <v>8.848E-3</v>
      </c>
      <c r="CQ10" s="6">
        <v>8.848E-3</v>
      </c>
      <c r="CR10" s="6">
        <v>8.7690000000000008E-3</v>
      </c>
      <c r="CS10" s="6">
        <v>8.567E-3</v>
      </c>
      <c r="CT10" s="6">
        <v>8.2570000000000005E-3</v>
      </c>
      <c r="CU10" s="6">
        <v>7.8890000000000002E-3</v>
      </c>
      <c r="CV10" s="6">
        <v>7.5100000000000002E-3</v>
      </c>
      <c r="CW10" s="6">
        <v>7.143E-3</v>
      </c>
      <c r="CX10" s="6">
        <v>6.7889999999999999E-3</v>
      </c>
      <c r="CY10" s="6">
        <v>6.4570000000000001E-3</v>
      </c>
      <c r="CZ10" s="6">
        <v>6.1549999999999999E-3</v>
      </c>
      <c r="DA10" s="6">
        <v>5.8890000000000001E-3</v>
      </c>
      <c r="DB10" s="6">
        <v>5.6620000000000004E-3</v>
      </c>
      <c r="DC10" s="6">
        <v>5.4730000000000004E-3</v>
      </c>
      <c r="DD10" s="6">
        <v>5.3229999999999996E-3</v>
      </c>
      <c r="DE10" s="6">
        <v>5.2139999999999999E-3</v>
      </c>
      <c r="DF10" s="6">
        <v>5.1419999999999999E-3</v>
      </c>
      <c r="DG10" s="6">
        <v>5.1019999999999998E-3</v>
      </c>
      <c r="DH10" s="6">
        <v>5.0850000000000001E-3</v>
      </c>
      <c r="DI10" s="6">
        <v>5.0829999999999998E-3</v>
      </c>
      <c r="DJ10" s="6">
        <v>5.0870000000000004E-3</v>
      </c>
      <c r="DK10" s="6">
        <v>5.091E-3</v>
      </c>
      <c r="DL10" s="6">
        <v>5.0930000000000003E-3</v>
      </c>
      <c r="DM10" s="6">
        <v>5.0939999999999996E-3</v>
      </c>
      <c r="DN10" s="6">
        <v>5.0939999999999996E-3</v>
      </c>
      <c r="DO10" s="6">
        <v>5.0939999999999996E-3</v>
      </c>
      <c r="DP10" s="6">
        <v>5.0939999999999996E-3</v>
      </c>
      <c r="DQ10" s="6">
        <v>5.0939999999999996E-3</v>
      </c>
      <c r="DR10" s="6"/>
      <c r="DS10" s="6"/>
      <c r="DT10" s="6"/>
      <c r="DU10" s="6"/>
      <c r="DV10" s="6"/>
      <c r="DW10" s="6"/>
      <c r="DX10" s="6"/>
      <c r="DY10" s="6"/>
      <c r="DZ10" s="6"/>
      <c r="EA10" s="6"/>
    </row>
    <row r="11" spans="2:131">
      <c r="B11" s="6" t="s">
        <v>281</v>
      </c>
      <c r="C11" s="6" t="str">
        <f>VLOOKUP(TAB_Qx[[#This Row],[위험률코드]], TAB_INFO_Qx,2,FALSE)</f>
        <v>대중교통이용중교통상해사망</v>
      </c>
      <c r="D11" s="6">
        <v>0</v>
      </c>
      <c r="E11" s="6"/>
      <c r="F11" s="6"/>
      <c r="G11" s="6"/>
      <c r="H11" s="6"/>
      <c r="I11" s="6"/>
      <c r="J11" s="23" t="str" cm="1">
        <f t="array" ref="J11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>S</v>
      </c>
      <c r="K11" s="6">
        <v>3.9999999999999998E-6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</row>
    <row r="12" spans="2:131">
      <c r="B12" s="6" t="s">
        <v>282</v>
      </c>
      <c r="C12" s="6" t="str">
        <f>VLOOKUP(TAB_Qx[[#This Row],[위험률코드]], TAB_INFO_Qx,2,FALSE)</f>
        <v>일반암진단비</v>
      </c>
      <c r="D12" s="6">
        <v>1</v>
      </c>
      <c r="E12" s="6"/>
      <c r="F12" s="6"/>
      <c r="G12" s="6"/>
      <c r="H12" s="6"/>
      <c r="I12" s="6"/>
      <c r="J12" s="23" t="str" cm="1">
        <f t="array" ref="J12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2" s="6">
        <v>3.6699999999999998E-4</v>
      </c>
      <c r="L12" s="6">
        <v>3.3100000000000002E-4</v>
      </c>
      <c r="M12" s="6">
        <v>2.9500000000000001E-4</v>
      </c>
      <c r="N12" s="6">
        <v>2.6400000000000002E-4</v>
      </c>
      <c r="O12" s="6">
        <v>2.3900000000000001E-4</v>
      </c>
      <c r="P12" s="6">
        <v>2.2100000000000001E-4</v>
      </c>
      <c r="Q12" s="6">
        <v>2.0599999999999999E-4</v>
      </c>
      <c r="R12" s="6">
        <v>1.92E-4</v>
      </c>
      <c r="S12" s="6">
        <v>1.8200000000000001E-4</v>
      </c>
      <c r="T12" s="6">
        <v>1.75E-4</v>
      </c>
      <c r="U12" s="6">
        <v>1.74E-4</v>
      </c>
      <c r="V12" s="6">
        <v>1.7699999999999999E-4</v>
      </c>
      <c r="W12" s="6">
        <v>1.8000000000000001E-4</v>
      </c>
      <c r="X12" s="6">
        <v>1.8599999999999999E-4</v>
      </c>
      <c r="Y12" s="6">
        <v>1.9100000000000001E-4</v>
      </c>
      <c r="Z12" s="6">
        <v>1.9599999999999999E-4</v>
      </c>
      <c r="AA12" s="6">
        <v>2.05E-4</v>
      </c>
      <c r="AB12" s="6">
        <v>2.1000000000000001E-4</v>
      </c>
      <c r="AC12" s="6">
        <v>2.1000000000000001E-4</v>
      </c>
      <c r="AD12" s="6">
        <v>2.03E-4</v>
      </c>
      <c r="AE12" s="6">
        <v>1.93E-4</v>
      </c>
      <c r="AF12" s="6">
        <v>1.8599999999999999E-4</v>
      </c>
      <c r="AG12" s="6">
        <v>1.9100000000000001E-4</v>
      </c>
      <c r="AH12" s="6">
        <v>2.04E-4</v>
      </c>
      <c r="AI12" s="6">
        <v>2.24E-4</v>
      </c>
      <c r="AJ12" s="6">
        <v>2.4399999999999999E-4</v>
      </c>
      <c r="AK12" s="6">
        <v>2.7E-4</v>
      </c>
      <c r="AL12" s="6">
        <v>2.9799999999999998E-4</v>
      </c>
      <c r="AM12" s="6">
        <v>3.2400000000000001E-4</v>
      </c>
      <c r="AN12" s="6">
        <v>3.4900000000000003E-4</v>
      </c>
      <c r="AO12" s="6">
        <v>3.7300000000000001E-4</v>
      </c>
      <c r="AP12" s="6">
        <v>4.08E-4</v>
      </c>
      <c r="AQ12" s="6">
        <v>4.5800000000000002E-4</v>
      </c>
      <c r="AR12" s="6">
        <v>5.22E-4</v>
      </c>
      <c r="AS12" s="6">
        <v>5.9199999999999997E-4</v>
      </c>
      <c r="AT12" s="6">
        <v>6.6399999999999999E-4</v>
      </c>
      <c r="AU12" s="6">
        <v>7.3899999999999997E-4</v>
      </c>
      <c r="AV12" s="6">
        <v>8.1599999999999999E-4</v>
      </c>
      <c r="AW12" s="6">
        <v>9.0399999999999996E-4</v>
      </c>
      <c r="AX12" s="6">
        <v>1.0020000000000001E-3</v>
      </c>
      <c r="AY12" s="6">
        <v>1.111E-3</v>
      </c>
      <c r="AZ12" s="6">
        <v>1.232E-3</v>
      </c>
      <c r="BA12" s="6">
        <v>1.3649999999999999E-3</v>
      </c>
      <c r="BB12" s="6">
        <v>1.5100000000000001E-3</v>
      </c>
      <c r="BC12" s="6">
        <v>1.676E-3</v>
      </c>
      <c r="BD12" s="6">
        <v>1.8649999999999999E-3</v>
      </c>
      <c r="BE12" s="6">
        <v>2.0769999999999999E-3</v>
      </c>
      <c r="BF12" s="6">
        <v>2.3180000000000002E-3</v>
      </c>
      <c r="BG12" s="6">
        <v>2.5850000000000001E-3</v>
      </c>
      <c r="BH12" s="6">
        <v>2.8839999999999998E-3</v>
      </c>
      <c r="BI12" s="6">
        <v>3.202E-3</v>
      </c>
      <c r="BJ12" s="6">
        <v>3.5339999999999998E-3</v>
      </c>
      <c r="BK12" s="6">
        <v>3.8679999999999999E-3</v>
      </c>
      <c r="BL12" s="6">
        <v>4.2079999999999999E-3</v>
      </c>
      <c r="BM12" s="6">
        <v>4.5599999999999998E-3</v>
      </c>
      <c r="BN12" s="6">
        <v>4.9360000000000003E-3</v>
      </c>
      <c r="BO12" s="6">
        <v>5.3309999999999998E-3</v>
      </c>
      <c r="BP12" s="6">
        <v>5.7590000000000002E-3</v>
      </c>
      <c r="BQ12" s="6">
        <v>6.2350000000000001E-3</v>
      </c>
      <c r="BR12" s="6">
        <v>6.7609999999999996E-3</v>
      </c>
      <c r="BS12" s="6">
        <v>7.3429999999999997E-3</v>
      </c>
      <c r="BT12" s="6">
        <v>7.9780000000000007E-3</v>
      </c>
      <c r="BU12" s="6">
        <v>8.6599999999999993E-3</v>
      </c>
      <c r="BV12" s="6">
        <v>9.384E-3</v>
      </c>
      <c r="BW12" s="6">
        <v>1.0145E-2</v>
      </c>
      <c r="BX12" s="6">
        <v>1.0935E-2</v>
      </c>
      <c r="BY12" s="6">
        <v>1.1750999999999999E-2</v>
      </c>
      <c r="BZ12" s="6">
        <v>1.2603E-2</v>
      </c>
      <c r="CA12" s="6">
        <v>1.3504E-2</v>
      </c>
      <c r="CB12" s="6">
        <v>1.4446000000000001E-2</v>
      </c>
      <c r="CC12" s="6">
        <v>1.5401E-2</v>
      </c>
      <c r="CD12" s="6">
        <v>1.6326E-2</v>
      </c>
      <c r="CE12" s="6">
        <v>1.7184000000000001E-2</v>
      </c>
      <c r="CF12" s="6">
        <v>1.7967E-2</v>
      </c>
      <c r="CG12" s="6">
        <v>1.8686000000000001E-2</v>
      </c>
      <c r="CH12" s="6">
        <v>1.9362999999999998E-2</v>
      </c>
      <c r="CI12" s="6">
        <v>2.0004000000000001E-2</v>
      </c>
      <c r="CJ12" s="6">
        <v>2.0608000000000001E-2</v>
      </c>
      <c r="CK12" s="6">
        <v>2.1166999999999998E-2</v>
      </c>
      <c r="CL12" s="6">
        <v>2.1676999999999998E-2</v>
      </c>
      <c r="CM12" s="6">
        <v>2.2147E-2</v>
      </c>
      <c r="CN12" s="6">
        <v>2.2606000000000001E-2</v>
      </c>
      <c r="CO12" s="6">
        <v>2.3012000000000001E-2</v>
      </c>
      <c r="CP12" s="6">
        <v>2.3365E-2</v>
      </c>
      <c r="CQ12" s="6">
        <v>2.3675000000000002E-2</v>
      </c>
      <c r="CR12" s="6">
        <v>2.3952999999999999E-2</v>
      </c>
      <c r="CS12" s="6">
        <v>2.4205999999999998E-2</v>
      </c>
      <c r="CT12" s="6">
        <v>2.4431000000000001E-2</v>
      </c>
      <c r="CU12" s="6">
        <v>2.4621000000000001E-2</v>
      </c>
      <c r="CV12" s="6">
        <v>2.4781000000000001E-2</v>
      </c>
      <c r="CW12" s="6">
        <v>2.4919E-2</v>
      </c>
      <c r="CX12" s="6">
        <v>2.5041000000000001E-2</v>
      </c>
      <c r="CY12" s="6">
        <v>2.5146999999999999E-2</v>
      </c>
      <c r="CZ12" s="6">
        <v>2.5233999999999999E-2</v>
      </c>
      <c r="DA12" s="6">
        <v>2.5305000000000001E-2</v>
      </c>
      <c r="DB12" s="6">
        <v>2.5363E-2</v>
      </c>
      <c r="DC12" s="6">
        <v>2.5413999999999999E-2</v>
      </c>
      <c r="DD12" s="6">
        <v>2.5457E-2</v>
      </c>
      <c r="DE12" s="6">
        <v>2.5492000000000001E-2</v>
      </c>
      <c r="DF12" s="6">
        <v>2.5519E-2</v>
      </c>
      <c r="DG12" s="6">
        <v>2.554E-2</v>
      </c>
      <c r="DH12" s="6">
        <v>2.5558999999999998E-2</v>
      </c>
      <c r="DI12" s="6">
        <v>2.5574E-2</v>
      </c>
      <c r="DJ12" s="6">
        <v>2.5586000000000001E-2</v>
      </c>
      <c r="DK12" s="6">
        <v>2.5595E-2</v>
      </c>
      <c r="DL12" s="6">
        <v>2.5602E-2</v>
      </c>
      <c r="DM12" s="6">
        <v>2.5607999999999999E-2</v>
      </c>
      <c r="DN12" s="6">
        <v>2.5613E-2</v>
      </c>
      <c r="DO12" s="6">
        <v>2.5617000000000001E-2</v>
      </c>
      <c r="DP12" s="6">
        <v>2.5618999999999999E-2</v>
      </c>
      <c r="DQ12" s="6">
        <v>2.5621000000000001E-2</v>
      </c>
      <c r="DR12" s="6"/>
      <c r="DS12" s="6"/>
      <c r="DT12" s="6"/>
      <c r="DU12" s="6"/>
      <c r="DV12" s="6"/>
      <c r="DW12" s="6"/>
      <c r="DX12" s="6"/>
      <c r="DY12" s="6"/>
      <c r="DZ12" s="6"/>
      <c r="EA12" s="6"/>
    </row>
    <row r="13" spans="2:131">
      <c r="B13" s="6" t="s">
        <v>282</v>
      </c>
      <c r="C13" s="6" t="str">
        <f>VLOOKUP(TAB_Qx[[#This Row],[위험률코드]], TAB_INFO_Qx,2,FALSE)</f>
        <v>일반암진단비</v>
      </c>
      <c r="D13" s="6">
        <v>2</v>
      </c>
      <c r="E13" s="6"/>
      <c r="F13" s="6"/>
      <c r="G13" s="6"/>
      <c r="H13" s="6"/>
      <c r="I13" s="6"/>
      <c r="J13" s="23" t="str" cm="1">
        <f t="array" ref="J13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3" s="6">
        <v>4.7699999999999999E-4</v>
      </c>
      <c r="L13" s="6">
        <v>4.3100000000000001E-4</v>
      </c>
      <c r="M13" s="6">
        <v>3.86E-4</v>
      </c>
      <c r="N13" s="6">
        <v>3.48E-4</v>
      </c>
      <c r="O13" s="6">
        <v>3.19E-4</v>
      </c>
      <c r="P13" s="6">
        <v>2.9999999999999997E-4</v>
      </c>
      <c r="Q13" s="6">
        <v>2.8699999999999998E-4</v>
      </c>
      <c r="R13" s="6">
        <v>2.7399999999999999E-4</v>
      </c>
      <c r="S13" s="6">
        <v>2.5900000000000001E-4</v>
      </c>
      <c r="T13" s="6">
        <v>2.43E-4</v>
      </c>
      <c r="U13" s="6">
        <v>2.32E-4</v>
      </c>
      <c r="V13" s="6">
        <v>2.2499999999999999E-4</v>
      </c>
      <c r="W13" s="6">
        <v>2.2499999999999999E-4</v>
      </c>
      <c r="X13" s="6">
        <v>2.2900000000000001E-4</v>
      </c>
      <c r="Y13" s="6">
        <v>2.3599999999999999E-4</v>
      </c>
      <c r="Z13" s="6">
        <v>2.4499999999999999E-4</v>
      </c>
      <c r="AA13" s="6">
        <v>2.61E-4</v>
      </c>
      <c r="AB13" s="6">
        <v>2.7900000000000001E-4</v>
      </c>
      <c r="AC13" s="6">
        <v>2.8400000000000002E-4</v>
      </c>
      <c r="AD13" s="6">
        <v>2.7399999999999999E-4</v>
      </c>
      <c r="AE13" s="6">
        <v>2.5300000000000002E-4</v>
      </c>
      <c r="AF13" s="6">
        <v>2.4000000000000001E-4</v>
      </c>
      <c r="AG13" s="6">
        <v>2.4600000000000002E-4</v>
      </c>
      <c r="AH13" s="6">
        <v>2.7599999999999999E-4</v>
      </c>
      <c r="AI13" s="6">
        <v>3.2200000000000002E-4</v>
      </c>
      <c r="AJ13" s="6">
        <v>3.7599999999999998E-4</v>
      </c>
      <c r="AK13" s="6">
        <v>4.57E-4</v>
      </c>
      <c r="AL13" s="6">
        <v>5.5000000000000003E-4</v>
      </c>
      <c r="AM13" s="6">
        <v>6.3199999999999997E-4</v>
      </c>
      <c r="AN13" s="6">
        <v>6.9499999999999998E-4</v>
      </c>
      <c r="AO13" s="6">
        <v>7.5699999999999997E-4</v>
      </c>
      <c r="AP13" s="6">
        <v>8.43E-4</v>
      </c>
      <c r="AQ13" s="6">
        <v>9.6900000000000003E-4</v>
      </c>
      <c r="AR13" s="6">
        <v>1.1299999999999999E-3</v>
      </c>
      <c r="AS13" s="6">
        <v>1.299E-3</v>
      </c>
      <c r="AT13" s="6">
        <v>1.4649999999999999E-3</v>
      </c>
      <c r="AU13" s="6">
        <v>1.627E-3</v>
      </c>
      <c r="AV13" s="6">
        <v>1.8129999999999999E-3</v>
      </c>
      <c r="AW13" s="6">
        <v>2.0590000000000001E-3</v>
      </c>
      <c r="AX13" s="6">
        <v>2.3700000000000001E-3</v>
      </c>
      <c r="AY13" s="6">
        <v>2.712E-3</v>
      </c>
      <c r="AZ13" s="6">
        <v>3.0300000000000001E-3</v>
      </c>
      <c r="BA13" s="6">
        <v>3.2789999999999998E-3</v>
      </c>
      <c r="BB13" s="6">
        <v>3.4580000000000001E-3</v>
      </c>
      <c r="BC13" s="6">
        <v>3.5950000000000001E-3</v>
      </c>
      <c r="BD13" s="6">
        <v>3.7200000000000002E-3</v>
      </c>
      <c r="BE13" s="6">
        <v>3.81E-3</v>
      </c>
      <c r="BF13" s="6">
        <v>3.888E-3</v>
      </c>
      <c r="BG13" s="6">
        <v>3.986E-3</v>
      </c>
      <c r="BH13" s="6">
        <v>4.117E-3</v>
      </c>
      <c r="BI13" s="6">
        <v>4.2649999999999997E-3</v>
      </c>
      <c r="BJ13" s="6">
        <v>4.4000000000000003E-3</v>
      </c>
      <c r="BK13" s="6">
        <v>4.5079999999999999E-3</v>
      </c>
      <c r="BL13" s="6">
        <v>4.5970000000000004E-3</v>
      </c>
      <c r="BM13" s="6">
        <v>4.6969999999999998E-3</v>
      </c>
      <c r="BN13" s="6">
        <v>4.8240000000000002E-3</v>
      </c>
      <c r="BO13" s="6">
        <v>4.9699999999999996E-3</v>
      </c>
      <c r="BP13" s="6">
        <v>5.1349999999999998E-3</v>
      </c>
      <c r="BQ13" s="6">
        <v>5.3020000000000003E-3</v>
      </c>
      <c r="BR13" s="6">
        <v>5.4609999999999997E-3</v>
      </c>
      <c r="BS13" s="6">
        <v>5.6059999999999999E-3</v>
      </c>
      <c r="BT13" s="6">
        <v>5.7419999999999997E-3</v>
      </c>
      <c r="BU13" s="6">
        <v>5.8809999999999999E-3</v>
      </c>
      <c r="BV13" s="6">
        <v>6.0390000000000001E-3</v>
      </c>
      <c r="BW13" s="6">
        <v>6.2160000000000002E-3</v>
      </c>
      <c r="BX13" s="6">
        <v>6.4060000000000002E-3</v>
      </c>
      <c r="BY13" s="6">
        <v>6.6150000000000002E-3</v>
      </c>
      <c r="BZ13" s="6">
        <v>6.8459999999999997E-3</v>
      </c>
      <c r="CA13" s="6">
        <v>7.1040000000000001E-3</v>
      </c>
      <c r="CB13" s="6">
        <v>7.3870000000000003E-3</v>
      </c>
      <c r="CC13" s="6">
        <v>7.6829999999999997E-3</v>
      </c>
      <c r="CD13" s="6">
        <v>7.9749999999999995E-3</v>
      </c>
      <c r="CE13" s="6">
        <v>8.2509999999999997E-3</v>
      </c>
      <c r="CF13" s="6">
        <v>8.5039999999999994E-3</v>
      </c>
      <c r="CG13" s="6">
        <v>8.744E-3</v>
      </c>
      <c r="CH13" s="6">
        <v>8.9750000000000003E-3</v>
      </c>
      <c r="CI13" s="6">
        <v>9.2079999999999992E-3</v>
      </c>
      <c r="CJ13" s="6">
        <v>9.4490000000000008E-3</v>
      </c>
      <c r="CK13" s="6">
        <v>9.6970000000000008E-3</v>
      </c>
      <c r="CL13" s="6">
        <v>9.9419999999999994E-3</v>
      </c>
      <c r="CM13" s="6">
        <v>1.0177E-2</v>
      </c>
      <c r="CN13" s="6">
        <v>1.0441000000000001E-2</v>
      </c>
      <c r="CO13" s="6">
        <v>1.0685E-2</v>
      </c>
      <c r="CP13" s="6">
        <v>1.0913000000000001E-2</v>
      </c>
      <c r="CQ13" s="6">
        <v>1.1135000000000001E-2</v>
      </c>
      <c r="CR13" s="6">
        <v>1.1351999999999999E-2</v>
      </c>
      <c r="CS13" s="6">
        <v>1.1560000000000001E-2</v>
      </c>
      <c r="CT13" s="6">
        <v>1.1750999999999999E-2</v>
      </c>
      <c r="CU13" s="6">
        <v>1.1926000000000001E-2</v>
      </c>
      <c r="CV13" s="6">
        <v>1.2085E-2</v>
      </c>
      <c r="CW13" s="6">
        <v>1.2233000000000001E-2</v>
      </c>
      <c r="CX13" s="6">
        <v>1.2370000000000001E-2</v>
      </c>
      <c r="CY13" s="6">
        <v>1.2493000000000001E-2</v>
      </c>
      <c r="CZ13" s="6">
        <v>1.2598E-2</v>
      </c>
      <c r="DA13" s="6">
        <v>1.2687E-2</v>
      </c>
      <c r="DB13" s="6">
        <v>1.2767000000000001E-2</v>
      </c>
      <c r="DC13" s="6">
        <v>1.2836999999999999E-2</v>
      </c>
      <c r="DD13" s="6">
        <v>1.29E-2</v>
      </c>
      <c r="DE13" s="6">
        <v>1.2949E-2</v>
      </c>
      <c r="DF13" s="6">
        <v>1.299E-2</v>
      </c>
      <c r="DG13" s="6">
        <v>1.3024000000000001E-2</v>
      </c>
      <c r="DH13" s="6">
        <v>1.3051999999999999E-2</v>
      </c>
      <c r="DI13" s="6">
        <v>1.3077E-2</v>
      </c>
      <c r="DJ13" s="6">
        <v>1.3096E-2</v>
      </c>
      <c r="DK13" s="6">
        <v>1.3110999999999999E-2</v>
      </c>
      <c r="DL13" s="6">
        <v>1.3122E-2</v>
      </c>
      <c r="DM13" s="6">
        <v>1.3132E-2</v>
      </c>
      <c r="DN13" s="6">
        <v>1.3139E-2</v>
      </c>
      <c r="DO13" s="6">
        <v>1.3145E-2</v>
      </c>
      <c r="DP13" s="6">
        <v>1.315E-2</v>
      </c>
      <c r="DQ13" s="6">
        <v>1.3153E-2</v>
      </c>
      <c r="DR13" s="6"/>
      <c r="DS13" s="6"/>
      <c r="DT13" s="6"/>
      <c r="DU13" s="6"/>
      <c r="DV13" s="6"/>
      <c r="DW13" s="6"/>
      <c r="DX13" s="6"/>
      <c r="DY13" s="6"/>
      <c r="DZ13" s="6"/>
      <c r="EA13" s="6"/>
    </row>
    <row r="14" spans="2:131">
      <c r="B14" s="6" t="s">
        <v>284</v>
      </c>
      <c r="C14" s="6" t="str">
        <f>VLOOKUP(TAB_Qx[[#This Row],[위험률코드]], TAB_INFO_Qx,2,FALSE)</f>
        <v>갑상샘암진단비(감액없음)</v>
      </c>
      <c r="D14" s="6">
        <v>1</v>
      </c>
      <c r="E14" s="6"/>
      <c r="F14" s="6"/>
      <c r="G14" s="6"/>
      <c r="H14" s="6"/>
      <c r="I14" s="6"/>
      <c r="J14" s="23" t="str" cm="1">
        <f t="array" ref="J14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4" s="6">
        <v>0</v>
      </c>
      <c r="L14" s="6">
        <v>0</v>
      </c>
      <c r="M14" s="6">
        <v>9.9999999999999995E-7</v>
      </c>
      <c r="N14" s="6">
        <v>9.9999999999999995E-7</v>
      </c>
      <c r="O14" s="6">
        <v>1.9999999999999999E-6</v>
      </c>
      <c r="P14" s="6">
        <v>1.9999999999999999E-6</v>
      </c>
      <c r="Q14" s="6">
        <v>3.0000000000000001E-6</v>
      </c>
      <c r="R14" s="6">
        <v>3.9999999999999998E-6</v>
      </c>
      <c r="S14" s="6">
        <v>5.0000000000000004E-6</v>
      </c>
      <c r="T14" s="6">
        <v>5.0000000000000004E-6</v>
      </c>
      <c r="U14" s="6">
        <v>6.0000000000000002E-6</v>
      </c>
      <c r="V14" s="6">
        <v>6.0000000000000002E-6</v>
      </c>
      <c r="W14" s="6">
        <v>7.9999999999999996E-6</v>
      </c>
      <c r="X14" s="6">
        <v>1.0000000000000001E-5</v>
      </c>
      <c r="Y14" s="6">
        <v>1.2999999999999999E-5</v>
      </c>
      <c r="Z14" s="6">
        <v>1.7E-5</v>
      </c>
      <c r="AA14" s="6">
        <v>2.0000000000000002E-5</v>
      </c>
      <c r="AB14" s="6">
        <v>2.4000000000000001E-5</v>
      </c>
      <c r="AC14" s="6">
        <v>3.1999999999999999E-5</v>
      </c>
      <c r="AD14" s="6">
        <v>4.5000000000000003E-5</v>
      </c>
      <c r="AE14" s="6">
        <v>6.2000000000000003E-5</v>
      </c>
      <c r="AF14" s="6">
        <v>7.7999999999999999E-5</v>
      </c>
      <c r="AG14" s="6">
        <v>9.0000000000000006E-5</v>
      </c>
      <c r="AH14" s="6">
        <v>9.7999999999999997E-5</v>
      </c>
      <c r="AI14" s="6">
        <v>1.0399999999999999E-4</v>
      </c>
      <c r="AJ14" s="6">
        <v>1.1E-4</v>
      </c>
      <c r="AK14" s="6">
        <v>1.16E-4</v>
      </c>
      <c r="AL14" s="6">
        <v>1.2300000000000001E-4</v>
      </c>
      <c r="AM14" s="6">
        <v>1.3300000000000001E-4</v>
      </c>
      <c r="AN14" s="6">
        <v>1.45E-4</v>
      </c>
      <c r="AO14" s="6">
        <v>1.5899999999999999E-4</v>
      </c>
      <c r="AP14" s="6">
        <v>1.7200000000000001E-4</v>
      </c>
      <c r="AQ14" s="6">
        <v>1.83E-4</v>
      </c>
      <c r="AR14" s="6">
        <v>1.9100000000000001E-4</v>
      </c>
      <c r="AS14" s="6">
        <v>1.95E-4</v>
      </c>
      <c r="AT14" s="6">
        <v>1.9699999999999999E-4</v>
      </c>
      <c r="AU14" s="6">
        <v>1.9799999999999999E-4</v>
      </c>
      <c r="AV14" s="6">
        <v>2.0100000000000001E-4</v>
      </c>
      <c r="AW14" s="6">
        <v>2.04E-4</v>
      </c>
      <c r="AX14" s="6">
        <v>2.0699999999999999E-4</v>
      </c>
      <c r="AY14" s="6">
        <v>2.1000000000000001E-4</v>
      </c>
      <c r="AZ14" s="6">
        <v>2.1100000000000001E-4</v>
      </c>
      <c r="BA14" s="6">
        <v>2.1100000000000001E-4</v>
      </c>
      <c r="BB14" s="6">
        <v>2.12E-4</v>
      </c>
      <c r="BC14" s="6">
        <v>2.1499999999999999E-4</v>
      </c>
      <c r="BD14" s="6">
        <v>2.2000000000000001E-4</v>
      </c>
      <c r="BE14" s="6">
        <v>2.2599999999999999E-4</v>
      </c>
      <c r="BF14" s="6">
        <v>2.31E-4</v>
      </c>
      <c r="BG14" s="6">
        <v>2.33E-4</v>
      </c>
      <c r="BH14" s="6">
        <v>2.2900000000000001E-4</v>
      </c>
      <c r="BI14" s="6">
        <v>2.23E-4</v>
      </c>
      <c r="BJ14" s="6">
        <v>2.1599999999999999E-4</v>
      </c>
      <c r="BK14" s="6">
        <v>2.13E-4</v>
      </c>
      <c r="BL14" s="6">
        <v>2.1599999999999999E-4</v>
      </c>
      <c r="BM14" s="6">
        <v>2.24E-4</v>
      </c>
      <c r="BN14" s="6">
        <v>2.34E-4</v>
      </c>
      <c r="BO14" s="6">
        <v>2.4800000000000001E-4</v>
      </c>
      <c r="BP14" s="6">
        <v>2.5799999999999998E-4</v>
      </c>
      <c r="BQ14" s="6">
        <v>2.5599999999999999E-4</v>
      </c>
      <c r="BR14" s="6">
        <v>2.41E-4</v>
      </c>
      <c r="BS14" s="6">
        <v>2.1800000000000001E-4</v>
      </c>
      <c r="BT14" s="6">
        <v>1.9699999999999999E-4</v>
      </c>
      <c r="BU14" s="6">
        <v>1.85E-4</v>
      </c>
      <c r="BV14" s="6">
        <v>1.8100000000000001E-4</v>
      </c>
      <c r="BW14" s="6">
        <v>1.7899999999999999E-4</v>
      </c>
      <c r="BX14" s="6">
        <v>1.74E-4</v>
      </c>
      <c r="BY14" s="6">
        <v>1.7000000000000001E-4</v>
      </c>
      <c r="BZ14" s="6">
        <v>1.64E-4</v>
      </c>
      <c r="CA14" s="6">
        <v>1.5799999999999999E-4</v>
      </c>
      <c r="CB14" s="6">
        <v>1.5100000000000001E-4</v>
      </c>
      <c r="CC14" s="6">
        <v>1.4300000000000001E-4</v>
      </c>
      <c r="CD14" s="6">
        <v>1.35E-4</v>
      </c>
      <c r="CE14" s="6">
        <v>1.27E-4</v>
      </c>
      <c r="CF14" s="6">
        <v>1.2E-4</v>
      </c>
      <c r="CG14" s="6">
        <v>1.12E-4</v>
      </c>
      <c r="CH14" s="6">
        <v>1.05E-4</v>
      </c>
      <c r="CI14" s="6">
        <v>9.7E-5</v>
      </c>
      <c r="CJ14" s="6">
        <v>9.1000000000000003E-5</v>
      </c>
      <c r="CK14" s="6">
        <v>8.5000000000000006E-5</v>
      </c>
      <c r="CL14" s="6">
        <v>8.1000000000000004E-5</v>
      </c>
      <c r="CM14" s="6">
        <v>7.6000000000000004E-5</v>
      </c>
      <c r="CN14" s="6">
        <v>7.2000000000000002E-5</v>
      </c>
      <c r="CO14" s="6">
        <v>6.6000000000000005E-5</v>
      </c>
      <c r="CP14" s="6">
        <v>6.0000000000000002E-5</v>
      </c>
      <c r="CQ14" s="6">
        <v>5.3999999999999998E-5</v>
      </c>
      <c r="CR14" s="6">
        <v>5.0000000000000002E-5</v>
      </c>
      <c r="CS14" s="6">
        <v>4.8000000000000001E-5</v>
      </c>
      <c r="CT14" s="6">
        <v>4.6999999999999997E-5</v>
      </c>
      <c r="CU14" s="6">
        <v>4.8000000000000001E-5</v>
      </c>
      <c r="CV14" s="6">
        <v>4.8000000000000001E-5</v>
      </c>
      <c r="CW14" s="6">
        <v>4.8000000000000001E-5</v>
      </c>
      <c r="CX14" s="6">
        <v>4.8000000000000001E-5</v>
      </c>
      <c r="CY14" s="6">
        <v>4.8000000000000001E-5</v>
      </c>
      <c r="CZ14" s="6">
        <v>4.8000000000000001E-5</v>
      </c>
      <c r="DA14" s="6">
        <v>4.8000000000000001E-5</v>
      </c>
      <c r="DB14" s="6">
        <v>4.8000000000000001E-5</v>
      </c>
      <c r="DC14" s="6">
        <v>4.8000000000000001E-5</v>
      </c>
      <c r="DD14" s="6">
        <v>4.8000000000000001E-5</v>
      </c>
      <c r="DE14" s="6">
        <v>4.8000000000000001E-5</v>
      </c>
      <c r="DF14" s="6">
        <v>4.8000000000000001E-5</v>
      </c>
      <c r="DG14" s="6">
        <v>4.8000000000000001E-5</v>
      </c>
      <c r="DH14" s="6">
        <v>4.8000000000000001E-5</v>
      </c>
      <c r="DI14" s="6">
        <v>4.8000000000000001E-5</v>
      </c>
      <c r="DJ14" s="6">
        <v>4.8000000000000001E-5</v>
      </c>
      <c r="DK14" s="6">
        <v>4.8000000000000001E-5</v>
      </c>
      <c r="DL14" s="6">
        <v>4.8000000000000001E-5</v>
      </c>
      <c r="DM14" s="6">
        <v>4.8000000000000001E-5</v>
      </c>
      <c r="DN14" s="6">
        <v>4.8000000000000001E-5</v>
      </c>
      <c r="DO14" s="6">
        <v>4.8000000000000001E-5</v>
      </c>
      <c r="DP14" s="6">
        <v>4.8000000000000001E-5</v>
      </c>
      <c r="DQ14" s="6">
        <v>4.8000000000000001E-5</v>
      </c>
      <c r="DR14" s="6"/>
      <c r="DS14" s="6"/>
      <c r="DT14" s="6"/>
      <c r="DU14" s="6"/>
      <c r="DV14" s="6"/>
      <c r="DW14" s="6"/>
      <c r="DX14" s="6"/>
      <c r="DY14" s="6"/>
      <c r="DZ14" s="6"/>
      <c r="EA14" s="6"/>
    </row>
    <row r="15" spans="2:131">
      <c r="B15" s="6" t="s">
        <v>284</v>
      </c>
      <c r="C15" s="6" t="str">
        <f>VLOOKUP(TAB_Qx[[#This Row],[위험률코드]], TAB_INFO_Qx,2,FALSE)</f>
        <v>갑상샘암진단비(감액없음)</v>
      </c>
      <c r="D15" s="6">
        <v>2</v>
      </c>
      <c r="E15" s="6"/>
      <c r="F15" s="6"/>
      <c r="G15" s="6"/>
      <c r="H15" s="6"/>
      <c r="I15" s="6"/>
      <c r="J15" s="23" t="str" cm="1">
        <f t="array" ref="J15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5" s="6">
        <v>0</v>
      </c>
      <c r="L15" s="6">
        <v>9.9999999999999995E-7</v>
      </c>
      <c r="M15" s="6">
        <v>1.9999999999999999E-6</v>
      </c>
      <c r="N15" s="6">
        <v>3.0000000000000001E-6</v>
      </c>
      <c r="O15" s="6">
        <v>5.0000000000000004E-6</v>
      </c>
      <c r="P15" s="6">
        <v>6.9999999999999999E-6</v>
      </c>
      <c r="Q15" s="6">
        <v>9.0000000000000002E-6</v>
      </c>
      <c r="R15" s="6">
        <v>1.2999999999999999E-5</v>
      </c>
      <c r="S15" s="6">
        <v>1.8E-5</v>
      </c>
      <c r="T15" s="6">
        <v>2.4000000000000001E-5</v>
      </c>
      <c r="U15" s="6">
        <v>3.1999999999999999E-5</v>
      </c>
      <c r="V15" s="6">
        <v>4.1999999999999998E-5</v>
      </c>
      <c r="W15" s="6">
        <v>5.3999999999999998E-5</v>
      </c>
      <c r="X15" s="6">
        <v>6.8999999999999997E-5</v>
      </c>
      <c r="Y15" s="6">
        <v>8.7999999999999998E-5</v>
      </c>
      <c r="Z15" s="6">
        <v>1.0900000000000001E-4</v>
      </c>
      <c r="AA15" s="6">
        <v>1.2999999999999999E-4</v>
      </c>
      <c r="AB15" s="6">
        <v>1.54E-4</v>
      </c>
      <c r="AC15" s="6">
        <v>1.93E-4</v>
      </c>
      <c r="AD15" s="6">
        <v>2.5099999999999998E-4</v>
      </c>
      <c r="AE15" s="6">
        <v>3.2600000000000001E-4</v>
      </c>
      <c r="AF15" s="6">
        <v>4.0700000000000003E-4</v>
      </c>
      <c r="AG15" s="6">
        <v>4.8500000000000003E-4</v>
      </c>
      <c r="AH15" s="6">
        <v>5.53E-4</v>
      </c>
      <c r="AI15" s="6">
        <v>6.1399999999999996E-4</v>
      </c>
      <c r="AJ15" s="6">
        <v>6.7000000000000002E-4</v>
      </c>
      <c r="AK15" s="6">
        <v>7.1199999999999996E-4</v>
      </c>
      <c r="AL15" s="6">
        <v>7.4700000000000005E-4</v>
      </c>
      <c r="AM15" s="6">
        <v>7.85E-4</v>
      </c>
      <c r="AN15" s="6">
        <v>8.2899999999999998E-4</v>
      </c>
      <c r="AO15" s="6">
        <v>8.7200000000000005E-4</v>
      </c>
      <c r="AP15" s="6">
        <v>9.0700000000000004E-4</v>
      </c>
      <c r="AQ15" s="6">
        <v>9.2900000000000003E-4</v>
      </c>
      <c r="AR15" s="6">
        <v>9.4499999999999998E-4</v>
      </c>
      <c r="AS15" s="6">
        <v>9.6599999999999995E-4</v>
      </c>
      <c r="AT15" s="6">
        <v>9.990000000000001E-4</v>
      </c>
      <c r="AU15" s="6">
        <v>1.036E-3</v>
      </c>
      <c r="AV15" s="6">
        <v>1.073E-3</v>
      </c>
      <c r="AW15" s="6">
        <v>1.1069999999999999E-3</v>
      </c>
      <c r="AX15" s="6">
        <v>1.137E-3</v>
      </c>
      <c r="AY15" s="6">
        <v>1.1620000000000001E-3</v>
      </c>
      <c r="AZ15" s="6">
        <v>1.1869999999999999E-3</v>
      </c>
      <c r="BA15" s="6">
        <v>1.2130000000000001E-3</v>
      </c>
      <c r="BB15" s="6">
        <v>1.242E-3</v>
      </c>
      <c r="BC15" s="6">
        <v>1.273E-3</v>
      </c>
      <c r="BD15" s="6">
        <v>1.304E-3</v>
      </c>
      <c r="BE15" s="6">
        <v>1.33E-3</v>
      </c>
      <c r="BF15" s="6">
        <v>1.351E-3</v>
      </c>
      <c r="BG15" s="6">
        <v>1.364E-3</v>
      </c>
      <c r="BH15" s="6">
        <v>1.371E-3</v>
      </c>
      <c r="BI15" s="6">
        <v>1.372E-3</v>
      </c>
      <c r="BJ15" s="6">
        <v>1.366E-3</v>
      </c>
      <c r="BK15" s="6">
        <v>1.3500000000000001E-3</v>
      </c>
      <c r="BL15" s="6">
        <v>1.325E-3</v>
      </c>
      <c r="BM15" s="6">
        <v>1.292E-3</v>
      </c>
      <c r="BN15" s="6">
        <v>1.256E-3</v>
      </c>
      <c r="BO15" s="6">
        <v>1.2210000000000001E-3</v>
      </c>
      <c r="BP15" s="6">
        <v>1.189E-3</v>
      </c>
      <c r="BQ15" s="6">
        <v>1.1609999999999999E-3</v>
      </c>
      <c r="BR15" s="6">
        <v>1.1349999999999999E-3</v>
      </c>
      <c r="BS15" s="6">
        <v>1.106E-3</v>
      </c>
      <c r="BT15" s="6">
        <v>1.0740000000000001E-3</v>
      </c>
      <c r="BU15" s="6">
        <v>1.0380000000000001E-3</v>
      </c>
      <c r="BV15" s="6">
        <v>9.9799999999999997E-4</v>
      </c>
      <c r="BW15" s="6">
        <v>9.5500000000000001E-4</v>
      </c>
      <c r="BX15" s="6">
        <v>9.1100000000000003E-4</v>
      </c>
      <c r="BY15" s="6">
        <v>8.6499999999999999E-4</v>
      </c>
      <c r="BZ15" s="6">
        <v>8.1800000000000004E-4</v>
      </c>
      <c r="CA15" s="6">
        <v>7.6900000000000004E-4</v>
      </c>
      <c r="CB15" s="6">
        <v>7.1900000000000002E-4</v>
      </c>
      <c r="CC15" s="6">
        <v>6.6799999999999997E-4</v>
      </c>
      <c r="CD15" s="6">
        <v>6.1700000000000004E-4</v>
      </c>
      <c r="CE15" s="6">
        <v>5.6599999999999999E-4</v>
      </c>
      <c r="CF15" s="6">
        <v>5.13E-4</v>
      </c>
      <c r="CG15" s="6">
        <v>4.5899999999999999E-4</v>
      </c>
      <c r="CH15" s="6">
        <v>4.06E-4</v>
      </c>
      <c r="CI15" s="6">
        <v>3.5599999999999998E-4</v>
      </c>
      <c r="CJ15" s="6">
        <v>3.1199999999999999E-4</v>
      </c>
      <c r="CK15" s="6">
        <v>2.7500000000000002E-4</v>
      </c>
      <c r="CL15" s="6">
        <v>2.43E-4</v>
      </c>
      <c r="CM15" s="6">
        <v>2.14E-4</v>
      </c>
      <c r="CN15" s="6">
        <v>1.8799999999999999E-4</v>
      </c>
      <c r="CO15" s="6">
        <v>1.6200000000000001E-4</v>
      </c>
      <c r="CP15" s="6">
        <v>1.3899999999999999E-4</v>
      </c>
      <c r="CQ15" s="6">
        <v>1.1900000000000001E-4</v>
      </c>
      <c r="CR15" s="6">
        <v>1.06E-4</v>
      </c>
      <c r="CS15" s="6">
        <v>1E-4</v>
      </c>
      <c r="CT15" s="6">
        <v>9.8999999999999994E-5</v>
      </c>
      <c r="CU15" s="6">
        <v>1E-4</v>
      </c>
      <c r="CV15" s="6">
        <v>1.01E-4</v>
      </c>
      <c r="CW15" s="6">
        <v>1.01E-4</v>
      </c>
      <c r="CX15" s="6">
        <v>1.01E-4</v>
      </c>
      <c r="CY15" s="6">
        <v>1.01E-4</v>
      </c>
      <c r="CZ15" s="6">
        <v>1.01E-4</v>
      </c>
      <c r="DA15" s="6">
        <v>1.01E-4</v>
      </c>
      <c r="DB15" s="6">
        <v>1.01E-4</v>
      </c>
      <c r="DC15" s="6">
        <v>1.01E-4</v>
      </c>
      <c r="DD15" s="6">
        <v>1.01E-4</v>
      </c>
      <c r="DE15" s="6">
        <v>1.01E-4</v>
      </c>
      <c r="DF15" s="6">
        <v>1.01E-4</v>
      </c>
      <c r="DG15" s="6">
        <v>1.01E-4</v>
      </c>
      <c r="DH15" s="6">
        <v>1.01E-4</v>
      </c>
      <c r="DI15" s="6">
        <v>1.01E-4</v>
      </c>
      <c r="DJ15" s="6">
        <v>1.01E-4</v>
      </c>
      <c r="DK15" s="6">
        <v>1.01E-4</v>
      </c>
      <c r="DL15" s="6">
        <v>1.01E-4</v>
      </c>
      <c r="DM15" s="6">
        <v>1.01E-4</v>
      </c>
      <c r="DN15" s="6">
        <v>1.01E-4</v>
      </c>
      <c r="DO15" s="6">
        <v>1.01E-4</v>
      </c>
      <c r="DP15" s="6">
        <v>1.01E-4</v>
      </c>
      <c r="DQ15" s="6">
        <v>1.01E-4</v>
      </c>
      <c r="DR15" s="6"/>
      <c r="DS15" s="6"/>
      <c r="DT15" s="6"/>
      <c r="DU15" s="6"/>
      <c r="DV15" s="6"/>
      <c r="DW15" s="6"/>
      <c r="DX15" s="6"/>
      <c r="DY15" s="6"/>
      <c r="DZ15" s="6"/>
      <c r="EA15" s="6"/>
    </row>
    <row r="16" spans="2:131">
      <c r="B16" s="6" t="s">
        <v>283</v>
      </c>
      <c r="C16" s="6" t="str">
        <f>VLOOKUP(TAB_Qx[[#This Row],[위험률코드]], TAB_INFO_Qx,2,FALSE)</f>
        <v>기타피부암진단비(감액없음)</v>
      </c>
      <c r="D16" s="6">
        <v>1</v>
      </c>
      <c r="E16" s="6"/>
      <c r="F16" s="6"/>
      <c r="G16" s="6"/>
      <c r="H16" s="6"/>
      <c r="I16" s="6"/>
      <c r="J16" s="23" t="str" cm="1">
        <f t="array" ref="J16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6" s="6">
        <v>9.9999999999999995E-7</v>
      </c>
      <c r="L16" s="6">
        <v>9.9999999999999995E-7</v>
      </c>
      <c r="M16" s="6">
        <v>9.9999999999999995E-7</v>
      </c>
      <c r="N16" s="6">
        <v>9.9999999999999995E-7</v>
      </c>
      <c r="O16" s="6">
        <v>9.9999999999999995E-7</v>
      </c>
      <c r="P16" s="6">
        <v>9.9999999999999995E-7</v>
      </c>
      <c r="Q16" s="6">
        <v>9.9999999999999995E-7</v>
      </c>
      <c r="R16" s="6">
        <v>1.9999999999999999E-6</v>
      </c>
      <c r="S16" s="6">
        <v>9.9999999999999995E-7</v>
      </c>
      <c r="T16" s="6">
        <v>3.0000000000000001E-6</v>
      </c>
      <c r="U16" s="6">
        <v>3.0000000000000001E-6</v>
      </c>
      <c r="V16" s="6">
        <v>3.0000000000000001E-6</v>
      </c>
      <c r="W16" s="6">
        <v>3.9999999999999998E-6</v>
      </c>
      <c r="X16" s="6">
        <v>3.0000000000000001E-6</v>
      </c>
      <c r="Y16" s="6">
        <v>3.0000000000000001E-6</v>
      </c>
      <c r="Z16" s="6">
        <v>3.0000000000000001E-6</v>
      </c>
      <c r="AA16" s="6">
        <v>1.9999999999999999E-6</v>
      </c>
      <c r="AB16" s="6">
        <v>3.9999999999999998E-6</v>
      </c>
      <c r="AC16" s="6">
        <v>3.9999999999999998E-6</v>
      </c>
      <c r="AD16" s="6">
        <v>5.0000000000000004E-6</v>
      </c>
      <c r="AE16" s="6">
        <v>3.9999999999999998E-6</v>
      </c>
      <c r="AF16" s="6">
        <v>5.0000000000000004E-6</v>
      </c>
      <c r="AG16" s="6">
        <v>5.0000000000000004E-6</v>
      </c>
      <c r="AH16" s="6">
        <v>6.0000000000000002E-6</v>
      </c>
      <c r="AI16" s="6">
        <v>6.0000000000000002E-6</v>
      </c>
      <c r="AJ16" s="6">
        <v>6.9999999999999999E-6</v>
      </c>
      <c r="AK16" s="6">
        <v>7.9999999999999996E-6</v>
      </c>
      <c r="AL16" s="6">
        <v>9.0000000000000002E-6</v>
      </c>
      <c r="AM16" s="6">
        <v>1.0000000000000001E-5</v>
      </c>
      <c r="AN16" s="6">
        <v>1.1E-5</v>
      </c>
      <c r="AO16" s="6">
        <v>1.4E-5</v>
      </c>
      <c r="AP16" s="6">
        <v>1.5999999999999999E-5</v>
      </c>
      <c r="AQ16" s="6">
        <v>1.8E-5</v>
      </c>
      <c r="AR16" s="6">
        <v>1.8E-5</v>
      </c>
      <c r="AS16" s="6">
        <v>1.8E-5</v>
      </c>
      <c r="AT16" s="6">
        <v>1.8E-5</v>
      </c>
      <c r="AU16" s="6">
        <v>1.8E-5</v>
      </c>
      <c r="AV16" s="6">
        <v>2.0000000000000002E-5</v>
      </c>
      <c r="AW16" s="6">
        <v>2.0999999999999999E-5</v>
      </c>
      <c r="AX16" s="6">
        <v>2.3E-5</v>
      </c>
      <c r="AY16" s="6">
        <v>2.5000000000000001E-5</v>
      </c>
      <c r="AZ16" s="6">
        <v>2.6999999999999999E-5</v>
      </c>
      <c r="BA16" s="6">
        <v>2.9E-5</v>
      </c>
      <c r="BB16" s="6">
        <v>3.1999999999999999E-5</v>
      </c>
      <c r="BC16" s="6">
        <v>3.4E-5</v>
      </c>
      <c r="BD16" s="6">
        <v>3.6000000000000001E-5</v>
      </c>
      <c r="BE16" s="6">
        <v>3.8999999999999999E-5</v>
      </c>
      <c r="BF16" s="6">
        <v>4.1E-5</v>
      </c>
      <c r="BG16" s="6">
        <v>4.6999999999999997E-5</v>
      </c>
      <c r="BH16" s="6">
        <v>5.3000000000000001E-5</v>
      </c>
      <c r="BI16" s="6">
        <v>6.0000000000000002E-5</v>
      </c>
      <c r="BJ16" s="6">
        <v>6.6000000000000005E-5</v>
      </c>
      <c r="BK16" s="6">
        <v>7.2000000000000002E-5</v>
      </c>
      <c r="BL16" s="6">
        <v>7.7999999999999999E-5</v>
      </c>
      <c r="BM16" s="6">
        <v>8.3999999999999995E-5</v>
      </c>
      <c r="BN16" s="6">
        <v>9.0000000000000006E-5</v>
      </c>
      <c r="BO16" s="6">
        <v>9.7E-5</v>
      </c>
      <c r="BP16" s="6">
        <v>1.05E-4</v>
      </c>
      <c r="BQ16" s="6">
        <v>1.11E-4</v>
      </c>
      <c r="BR16" s="6">
        <v>1.21E-4</v>
      </c>
      <c r="BS16" s="6">
        <v>1.3200000000000001E-4</v>
      </c>
      <c r="BT16" s="6">
        <v>1.44E-4</v>
      </c>
      <c r="BU16" s="6">
        <v>1.5799999999999999E-4</v>
      </c>
      <c r="BV16" s="6">
        <v>1.7200000000000001E-4</v>
      </c>
      <c r="BW16" s="6">
        <v>1.85E-4</v>
      </c>
      <c r="BX16" s="6">
        <v>1.9900000000000001E-4</v>
      </c>
      <c r="BY16" s="6">
        <v>2.14E-4</v>
      </c>
      <c r="BZ16" s="6">
        <v>2.33E-4</v>
      </c>
      <c r="CA16" s="6">
        <v>2.5399999999999999E-4</v>
      </c>
      <c r="CB16" s="6">
        <v>2.7799999999999998E-4</v>
      </c>
      <c r="CC16" s="6">
        <v>3.0400000000000002E-4</v>
      </c>
      <c r="CD16" s="6">
        <v>3.3100000000000002E-4</v>
      </c>
      <c r="CE16" s="6">
        <v>3.6099999999999999E-4</v>
      </c>
      <c r="CF16" s="6">
        <v>3.9300000000000001E-4</v>
      </c>
      <c r="CG16" s="6">
        <v>4.2900000000000002E-4</v>
      </c>
      <c r="CH16" s="6">
        <v>4.6500000000000003E-4</v>
      </c>
      <c r="CI16" s="6">
        <v>5.0199999999999995E-4</v>
      </c>
      <c r="CJ16" s="6">
        <v>5.3799999999999996E-4</v>
      </c>
      <c r="CK16" s="6">
        <v>5.7499999999999999E-4</v>
      </c>
      <c r="CL16" s="6">
        <v>6.1399999999999996E-4</v>
      </c>
      <c r="CM16" s="6">
        <v>6.5099999999999999E-4</v>
      </c>
      <c r="CN16" s="6">
        <v>6.5099999999999999E-4</v>
      </c>
      <c r="CO16" s="6">
        <v>6.5099999999999999E-4</v>
      </c>
      <c r="CP16" s="6">
        <v>6.5099999999999999E-4</v>
      </c>
      <c r="CQ16" s="6">
        <v>6.5099999999999999E-4</v>
      </c>
      <c r="CR16" s="6">
        <v>6.5099999999999999E-4</v>
      </c>
      <c r="CS16" s="6">
        <v>6.5099999999999999E-4</v>
      </c>
      <c r="CT16" s="6">
        <v>6.5099999999999999E-4</v>
      </c>
      <c r="CU16" s="6">
        <v>6.5099999999999999E-4</v>
      </c>
      <c r="CV16" s="6">
        <v>6.5099999999999999E-4</v>
      </c>
      <c r="CW16" s="6">
        <v>6.5099999999999999E-4</v>
      </c>
      <c r="CX16" s="6">
        <v>6.5099999999999999E-4</v>
      </c>
      <c r="CY16" s="6">
        <v>6.5099999999999999E-4</v>
      </c>
      <c r="CZ16" s="6">
        <v>6.5099999999999999E-4</v>
      </c>
      <c r="DA16" s="6">
        <v>6.5099999999999999E-4</v>
      </c>
      <c r="DB16" s="6">
        <v>6.5099999999999999E-4</v>
      </c>
      <c r="DC16" s="6">
        <v>6.5099999999999999E-4</v>
      </c>
      <c r="DD16" s="6">
        <v>6.5099999999999999E-4</v>
      </c>
      <c r="DE16" s="6">
        <v>6.5099999999999999E-4</v>
      </c>
      <c r="DF16" s="6">
        <v>6.5099999999999999E-4</v>
      </c>
      <c r="DG16" s="6">
        <v>6.5099999999999999E-4</v>
      </c>
      <c r="DH16" s="6">
        <v>6.5099999999999999E-4</v>
      </c>
      <c r="DI16" s="6">
        <v>6.5099999999999999E-4</v>
      </c>
      <c r="DJ16" s="6">
        <v>6.5099999999999999E-4</v>
      </c>
      <c r="DK16" s="6">
        <v>6.5099999999999999E-4</v>
      </c>
      <c r="DL16" s="6">
        <v>6.5099999999999999E-4</v>
      </c>
      <c r="DM16" s="6">
        <v>6.5099999999999999E-4</v>
      </c>
      <c r="DN16" s="6">
        <v>6.5099999999999999E-4</v>
      </c>
      <c r="DO16" s="6">
        <v>6.5099999999999999E-4</v>
      </c>
      <c r="DP16" s="6">
        <v>6.5099999999999999E-4</v>
      </c>
      <c r="DQ16" s="6">
        <v>6.5099999999999999E-4</v>
      </c>
      <c r="DR16" s="6"/>
      <c r="DS16" s="6"/>
      <c r="DT16" s="6"/>
      <c r="DU16" s="6"/>
      <c r="DV16" s="6"/>
      <c r="DW16" s="6"/>
      <c r="DX16" s="6"/>
      <c r="DY16" s="6"/>
      <c r="DZ16" s="6"/>
      <c r="EA16" s="6"/>
    </row>
    <row r="17" spans="2:131">
      <c r="B17" s="6" t="s">
        <v>283</v>
      </c>
      <c r="C17" s="6" t="str">
        <f>VLOOKUP(TAB_Qx[[#This Row],[위험률코드]], TAB_INFO_Qx,2,FALSE)</f>
        <v>기타피부암진단비(감액없음)</v>
      </c>
      <c r="D17" s="6">
        <v>2</v>
      </c>
      <c r="E17" s="6"/>
      <c r="F17" s="6"/>
      <c r="G17" s="6"/>
      <c r="H17" s="6"/>
      <c r="I17" s="6"/>
      <c r="J17" s="23" t="str" cm="1">
        <f t="array" ref="J17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7" s="6">
        <v>3.0000000000000001E-6</v>
      </c>
      <c r="L17" s="6">
        <v>1.9999999999999999E-6</v>
      </c>
      <c r="M17" s="6">
        <v>1.9999999999999999E-6</v>
      </c>
      <c r="N17" s="6">
        <v>1.9999999999999999E-6</v>
      </c>
      <c r="O17" s="6">
        <v>1.9999999999999999E-6</v>
      </c>
      <c r="P17" s="6">
        <v>1.9999999999999999E-6</v>
      </c>
      <c r="Q17" s="6">
        <v>1.9999999999999999E-6</v>
      </c>
      <c r="R17" s="6">
        <v>1.9999999999999999E-6</v>
      </c>
      <c r="S17" s="6">
        <v>1.9999999999999999E-6</v>
      </c>
      <c r="T17" s="6">
        <v>3.9999999999999998E-6</v>
      </c>
      <c r="U17" s="6">
        <v>3.9999999999999998E-6</v>
      </c>
      <c r="V17" s="6">
        <v>5.0000000000000004E-6</v>
      </c>
      <c r="W17" s="6">
        <v>5.0000000000000004E-6</v>
      </c>
      <c r="X17" s="6">
        <v>5.0000000000000004E-6</v>
      </c>
      <c r="Y17" s="6">
        <v>5.0000000000000004E-6</v>
      </c>
      <c r="Z17" s="6">
        <v>3.9999999999999998E-6</v>
      </c>
      <c r="AA17" s="6">
        <v>3.9999999999999998E-6</v>
      </c>
      <c r="AB17" s="6">
        <v>3.9999999999999998E-6</v>
      </c>
      <c r="AC17" s="6">
        <v>5.0000000000000004E-6</v>
      </c>
      <c r="AD17" s="6">
        <v>6.0000000000000002E-6</v>
      </c>
      <c r="AE17" s="6">
        <v>6.9999999999999999E-6</v>
      </c>
      <c r="AF17" s="6">
        <v>6.9999999999999999E-6</v>
      </c>
      <c r="AG17" s="6">
        <v>7.9999999999999996E-6</v>
      </c>
      <c r="AH17" s="6">
        <v>9.0000000000000002E-6</v>
      </c>
      <c r="AI17" s="6">
        <v>9.0000000000000002E-6</v>
      </c>
      <c r="AJ17" s="6">
        <v>1.0000000000000001E-5</v>
      </c>
      <c r="AK17" s="6">
        <v>1.1E-5</v>
      </c>
      <c r="AL17" s="6">
        <v>1.2E-5</v>
      </c>
      <c r="AM17" s="6">
        <v>1.2E-5</v>
      </c>
      <c r="AN17" s="6">
        <v>1.2999999999999999E-5</v>
      </c>
      <c r="AO17" s="6">
        <v>1.2E-5</v>
      </c>
      <c r="AP17" s="6">
        <v>1.2E-5</v>
      </c>
      <c r="AQ17" s="6">
        <v>1.2999999999999999E-5</v>
      </c>
      <c r="AR17" s="6">
        <v>1.4E-5</v>
      </c>
      <c r="AS17" s="6">
        <v>1.7E-5</v>
      </c>
      <c r="AT17" s="6">
        <v>1.9000000000000001E-5</v>
      </c>
      <c r="AU17" s="6">
        <v>2.0999999999999999E-5</v>
      </c>
      <c r="AV17" s="6">
        <v>2.1999999999999999E-5</v>
      </c>
      <c r="AW17" s="6">
        <v>2.1999999999999999E-5</v>
      </c>
      <c r="AX17" s="6">
        <v>2.1999999999999999E-5</v>
      </c>
      <c r="AY17" s="6">
        <v>2.3E-5</v>
      </c>
      <c r="AZ17" s="6">
        <v>2.3E-5</v>
      </c>
      <c r="BA17" s="6">
        <v>2.4000000000000001E-5</v>
      </c>
      <c r="BB17" s="6">
        <v>2.5000000000000001E-5</v>
      </c>
      <c r="BC17" s="6">
        <v>2.8E-5</v>
      </c>
      <c r="BD17" s="6">
        <v>3.1000000000000001E-5</v>
      </c>
      <c r="BE17" s="6">
        <v>3.1999999999999999E-5</v>
      </c>
      <c r="BF17" s="6">
        <v>3.3000000000000003E-5</v>
      </c>
      <c r="BG17" s="6">
        <v>3.6999999999999998E-5</v>
      </c>
      <c r="BH17" s="6">
        <v>4.3000000000000002E-5</v>
      </c>
      <c r="BI17" s="6">
        <v>4.8999999999999998E-5</v>
      </c>
      <c r="BJ17" s="6">
        <v>5.5000000000000002E-5</v>
      </c>
      <c r="BK17" s="6">
        <v>5.8999999999999998E-5</v>
      </c>
      <c r="BL17" s="6">
        <v>6.3E-5</v>
      </c>
      <c r="BM17" s="6">
        <v>6.7999999999999999E-5</v>
      </c>
      <c r="BN17" s="6">
        <v>7.7000000000000001E-5</v>
      </c>
      <c r="BO17" s="6">
        <v>8.3999999999999995E-5</v>
      </c>
      <c r="BP17" s="6">
        <v>8.8999999999999995E-5</v>
      </c>
      <c r="BQ17" s="6">
        <v>9.5000000000000005E-5</v>
      </c>
      <c r="BR17" s="6">
        <v>1E-4</v>
      </c>
      <c r="BS17" s="6">
        <v>1.07E-4</v>
      </c>
      <c r="BT17" s="6">
        <v>1.16E-4</v>
      </c>
      <c r="BU17" s="6">
        <v>1.2999999999999999E-4</v>
      </c>
      <c r="BV17" s="6">
        <v>1.4799999999999999E-4</v>
      </c>
      <c r="BW17" s="6">
        <v>1.6899999999999999E-4</v>
      </c>
      <c r="BX17" s="6">
        <v>1.92E-4</v>
      </c>
      <c r="BY17" s="6">
        <v>2.1599999999999999E-4</v>
      </c>
      <c r="BZ17" s="6">
        <v>2.41E-4</v>
      </c>
      <c r="CA17" s="6">
        <v>2.7E-4</v>
      </c>
      <c r="CB17" s="6">
        <v>2.99E-4</v>
      </c>
      <c r="CC17" s="6">
        <v>3.2899999999999997E-4</v>
      </c>
      <c r="CD17" s="6">
        <v>3.6200000000000002E-4</v>
      </c>
      <c r="CE17" s="6">
        <v>4.0099999999999999E-4</v>
      </c>
      <c r="CF17" s="6">
        <v>4.4999999999999999E-4</v>
      </c>
      <c r="CG17" s="6">
        <v>5.04E-4</v>
      </c>
      <c r="CH17" s="6">
        <v>5.62E-4</v>
      </c>
      <c r="CI17" s="6">
        <v>6.2E-4</v>
      </c>
      <c r="CJ17" s="6">
        <v>6.7699999999999998E-4</v>
      </c>
      <c r="CK17" s="6">
        <v>7.3399999999999995E-4</v>
      </c>
      <c r="CL17" s="6">
        <v>7.9199999999999995E-4</v>
      </c>
      <c r="CM17" s="6">
        <v>8.4699999999999999E-4</v>
      </c>
      <c r="CN17" s="6">
        <v>8.4900000000000004E-4</v>
      </c>
      <c r="CO17" s="6">
        <v>8.4900000000000004E-4</v>
      </c>
      <c r="CP17" s="6">
        <v>8.4900000000000004E-4</v>
      </c>
      <c r="CQ17" s="6">
        <v>8.4900000000000004E-4</v>
      </c>
      <c r="CR17" s="6">
        <v>8.4900000000000004E-4</v>
      </c>
      <c r="CS17" s="6">
        <v>8.4800000000000001E-4</v>
      </c>
      <c r="CT17" s="6">
        <v>8.4800000000000001E-4</v>
      </c>
      <c r="CU17" s="6">
        <v>8.4800000000000001E-4</v>
      </c>
      <c r="CV17" s="6">
        <v>8.4900000000000004E-4</v>
      </c>
      <c r="CW17" s="6">
        <v>8.4900000000000004E-4</v>
      </c>
      <c r="CX17" s="6">
        <v>8.4900000000000004E-4</v>
      </c>
      <c r="CY17" s="6">
        <v>8.4800000000000001E-4</v>
      </c>
      <c r="CZ17" s="6">
        <v>8.4800000000000001E-4</v>
      </c>
      <c r="DA17" s="6">
        <v>8.4900000000000004E-4</v>
      </c>
      <c r="DB17" s="6">
        <v>8.4900000000000004E-4</v>
      </c>
      <c r="DC17" s="6">
        <v>8.4900000000000004E-4</v>
      </c>
      <c r="DD17" s="6">
        <v>8.4800000000000001E-4</v>
      </c>
      <c r="DE17" s="6">
        <v>8.4900000000000004E-4</v>
      </c>
      <c r="DF17" s="6">
        <v>8.4900000000000004E-4</v>
      </c>
      <c r="DG17" s="6">
        <v>8.4900000000000004E-4</v>
      </c>
      <c r="DH17" s="6">
        <v>8.4900000000000004E-4</v>
      </c>
      <c r="DI17" s="6">
        <v>8.4900000000000004E-4</v>
      </c>
      <c r="DJ17" s="6">
        <v>8.4900000000000004E-4</v>
      </c>
      <c r="DK17" s="6">
        <v>8.4900000000000004E-4</v>
      </c>
      <c r="DL17" s="6">
        <v>8.4900000000000004E-4</v>
      </c>
      <c r="DM17" s="6">
        <v>8.4900000000000004E-4</v>
      </c>
      <c r="DN17" s="6">
        <v>8.4900000000000004E-4</v>
      </c>
      <c r="DO17" s="6">
        <v>8.4900000000000004E-4</v>
      </c>
      <c r="DP17" s="6">
        <v>8.4900000000000004E-4</v>
      </c>
      <c r="DQ17" s="6">
        <v>8.4900000000000004E-4</v>
      </c>
      <c r="DR17" s="6"/>
      <c r="DS17" s="6"/>
      <c r="DT17" s="6"/>
      <c r="DU17" s="6"/>
      <c r="DV17" s="6"/>
      <c r="DW17" s="6"/>
      <c r="DX17" s="6"/>
      <c r="DY17" s="6"/>
      <c r="DZ17" s="6"/>
      <c r="EA17" s="6"/>
    </row>
    <row r="18" spans="2:131">
      <c r="B18" s="6" t="s">
        <v>285</v>
      </c>
      <c r="C18" s="6" t="str">
        <f>VLOOKUP(TAB_Qx[[#This Row],[위험률코드]], TAB_INFO_Qx,2,FALSE)</f>
        <v>경계성종양진단비(감액없음)</v>
      </c>
      <c r="D18" s="6">
        <v>1</v>
      </c>
      <c r="E18" s="6"/>
      <c r="F18" s="6"/>
      <c r="G18" s="6"/>
      <c r="H18" s="6"/>
      <c r="I18" s="6"/>
      <c r="J18" s="23" t="str" cm="1">
        <f t="array" ref="J18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8" s="6">
        <v>4.3000000000000002E-5</v>
      </c>
      <c r="L18" s="6">
        <v>3.6999999999999998E-5</v>
      </c>
      <c r="M18" s="6">
        <v>3.1000000000000001E-5</v>
      </c>
      <c r="N18" s="6">
        <v>2.5999999999999998E-5</v>
      </c>
      <c r="O18" s="6">
        <v>2.1999999999999999E-5</v>
      </c>
      <c r="P18" s="6">
        <v>2.0000000000000002E-5</v>
      </c>
      <c r="Q18" s="6">
        <v>1.8E-5</v>
      </c>
      <c r="R18" s="6">
        <v>1.7E-5</v>
      </c>
      <c r="S18" s="6">
        <v>1.5E-5</v>
      </c>
      <c r="T18" s="6">
        <v>1.2999999999999999E-5</v>
      </c>
      <c r="U18" s="6">
        <v>1.2E-5</v>
      </c>
      <c r="V18" s="6">
        <v>1.2999999999999999E-5</v>
      </c>
      <c r="W18" s="6">
        <v>1.5E-5</v>
      </c>
      <c r="X18" s="6">
        <v>1.9000000000000001E-5</v>
      </c>
      <c r="Y18" s="6">
        <v>2.3E-5</v>
      </c>
      <c r="Z18" s="6">
        <v>2.5999999999999998E-5</v>
      </c>
      <c r="AA18" s="6">
        <v>2.9E-5</v>
      </c>
      <c r="AB18" s="6">
        <v>3.1999999999999999E-5</v>
      </c>
      <c r="AC18" s="6">
        <v>3.4E-5</v>
      </c>
      <c r="AD18" s="6">
        <v>3.6999999999999998E-5</v>
      </c>
      <c r="AE18" s="6">
        <v>4.0000000000000003E-5</v>
      </c>
      <c r="AF18" s="6">
        <v>4.1999999999999998E-5</v>
      </c>
      <c r="AG18" s="6">
        <v>4.5000000000000003E-5</v>
      </c>
      <c r="AH18" s="6">
        <v>4.8000000000000001E-5</v>
      </c>
      <c r="AI18" s="6">
        <v>5.1E-5</v>
      </c>
      <c r="AJ18" s="6">
        <v>5.5000000000000002E-5</v>
      </c>
      <c r="AK18" s="6">
        <v>5.8E-5</v>
      </c>
      <c r="AL18" s="6">
        <v>6.2000000000000003E-5</v>
      </c>
      <c r="AM18" s="6">
        <v>6.4999999999999994E-5</v>
      </c>
      <c r="AN18" s="6">
        <v>6.8999999999999997E-5</v>
      </c>
      <c r="AO18" s="6">
        <v>7.2999999999999999E-5</v>
      </c>
      <c r="AP18" s="6">
        <v>7.7000000000000001E-5</v>
      </c>
      <c r="AQ18" s="6">
        <v>8.1000000000000004E-5</v>
      </c>
      <c r="AR18" s="6">
        <v>8.5000000000000006E-5</v>
      </c>
      <c r="AS18" s="6">
        <v>8.8999999999999995E-5</v>
      </c>
      <c r="AT18" s="6">
        <v>9.2999999999999997E-5</v>
      </c>
      <c r="AU18" s="6">
        <v>9.7999999999999997E-5</v>
      </c>
      <c r="AV18" s="6">
        <v>1.02E-4</v>
      </c>
      <c r="AW18" s="6">
        <v>1.07E-4</v>
      </c>
      <c r="AX18" s="6">
        <v>1.11E-4</v>
      </c>
      <c r="AY18" s="6">
        <v>1.16E-4</v>
      </c>
      <c r="AZ18" s="6">
        <v>1.21E-4</v>
      </c>
      <c r="BA18" s="6">
        <v>1.25E-4</v>
      </c>
      <c r="BB18" s="6">
        <v>1.2899999999999999E-4</v>
      </c>
      <c r="BC18" s="6">
        <v>1.34E-4</v>
      </c>
      <c r="BD18" s="6">
        <v>1.3799999999999999E-4</v>
      </c>
      <c r="BE18" s="6">
        <v>1.4300000000000001E-4</v>
      </c>
      <c r="BF18" s="6">
        <v>1.4799999999999999E-4</v>
      </c>
      <c r="BG18" s="6">
        <v>1.54E-4</v>
      </c>
      <c r="BH18" s="6">
        <v>1.6000000000000001E-4</v>
      </c>
      <c r="BI18" s="6">
        <v>1.6699999999999999E-4</v>
      </c>
      <c r="BJ18" s="6">
        <v>1.73E-4</v>
      </c>
      <c r="BK18" s="6">
        <v>1.8100000000000001E-4</v>
      </c>
      <c r="BL18" s="6">
        <v>1.8900000000000001E-4</v>
      </c>
      <c r="BM18" s="6">
        <v>1.9799999999999999E-4</v>
      </c>
      <c r="BN18" s="6">
        <v>2.0799999999999999E-4</v>
      </c>
      <c r="BO18" s="6">
        <v>2.1800000000000001E-4</v>
      </c>
      <c r="BP18" s="6">
        <v>2.2800000000000001E-4</v>
      </c>
      <c r="BQ18" s="6">
        <v>2.41E-4</v>
      </c>
      <c r="BR18" s="6">
        <v>2.5599999999999999E-4</v>
      </c>
      <c r="BS18" s="6">
        <v>2.7500000000000002E-4</v>
      </c>
      <c r="BT18" s="6">
        <v>2.9700000000000001E-4</v>
      </c>
      <c r="BU18" s="6">
        <v>3.2299999999999999E-4</v>
      </c>
      <c r="BV18" s="6">
        <v>3.5E-4</v>
      </c>
      <c r="BW18" s="6">
        <v>3.7800000000000003E-4</v>
      </c>
      <c r="BX18" s="6">
        <v>4.0700000000000003E-4</v>
      </c>
      <c r="BY18" s="6">
        <v>4.37E-4</v>
      </c>
      <c r="BZ18" s="6">
        <v>4.6900000000000002E-4</v>
      </c>
      <c r="CA18" s="6">
        <v>5.0199999999999995E-4</v>
      </c>
      <c r="CB18" s="6">
        <v>5.3700000000000004E-4</v>
      </c>
      <c r="CC18" s="6">
        <v>5.7300000000000005E-4</v>
      </c>
      <c r="CD18" s="6">
        <v>6.0700000000000001E-4</v>
      </c>
      <c r="CE18" s="6">
        <v>6.3900000000000003E-4</v>
      </c>
      <c r="CF18" s="6">
        <v>6.6699999999999995E-4</v>
      </c>
      <c r="CG18" s="6">
        <v>6.9399999999999996E-4</v>
      </c>
      <c r="CH18" s="6">
        <v>7.2000000000000005E-4</v>
      </c>
      <c r="CI18" s="6">
        <v>7.2000000000000005E-4</v>
      </c>
      <c r="CJ18" s="6">
        <v>7.2000000000000005E-4</v>
      </c>
      <c r="CK18" s="6">
        <v>7.2000000000000005E-4</v>
      </c>
      <c r="CL18" s="6">
        <v>7.2000000000000005E-4</v>
      </c>
      <c r="CM18" s="6">
        <v>7.2000000000000005E-4</v>
      </c>
      <c r="CN18" s="6">
        <v>7.2000000000000005E-4</v>
      </c>
      <c r="CO18" s="6">
        <v>7.2000000000000005E-4</v>
      </c>
      <c r="CP18" s="6">
        <v>7.2000000000000005E-4</v>
      </c>
      <c r="CQ18" s="6">
        <v>7.2000000000000005E-4</v>
      </c>
      <c r="CR18" s="6">
        <v>7.2000000000000005E-4</v>
      </c>
      <c r="CS18" s="6">
        <v>7.2000000000000005E-4</v>
      </c>
      <c r="CT18" s="6">
        <v>7.2000000000000005E-4</v>
      </c>
      <c r="CU18" s="6">
        <v>7.2000000000000005E-4</v>
      </c>
      <c r="CV18" s="6">
        <v>7.2000000000000005E-4</v>
      </c>
      <c r="CW18" s="6">
        <v>7.2000000000000005E-4</v>
      </c>
      <c r="CX18" s="6">
        <v>7.2000000000000005E-4</v>
      </c>
      <c r="CY18" s="6">
        <v>7.2000000000000005E-4</v>
      </c>
      <c r="CZ18" s="6">
        <v>7.2000000000000005E-4</v>
      </c>
      <c r="DA18" s="6">
        <v>7.2000000000000005E-4</v>
      </c>
      <c r="DB18" s="6">
        <v>7.2000000000000005E-4</v>
      </c>
      <c r="DC18" s="6">
        <v>7.2000000000000005E-4</v>
      </c>
      <c r="DD18" s="6">
        <v>7.2000000000000005E-4</v>
      </c>
      <c r="DE18" s="6">
        <v>7.2000000000000005E-4</v>
      </c>
      <c r="DF18" s="6">
        <v>7.2000000000000005E-4</v>
      </c>
      <c r="DG18" s="6">
        <v>7.2000000000000005E-4</v>
      </c>
      <c r="DH18" s="6">
        <v>7.2000000000000005E-4</v>
      </c>
      <c r="DI18" s="6">
        <v>7.2000000000000005E-4</v>
      </c>
      <c r="DJ18" s="6">
        <v>7.2000000000000005E-4</v>
      </c>
      <c r="DK18" s="6">
        <v>7.2000000000000005E-4</v>
      </c>
      <c r="DL18" s="6">
        <v>7.2000000000000005E-4</v>
      </c>
      <c r="DM18" s="6">
        <v>7.2000000000000005E-4</v>
      </c>
      <c r="DN18" s="6">
        <v>7.2000000000000005E-4</v>
      </c>
      <c r="DO18" s="6">
        <v>7.2000000000000005E-4</v>
      </c>
      <c r="DP18" s="6">
        <v>7.2000000000000005E-4</v>
      </c>
      <c r="DQ18" s="6">
        <v>7.2000000000000005E-4</v>
      </c>
      <c r="DR18" s="6"/>
      <c r="DS18" s="6"/>
      <c r="DT18" s="6"/>
      <c r="DU18" s="6"/>
      <c r="DV18" s="6"/>
      <c r="DW18" s="6"/>
      <c r="DX18" s="6"/>
      <c r="DY18" s="6"/>
      <c r="DZ18" s="6"/>
      <c r="EA18" s="6"/>
    </row>
    <row r="19" spans="2:131">
      <c r="B19" s="6" t="s">
        <v>285</v>
      </c>
      <c r="C19" s="6" t="str">
        <f>VLOOKUP(TAB_Qx[[#This Row],[위험률코드]], TAB_INFO_Qx,2,FALSE)</f>
        <v>경계성종양진단비(감액없음)</v>
      </c>
      <c r="D19" s="6">
        <v>2</v>
      </c>
      <c r="E19" s="6"/>
      <c r="F19" s="6"/>
      <c r="G19" s="6"/>
      <c r="H19" s="6"/>
      <c r="I19" s="6"/>
      <c r="J19" s="23" t="str" cm="1">
        <f t="array" ref="J19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9" s="6">
        <v>1.01E-4</v>
      </c>
      <c r="L19" s="6">
        <v>6.9999999999999994E-5</v>
      </c>
      <c r="M19" s="6">
        <v>4.3000000000000002E-5</v>
      </c>
      <c r="N19" s="6">
        <v>2.3E-5</v>
      </c>
      <c r="O19" s="6">
        <v>1.1E-5</v>
      </c>
      <c r="P19" s="6">
        <v>6.9999999999999999E-6</v>
      </c>
      <c r="Q19" s="6">
        <v>6.9999999999999999E-6</v>
      </c>
      <c r="R19" s="6">
        <v>1.1E-5</v>
      </c>
      <c r="S19" s="6">
        <v>1.4E-5</v>
      </c>
      <c r="T19" s="6">
        <v>1.8E-5</v>
      </c>
      <c r="U19" s="6">
        <v>2.0999999999999999E-5</v>
      </c>
      <c r="V19" s="6">
        <v>2.4000000000000001E-5</v>
      </c>
      <c r="W19" s="6">
        <v>3.0000000000000001E-5</v>
      </c>
      <c r="X19" s="6">
        <v>3.6999999999999998E-5</v>
      </c>
      <c r="Y19" s="6">
        <v>4.6E-5</v>
      </c>
      <c r="Z19" s="6">
        <v>5.5999999999999999E-5</v>
      </c>
      <c r="AA19" s="6">
        <v>6.4999999999999994E-5</v>
      </c>
      <c r="AB19" s="6">
        <v>7.2999999999999999E-5</v>
      </c>
      <c r="AC19" s="6">
        <v>8.1000000000000004E-5</v>
      </c>
      <c r="AD19" s="6">
        <v>8.7999999999999998E-5</v>
      </c>
      <c r="AE19" s="6">
        <v>9.6000000000000002E-5</v>
      </c>
      <c r="AF19" s="6">
        <v>1.0399999999999999E-4</v>
      </c>
      <c r="AG19" s="6">
        <v>1.11E-4</v>
      </c>
      <c r="AH19" s="6">
        <v>1.18E-4</v>
      </c>
      <c r="AI19" s="6">
        <v>1.2400000000000001E-4</v>
      </c>
      <c r="AJ19" s="6">
        <v>1.2999999999999999E-4</v>
      </c>
      <c r="AK19" s="6">
        <v>1.36E-4</v>
      </c>
      <c r="AL19" s="6">
        <v>1.4200000000000001E-4</v>
      </c>
      <c r="AM19" s="6">
        <v>1.47E-4</v>
      </c>
      <c r="AN19" s="6">
        <v>1.5200000000000001E-4</v>
      </c>
      <c r="AO19" s="6">
        <v>1.56E-4</v>
      </c>
      <c r="AP19" s="6">
        <v>1.6000000000000001E-4</v>
      </c>
      <c r="AQ19" s="6">
        <v>1.64E-4</v>
      </c>
      <c r="AR19" s="6">
        <v>1.6799999999999999E-4</v>
      </c>
      <c r="AS19" s="6">
        <v>1.7100000000000001E-4</v>
      </c>
      <c r="AT19" s="6">
        <v>1.74E-4</v>
      </c>
      <c r="AU19" s="6">
        <v>1.7699999999999999E-4</v>
      </c>
      <c r="AV19" s="6">
        <v>1.8000000000000001E-4</v>
      </c>
      <c r="AW19" s="6">
        <v>1.83E-4</v>
      </c>
      <c r="AX19" s="6">
        <v>1.8699999999999999E-4</v>
      </c>
      <c r="AY19" s="6">
        <v>1.9000000000000001E-4</v>
      </c>
      <c r="AZ19" s="6">
        <v>1.92E-4</v>
      </c>
      <c r="BA19" s="6">
        <v>1.95E-4</v>
      </c>
      <c r="BB19" s="6">
        <v>1.9799999999999999E-4</v>
      </c>
      <c r="BC19" s="6">
        <v>2.0000000000000001E-4</v>
      </c>
      <c r="BD19" s="6">
        <v>2.02E-4</v>
      </c>
      <c r="BE19" s="6">
        <v>2.04E-4</v>
      </c>
      <c r="BF19" s="6">
        <v>2.0699999999999999E-4</v>
      </c>
      <c r="BG19" s="6">
        <v>2.0900000000000001E-4</v>
      </c>
      <c r="BH19" s="6">
        <v>2.1000000000000001E-4</v>
      </c>
      <c r="BI19" s="6">
        <v>2.12E-4</v>
      </c>
      <c r="BJ19" s="6">
        <v>2.13E-4</v>
      </c>
      <c r="BK19" s="6">
        <v>2.1499999999999999E-4</v>
      </c>
      <c r="BL19" s="6">
        <v>2.1599999999999999E-4</v>
      </c>
      <c r="BM19" s="6">
        <v>2.1800000000000001E-4</v>
      </c>
      <c r="BN19" s="6">
        <v>2.2000000000000001E-4</v>
      </c>
      <c r="BO19" s="6">
        <v>2.22E-4</v>
      </c>
      <c r="BP19" s="6">
        <v>2.2499999999999999E-4</v>
      </c>
      <c r="BQ19" s="6">
        <v>2.2699999999999999E-4</v>
      </c>
      <c r="BR19" s="6">
        <v>2.31E-4</v>
      </c>
      <c r="BS19" s="6">
        <v>2.3499999999999999E-4</v>
      </c>
      <c r="BT19" s="6">
        <v>2.4000000000000001E-4</v>
      </c>
      <c r="BU19" s="6">
        <v>2.4600000000000002E-4</v>
      </c>
      <c r="BV19" s="6">
        <v>2.5300000000000002E-4</v>
      </c>
      <c r="BW19" s="6">
        <v>2.5999999999999998E-4</v>
      </c>
      <c r="BX19" s="6">
        <v>2.6800000000000001E-4</v>
      </c>
      <c r="BY19" s="6">
        <v>2.7599999999999999E-4</v>
      </c>
      <c r="BZ19" s="6">
        <v>2.8600000000000001E-4</v>
      </c>
      <c r="CA19" s="6">
        <v>2.9599999999999998E-4</v>
      </c>
      <c r="CB19" s="6">
        <v>3.0800000000000001E-4</v>
      </c>
      <c r="CC19" s="6">
        <v>3.2000000000000003E-4</v>
      </c>
      <c r="CD19" s="6">
        <v>3.3199999999999999E-4</v>
      </c>
      <c r="CE19" s="6">
        <v>3.4400000000000001E-4</v>
      </c>
      <c r="CF19" s="6">
        <v>3.5399999999999999E-4</v>
      </c>
      <c r="CG19" s="6">
        <v>3.6400000000000001E-4</v>
      </c>
      <c r="CH19" s="6">
        <v>3.7399999999999998E-4</v>
      </c>
      <c r="CI19" s="6">
        <v>3.7399999999999998E-4</v>
      </c>
      <c r="CJ19" s="6">
        <v>3.7399999999999998E-4</v>
      </c>
      <c r="CK19" s="6">
        <v>3.7399999999999998E-4</v>
      </c>
      <c r="CL19" s="6">
        <v>3.7399999999999998E-4</v>
      </c>
      <c r="CM19" s="6">
        <v>3.7399999999999998E-4</v>
      </c>
      <c r="CN19" s="6">
        <v>3.7399999999999998E-4</v>
      </c>
      <c r="CO19" s="6">
        <v>3.7399999999999998E-4</v>
      </c>
      <c r="CP19" s="6">
        <v>3.7399999999999998E-4</v>
      </c>
      <c r="CQ19" s="6">
        <v>3.7399999999999998E-4</v>
      </c>
      <c r="CR19" s="6">
        <v>3.7399999999999998E-4</v>
      </c>
      <c r="CS19" s="6">
        <v>3.7399999999999998E-4</v>
      </c>
      <c r="CT19" s="6">
        <v>3.7399999999999998E-4</v>
      </c>
      <c r="CU19" s="6">
        <v>3.7399999999999998E-4</v>
      </c>
      <c r="CV19" s="6">
        <v>3.7399999999999998E-4</v>
      </c>
      <c r="CW19" s="6">
        <v>3.7399999999999998E-4</v>
      </c>
      <c r="CX19" s="6">
        <v>3.7399999999999998E-4</v>
      </c>
      <c r="CY19" s="6">
        <v>3.7399999999999998E-4</v>
      </c>
      <c r="CZ19" s="6">
        <v>3.7399999999999998E-4</v>
      </c>
      <c r="DA19" s="6">
        <v>3.7399999999999998E-4</v>
      </c>
      <c r="DB19" s="6">
        <v>3.7399999999999998E-4</v>
      </c>
      <c r="DC19" s="6">
        <v>3.7399999999999998E-4</v>
      </c>
      <c r="DD19" s="6">
        <v>3.7399999999999998E-4</v>
      </c>
      <c r="DE19" s="6">
        <v>3.7399999999999998E-4</v>
      </c>
      <c r="DF19" s="6">
        <v>3.7399999999999998E-4</v>
      </c>
      <c r="DG19" s="6">
        <v>3.7399999999999998E-4</v>
      </c>
      <c r="DH19" s="6">
        <v>3.7399999999999998E-4</v>
      </c>
      <c r="DI19" s="6">
        <v>3.7399999999999998E-4</v>
      </c>
      <c r="DJ19" s="6">
        <v>3.7399999999999998E-4</v>
      </c>
      <c r="DK19" s="6">
        <v>3.7399999999999998E-4</v>
      </c>
      <c r="DL19" s="6">
        <v>3.7399999999999998E-4</v>
      </c>
      <c r="DM19" s="6">
        <v>3.7399999999999998E-4</v>
      </c>
      <c r="DN19" s="6">
        <v>3.7399999999999998E-4</v>
      </c>
      <c r="DO19" s="6">
        <v>3.7399999999999998E-4</v>
      </c>
      <c r="DP19" s="6">
        <v>3.7399999999999998E-4</v>
      </c>
      <c r="DQ19" s="6">
        <v>3.7399999999999998E-4</v>
      </c>
      <c r="DR19" s="6"/>
      <c r="DS19" s="6"/>
      <c r="DT19" s="6"/>
      <c r="DU19" s="6"/>
      <c r="DV19" s="6"/>
      <c r="DW19" s="6"/>
      <c r="DX19" s="6"/>
      <c r="DY19" s="6"/>
      <c r="DZ19" s="6"/>
      <c r="EA19" s="6"/>
    </row>
    <row r="20" spans="2:131">
      <c r="B20" s="6" t="s">
        <v>286</v>
      </c>
      <c r="C20" s="6" t="str">
        <f>VLOOKUP(TAB_Qx[[#This Row],[위험률코드]], TAB_INFO_Qx,2,FALSE)</f>
        <v>제자리암진단비</v>
      </c>
      <c r="D20" s="6">
        <v>1</v>
      </c>
      <c r="E20" s="6"/>
      <c r="F20" s="6"/>
      <c r="G20" s="6"/>
      <c r="H20" s="6"/>
      <c r="I20" s="6"/>
      <c r="J20" s="23" t="str" cm="1">
        <f t="array" ref="J20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0" s="6">
        <v>1.0000000000000001E-5</v>
      </c>
      <c r="L20" s="6">
        <v>1.0000000000000001E-5</v>
      </c>
      <c r="M20" s="6">
        <v>1.0000000000000001E-5</v>
      </c>
      <c r="N20" s="6">
        <v>1.0000000000000001E-5</v>
      </c>
      <c r="O20" s="6">
        <v>1.0000000000000001E-5</v>
      </c>
      <c r="P20" s="6">
        <v>1.0000000000000001E-5</v>
      </c>
      <c r="Q20" s="6">
        <v>1.0000000000000001E-5</v>
      </c>
      <c r="R20" s="6">
        <v>1.0000000000000001E-5</v>
      </c>
      <c r="S20" s="6">
        <v>1.0000000000000001E-5</v>
      </c>
      <c r="T20" s="6">
        <v>1.0000000000000001E-5</v>
      </c>
      <c r="U20" s="6">
        <v>1.0000000000000001E-5</v>
      </c>
      <c r="V20" s="6">
        <v>1.0000000000000001E-5</v>
      </c>
      <c r="W20" s="6">
        <v>1.0000000000000001E-5</v>
      </c>
      <c r="X20" s="6">
        <v>1.0000000000000001E-5</v>
      </c>
      <c r="Y20" s="6">
        <v>1.0000000000000001E-5</v>
      </c>
      <c r="Z20" s="6">
        <v>1.0000000000000001E-5</v>
      </c>
      <c r="AA20" s="6">
        <v>1.0000000000000001E-5</v>
      </c>
      <c r="AB20" s="6">
        <v>1.0000000000000001E-5</v>
      </c>
      <c r="AC20" s="6">
        <v>1.0000000000000001E-5</v>
      </c>
      <c r="AD20" s="6">
        <v>1.0000000000000001E-5</v>
      </c>
      <c r="AE20" s="6">
        <v>1.0000000000000001E-5</v>
      </c>
      <c r="AF20" s="6">
        <v>1.0000000000000001E-5</v>
      </c>
      <c r="AG20" s="6">
        <v>1.0000000000000001E-5</v>
      </c>
      <c r="AH20" s="6">
        <v>1.0000000000000001E-5</v>
      </c>
      <c r="AI20" s="6">
        <v>1.0000000000000001E-5</v>
      </c>
      <c r="AJ20" s="6">
        <v>1.0000000000000001E-5</v>
      </c>
      <c r="AK20" s="6">
        <v>9.0000000000000002E-6</v>
      </c>
      <c r="AL20" s="6">
        <v>9.0000000000000002E-6</v>
      </c>
      <c r="AM20" s="6">
        <v>9.0000000000000002E-6</v>
      </c>
      <c r="AN20" s="6">
        <v>9.0000000000000002E-6</v>
      </c>
      <c r="AO20" s="6">
        <v>1.0000000000000001E-5</v>
      </c>
      <c r="AP20" s="6">
        <v>1.1E-5</v>
      </c>
      <c r="AQ20" s="6">
        <v>1.2E-5</v>
      </c>
      <c r="AR20" s="6">
        <v>1.2999999999999999E-5</v>
      </c>
      <c r="AS20" s="6">
        <v>1.4E-5</v>
      </c>
      <c r="AT20" s="6">
        <v>1.4E-5</v>
      </c>
      <c r="AU20" s="6">
        <v>1.2999999999999999E-5</v>
      </c>
      <c r="AV20" s="6">
        <v>1.2E-5</v>
      </c>
      <c r="AW20" s="6">
        <v>1.2E-5</v>
      </c>
      <c r="AX20" s="6">
        <v>1.2E-5</v>
      </c>
      <c r="AY20" s="6">
        <v>1.4E-5</v>
      </c>
      <c r="AZ20" s="6">
        <v>1.7E-5</v>
      </c>
      <c r="BA20" s="6">
        <v>2.1999999999999999E-5</v>
      </c>
      <c r="BB20" s="6">
        <v>2.6999999999999999E-5</v>
      </c>
      <c r="BC20" s="6">
        <v>3.1999999999999999E-5</v>
      </c>
      <c r="BD20" s="6">
        <v>3.6999999999999998E-5</v>
      </c>
      <c r="BE20" s="6">
        <v>4.1E-5</v>
      </c>
      <c r="BF20" s="6">
        <v>4.6E-5</v>
      </c>
      <c r="BG20" s="6">
        <v>5.1E-5</v>
      </c>
      <c r="BH20" s="6">
        <v>5.5999999999999999E-5</v>
      </c>
      <c r="BI20" s="6">
        <v>6.2000000000000003E-5</v>
      </c>
      <c r="BJ20" s="6">
        <v>6.8999999999999997E-5</v>
      </c>
      <c r="BK20" s="6">
        <v>7.6000000000000004E-5</v>
      </c>
      <c r="BL20" s="6">
        <v>8.5000000000000006E-5</v>
      </c>
      <c r="BM20" s="6">
        <v>9.6000000000000002E-5</v>
      </c>
      <c r="BN20" s="6">
        <v>1.07E-4</v>
      </c>
      <c r="BO20" s="6">
        <v>1.1900000000000001E-4</v>
      </c>
      <c r="BP20" s="6">
        <v>1.3100000000000001E-4</v>
      </c>
      <c r="BQ20" s="6">
        <v>1.4300000000000001E-4</v>
      </c>
      <c r="BR20" s="6">
        <v>1.56E-4</v>
      </c>
      <c r="BS20" s="6">
        <v>1.6799999999999999E-4</v>
      </c>
      <c r="BT20" s="6">
        <v>1.8100000000000001E-4</v>
      </c>
      <c r="BU20" s="6">
        <v>1.94E-4</v>
      </c>
      <c r="BV20" s="6">
        <v>2.0699999999999999E-4</v>
      </c>
      <c r="BW20" s="6">
        <v>2.1900000000000001E-4</v>
      </c>
      <c r="BX20" s="6">
        <v>2.2900000000000001E-4</v>
      </c>
      <c r="BY20" s="6">
        <v>2.3900000000000001E-4</v>
      </c>
      <c r="BZ20" s="6">
        <v>2.4699999999999999E-4</v>
      </c>
      <c r="CA20" s="6">
        <v>2.5500000000000002E-4</v>
      </c>
      <c r="CB20" s="6">
        <v>2.63E-4</v>
      </c>
      <c r="CC20" s="6">
        <v>2.72E-4</v>
      </c>
      <c r="CD20" s="6">
        <v>2.81E-4</v>
      </c>
      <c r="CE20" s="6">
        <v>2.9E-4</v>
      </c>
      <c r="CF20" s="6">
        <v>2.9799999999999998E-4</v>
      </c>
      <c r="CG20" s="6">
        <v>3.0299999999999999E-4</v>
      </c>
      <c r="CH20" s="6">
        <v>3.0200000000000002E-4</v>
      </c>
      <c r="CI20" s="6">
        <v>2.9599999999999998E-4</v>
      </c>
      <c r="CJ20" s="6">
        <v>2.8699999999999998E-4</v>
      </c>
      <c r="CK20" s="6">
        <v>2.7599999999999999E-4</v>
      </c>
      <c r="CL20" s="6">
        <v>2.6600000000000001E-4</v>
      </c>
      <c r="CM20" s="6">
        <v>2.5700000000000001E-4</v>
      </c>
      <c r="CN20" s="6">
        <v>2.5700000000000001E-4</v>
      </c>
      <c r="CO20" s="6">
        <v>2.5700000000000001E-4</v>
      </c>
      <c r="CP20" s="6">
        <v>2.5700000000000001E-4</v>
      </c>
      <c r="CQ20" s="6">
        <v>2.5700000000000001E-4</v>
      </c>
      <c r="CR20" s="6">
        <v>2.5700000000000001E-4</v>
      </c>
      <c r="CS20" s="6">
        <v>2.5700000000000001E-4</v>
      </c>
      <c r="CT20" s="6">
        <v>2.5700000000000001E-4</v>
      </c>
      <c r="CU20" s="6">
        <v>2.5700000000000001E-4</v>
      </c>
      <c r="CV20" s="6">
        <v>2.5700000000000001E-4</v>
      </c>
      <c r="CW20" s="6">
        <v>2.5700000000000001E-4</v>
      </c>
      <c r="CX20" s="6">
        <v>2.5700000000000001E-4</v>
      </c>
      <c r="CY20" s="6">
        <v>2.5700000000000001E-4</v>
      </c>
      <c r="CZ20" s="6">
        <v>2.5700000000000001E-4</v>
      </c>
      <c r="DA20" s="6">
        <v>2.5700000000000001E-4</v>
      </c>
      <c r="DB20" s="6">
        <v>2.5700000000000001E-4</v>
      </c>
      <c r="DC20" s="6">
        <v>2.5700000000000001E-4</v>
      </c>
      <c r="DD20" s="6">
        <v>2.5700000000000001E-4</v>
      </c>
      <c r="DE20" s="6">
        <v>2.5700000000000001E-4</v>
      </c>
      <c r="DF20" s="6">
        <v>2.5700000000000001E-4</v>
      </c>
      <c r="DG20" s="6">
        <v>2.5700000000000001E-4</v>
      </c>
      <c r="DH20" s="6">
        <v>2.5700000000000001E-4</v>
      </c>
      <c r="DI20" s="6">
        <v>2.5700000000000001E-4</v>
      </c>
      <c r="DJ20" s="6">
        <v>2.5700000000000001E-4</v>
      </c>
      <c r="DK20" s="6">
        <v>2.5700000000000001E-4</v>
      </c>
      <c r="DL20" s="6">
        <v>2.5700000000000001E-4</v>
      </c>
      <c r="DM20" s="6">
        <v>2.5700000000000001E-4</v>
      </c>
      <c r="DN20" s="6">
        <v>2.5700000000000001E-4</v>
      </c>
      <c r="DO20" s="6">
        <v>2.5700000000000001E-4</v>
      </c>
      <c r="DP20" s="6">
        <v>2.5700000000000001E-4</v>
      </c>
      <c r="DQ20" s="6">
        <v>2.5700000000000001E-4</v>
      </c>
      <c r="DR20" s="6"/>
      <c r="DS20" s="6"/>
      <c r="DT20" s="6"/>
      <c r="DU20" s="6"/>
      <c r="DV20" s="6"/>
      <c r="DW20" s="6"/>
      <c r="DX20" s="6"/>
      <c r="DY20" s="6"/>
      <c r="DZ20" s="6"/>
      <c r="EA20" s="6"/>
    </row>
    <row r="21" spans="2:131">
      <c r="B21" s="6" t="s">
        <v>286</v>
      </c>
      <c r="C21" s="6" t="str">
        <f>VLOOKUP(TAB_Qx[[#This Row],[위험률코드]], TAB_INFO_Qx,2,FALSE)</f>
        <v>제자리암진단비</v>
      </c>
      <c r="D21" s="6">
        <v>2</v>
      </c>
      <c r="E21" s="6"/>
      <c r="F21" s="6"/>
      <c r="G21" s="6"/>
      <c r="H21" s="6"/>
      <c r="I21" s="6"/>
      <c r="J21" s="23" t="str" cm="1">
        <f t="array" ref="J21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1" s="6">
        <v>1.9999999999999999E-6</v>
      </c>
      <c r="L21" s="6">
        <v>1.9999999999999999E-6</v>
      </c>
      <c r="M21" s="6">
        <v>1.9999999999999999E-6</v>
      </c>
      <c r="N21" s="6">
        <v>1.9999999999999999E-6</v>
      </c>
      <c r="O21" s="6">
        <v>1.9999999999999999E-6</v>
      </c>
      <c r="P21" s="6">
        <v>1.9999999999999999E-6</v>
      </c>
      <c r="Q21" s="6">
        <v>1.9999999999999999E-6</v>
      </c>
      <c r="R21" s="6">
        <v>1.9999999999999999E-6</v>
      </c>
      <c r="S21" s="6">
        <v>1.9999999999999999E-6</v>
      </c>
      <c r="T21" s="6">
        <v>1.9999999999999999E-6</v>
      </c>
      <c r="U21" s="6">
        <v>3.0000000000000001E-6</v>
      </c>
      <c r="V21" s="6">
        <v>3.0000000000000001E-6</v>
      </c>
      <c r="W21" s="6">
        <v>3.0000000000000001E-6</v>
      </c>
      <c r="X21" s="6">
        <v>3.0000000000000001E-6</v>
      </c>
      <c r="Y21" s="6">
        <v>3.0000000000000001E-6</v>
      </c>
      <c r="Z21" s="6">
        <v>3.9999999999999998E-6</v>
      </c>
      <c r="AA21" s="6">
        <v>6.0000000000000002E-6</v>
      </c>
      <c r="AB21" s="6">
        <v>1.2E-5</v>
      </c>
      <c r="AC21" s="6">
        <v>2.3E-5</v>
      </c>
      <c r="AD21" s="6">
        <v>4.1E-5</v>
      </c>
      <c r="AE21" s="6">
        <v>6.7000000000000002E-5</v>
      </c>
      <c r="AF21" s="6">
        <v>9.8999999999999994E-5</v>
      </c>
      <c r="AG21" s="6">
        <v>1.3999999999999999E-4</v>
      </c>
      <c r="AH21" s="6">
        <v>1.9000000000000001E-4</v>
      </c>
      <c r="AI21" s="6">
        <v>2.5300000000000002E-4</v>
      </c>
      <c r="AJ21" s="6">
        <v>3.3E-4</v>
      </c>
      <c r="AK21" s="6">
        <v>4.2200000000000001E-4</v>
      </c>
      <c r="AL21" s="6">
        <v>5.1500000000000005E-4</v>
      </c>
      <c r="AM21" s="6">
        <v>5.8799999999999998E-4</v>
      </c>
      <c r="AN21" s="6">
        <v>6.3199999999999997E-4</v>
      </c>
      <c r="AO21" s="6">
        <v>6.5700000000000003E-4</v>
      </c>
      <c r="AP21" s="6">
        <v>6.8400000000000004E-4</v>
      </c>
      <c r="AQ21" s="6">
        <v>7.2800000000000002E-4</v>
      </c>
      <c r="AR21" s="6">
        <v>7.9100000000000004E-4</v>
      </c>
      <c r="AS21" s="6">
        <v>8.5899999999999995E-4</v>
      </c>
      <c r="AT21" s="6">
        <v>9.19E-4</v>
      </c>
      <c r="AU21" s="6">
        <v>9.7199999999999999E-4</v>
      </c>
      <c r="AV21" s="6">
        <v>1.0150000000000001E-3</v>
      </c>
      <c r="AW21" s="6">
        <v>1.0480000000000001E-3</v>
      </c>
      <c r="AX21" s="6">
        <v>1.0709999999999999E-3</v>
      </c>
      <c r="AY21" s="6">
        <v>1.0839999999999999E-3</v>
      </c>
      <c r="AZ21" s="6">
        <v>1.0889999999999999E-3</v>
      </c>
      <c r="BA21" s="6">
        <v>1.085E-3</v>
      </c>
      <c r="BB21" s="6">
        <v>1.072E-3</v>
      </c>
      <c r="BC21" s="6">
        <v>1.049E-3</v>
      </c>
      <c r="BD21" s="6">
        <v>1.021E-3</v>
      </c>
      <c r="BE21" s="6">
        <v>9.9099999999999991E-4</v>
      </c>
      <c r="BF21" s="6">
        <v>9.6400000000000001E-4</v>
      </c>
      <c r="BG21" s="6">
        <v>9.4499999999999998E-4</v>
      </c>
      <c r="BH21" s="6">
        <v>9.3300000000000002E-4</v>
      </c>
      <c r="BI21" s="6">
        <v>9.2299999999999999E-4</v>
      </c>
      <c r="BJ21" s="6">
        <v>9.1E-4</v>
      </c>
      <c r="BK21" s="6">
        <v>8.92E-4</v>
      </c>
      <c r="BL21" s="6">
        <v>8.6799999999999996E-4</v>
      </c>
      <c r="BM21" s="6">
        <v>8.3900000000000001E-4</v>
      </c>
      <c r="BN21" s="6">
        <v>8.0900000000000004E-4</v>
      </c>
      <c r="BO21" s="6">
        <v>7.7899999999999996E-4</v>
      </c>
      <c r="BP21" s="6">
        <v>7.5299999999999998E-4</v>
      </c>
      <c r="BQ21" s="6">
        <v>7.36E-4</v>
      </c>
      <c r="BR21" s="6">
        <v>7.2999999999999996E-4</v>
      </c>
      <c r="BS21" s="6">
        <v>7.36E-4</v>
      </c>
      <c r="BT21" s="6">
        <v>7.5000000000000002E-4</v>
      </c>
      <c r="BU21" s="6">
        <v>7.6800000000000002E-4</v>
      </c>
      <c r="BV21" s="6">
        <v>7.85E-4</v>
      </c>
      <c r="BW21" s="6">
        <v>7.9799999999999999E-4</v>
      </c>
      <c r="BX21" s="6">
        <v>8.0599999999999997E-4</v>
      </c>
      <c r="BY21" s="6">
        <v>8.0900000000000004E-4</v>
      </c>
      <c r="BZ21" s="6">
        <v>8.0999999999999996E-4</v>
      </c>
      <c r="CA21" s="6">
        <v>8.0999999999999996E-4</v>
      </c>
      <c r="CB21" s="6">
        <v>8.0999999999999996E-4</v>
      </c>
      <c r="CC21" s="6">
        <v>8.0999999999999996E-4</v>
      </c>
      <c r="CD21" s="6">
        <v>8.12E-4</v>
      </c>
      <c r="CE21" s="6">
        <v>8.1499999999999997E-4</v>
      </c>
      <c r="CF21" s="6">
        <v>8.1499999999999997E-4</v>
      </c>
      <c r="CG21" s="6">
        <v>8.03E-4</v>
      </c>
      <c r="CH21" s="6">
        <v>7.7399999999999995E-4</v>
      </c>
      <c r="CI21" s="6">
        <v>7.2800000000000002E-4</v>
      </c>
      <c r="CJ21" s="6">
        <v>6.7000000000000002E-4</v>
      </c>
      <c r="CK21" s="6">
        <v>6.0899999999999995E-4</v>
      </c>
      <c r="CL21" s="6">
        <v>5.4900000000000001E-4</v>
      </c>
      <c r="CM21" s="6">
        <v>4.9100000000000001E-4</v>
      </c>
      <c r="CN21" s="6">
        <v>4.9100000000000001E-4</v>
      </c>
      <c r="CO21" s="6">
        <v>4.9100000000000001E-4</v>
      </c>
      <c r="CP21" s="6">
        <v>4.9100000000000001E-4</v>
      </c>
      <c r="CQ21" s="6">
        <v>4.9100000000000001E-4</v>
      </c>
      <c r="CR21" s="6">
        <v>4.9100000000000001E-4</v>
      </c>
      <c r="CS21" s="6">
        <v>4.9100000000000001E-4</v>
      </c>
      <c r="CT21" s="6">
        <v>4.9100000000000001E-4</v>
      </c>
      <c r="CU21" s="6">
        <v>4.9100000000000001E-4</v>
      </c>
      <c r="CV21" s="6">
        <v>4.9100000000000001E-4</v>
      </c>
      <c r="CW21" s="6">
        <v>4.9100000000000001E-4</v>
      </c>
      <c r="CX21" s="6">
        <v>4.9100000000000001E-4</v>
      </c>
      <c r="CY21" s="6">
        <v>4.9100000000000001E-4</v>
      </c>
      <c r="CZ21" s="6">
        <v>4.9100000000000001E-4</v>
      </c>
      <c r="DA21" s="6">
        <v>4.9100000000000001E-4</v>
      </c>
      <c r="DB21" s="6">
        <v>4.9100000000000001E-4</v>
      </c>
      <c r="DC21" s="6">
        <v>4.9100000000000001E-4</v>
      </c>
      <c r="DD21" s="6">
        <v>4.9100000000000001E-4</v>
      </c>
      <c r="DE21" s="6">
        <v>4.9100000000000001E-4</v>
      </c>
      <c r="DF21" s="6">
        <v>4.9100000000000001E-4</v>
      </c>
      <c r="DG21" s="6">
        <v>4.9100000000000001E-4</v>
      </c>
      <c r="DH21" s="6">
        <v>4.9100000000000001E-4</v>
      </c>
      <c r="DI21" s="6">
        <v>4.9100000000000001E-4</v>
      </c>
      <c r="DJ21" s="6">
        <v>4.9100000000000001E-4</v>
      </c>
      <c r="DK21" s="6">
        <v>4.9100000000000001E-4</v>
      </c>
      <c r="DL21" s="6">
        <v>4.9100000000000001E-4</v>
      </c>
      <c r="DM21" s="6">
        <v>4.9100000000000001E-4</v>
      </c>
      <c r="DN21" s="6">
        <v>4.9100000000000001E-4</v>
      </c>
      <c r="DO21" s="6">
        <v>4.9100000000000001E-4</v>
      </c>
      <c r="DP21" s="6">
        <v>4.9100000000000001E-4</v>
      </c>
      <c r="DQ21" s="6">
        <v>4.9100000000000001E-4</v>
      </c>
      <c r="DR21" s="6"/>
      <c r="DS21" s="6"/>
      <c r="DT21" s="6"/>
      <c r="DU21" s="6"/>
      <c r="DV21" s="6"/>
      <c r="DW21" s="6"/>
      <c r="DX21" s="6"/>
      <c r="DY21" s="6"/>
      <c r="DZ21" s="6"/>
      <c r="EA21" s="6"/>
    </row>
    <row r="22" spans="2:131">
      <c r="B22" s="6" t="s">
        <v>338</v>
      </c>
      <c r="C22" s="6" t="str">
        <f>VLOOKUP(TAB_Qx[[#This Row],[위험률코드]], TAB_INFO_Qx,2,FALSE)</f>
        <v>응급실내원비(응급)</v>
      </c>
      <c r="D22" s="6">
        <v>1</v>
      </c>
      <c r="E22" s="6"/>
      <c r="F22" s="6"/>
      <c r="G22" s="6"/>
      <c r="H22" s="6"/>
      <c r="I22" s="6"/>
      <c r="J22" s="37" t="str" cm="1">
        <f t="array" ref="J22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2" s="6">
        <v>0.88524700000000001</v>
      </c>
      <c r="L22" s="6">
        <v>0.80567100000000003</v>
      </c>
      <c r="M22" s="6">
        <v>0.72436100000000003</v>
      </c>
      <c r="N22" s="6">
        <v>0.64263000000000003</v>
      </c>
      <c r="O22" s="6">
        <v>0.56594500000000003</v>
      </c>
      <c r="P22" s="6">
        <v>0.50061500000000003</v>
      </c>
      <c r="Q22" s="6">
        <v>0.44939099999999998</v>
      </c>
      <c r="R22" s="6">
        <v>0.40952100000000002</v>
      </c>
      <c r="S22" s="6">
        <v>0.374697</v>
      </c>
      <c r="T22" s="6">
        <v>0.339453</v>
      </c>
      <c r="U22" s="6">
        <v>0.30247400000000002</v>
      </c>
      <c r="V22" s="6">
        <v>0.264768</v>
      </c>
      <c r="W22" s="6">
        <v>0.226156</v>
      </c>
      <c r="X22" s="6">
        <v>0.18948699999999999</v>
      </c>
      <c r="Y22" s="6">
        <v>0.15969900000000001</v>
      </c>
      <c r="Z22" s="6">
        <v>0.140596</v>
      </c>
      <c r="AA22" s="6">
        <v>0.13217799999999999</v>
      </c>
      <c r="AB22" s="6">
        <v>0.13064200000000001</v>
      </c>
      <c r="AC22" s="6">
        <v>0.131048</v>
      </c>
      <c r="AD22" s="6">
        <v>0.130549</v>
      </c>
      <c r="AE22" s="6">
        <v>0.12932199999999999</v>
      </c>
      <c r="AF22" s="6">
        <v>0.12803800000000001</v>
      </c>
      <c r="AG22" s="6">
        <v>0.12668299999999999</v>
      </c>
      <c r="AH22" s="6">
        <v>0.12548000000000001</v>
      </c>
      <c r="AI22" s="6">
        <v>0.124818</v>
      </c>
      <c r="AJ22" s="6">
        <v>0.12499399999999999</v>
      </c>
      <c r="AK22" s="6">
        <v>0.12600800000000001</v>
      </c>
      <c r="AL22" s="6">
        <v>0.12756200000000001</v>
      </c>
      <c r="AM22" s="6">
        <v>0.129269</v>
      </c>
      <c r="AN22" s="6">
        <v>0.13090499999999999</v>
      </c>
      <c r="AO22" s="6">
        <v>0.13248399999999999</v>
      </c>
      <c r="AP22" s="6">
        <v>0.13408500000000001</v>
      </c>
      <c r="AQ22" s="6">
        <v>0.135715</v>
      </c>
      <c r="AR22" s="6">
        <v>0.13728399999999999</v>
      </c>
      <c r="AS22" s="6">
        <v>0.13863700000000001</v>
      </c>
      <c r="AT22" s="6">
        <v>0.139654</v>
      </c>
      <c r="AU22" s="6">
        <v>0.14033499999999999</v>
      </c>
      <c r="AV22" s="6">
        <v>0.14080000000000001</v>
      </c>
      <c r="AW22" s="6">
        <v>0.141204</v>
      </c>
      <c r="AX22" s="6">
        <v>0.14163700000000001</v>
      </c>
      <c r="AY22" s="6">
        <v>0.142093</v>
      </c>
      <c r="AZ22" s="6">
        <v>0.14247899999999999</v>
      </c>
      <c r="BA22" s="6">
        <v>0.14277899999999999</v>
      </c>
      <c r="BB22" s="6">
        <v>0.143264</v>
      </c>
      <c r="BC22" s="6">
        <v>0.144402</v>
      </c>
      <c r="BD22" s="6">
        <v>0.14655399999999999</v>
      </c>
      <c r="BE22" s="6">
        <v>0.14971999999999999</v>
      </c>
      <c r="BF22" s="6">
        <v>0.15353900000000001</v>
      </c>
      <c r="BG22" s="6">
        <v>0.15754299999999999</v>
      </c>
      <c r="BH22" s="6">
        <v>0.16146099999999999</v>
      </c>
      <c r="BI22" s="6">
        <v>0.16530900000000001</v>
      </c>
      <c r="BJ22" s="6">
        <v>0.16911300000000001</v>
      </c>
      <c r="BK22" s="6">
        <v>0.17286099999999999</v>
      </c>
      <c r="BL22" s="6">
        <v>0.176729</v>
      </c>
      <c r="BM22" s="6">
        <v>0.18101900000000001</v>
      </c>
      <c r="BN22" s="6">
        <v>0.18596499999999999</v>
      </c>
      <c r="BO22" s="6">
        <v>0.19156699999999999</v>
      </c>
      <c r="BP22" s="6">
        <v>0.19759099999999999</v>
      </c>
      <c r="BQ22" s="6">
        <v>0.203735</v>
      </c>
      <c r="BR22" s="6">
        <v>0.20982300000000001</v>
      </c>
      <c r="BS22" s="6">
        <v>0.215866</v>
      </c>
      <c r="BT22" s="6">
        <v>0.221802</v>
      </c>
      <c r="BU22" s="6">
        <v>0.227603</v>
      </c>
      <c r="BV22" s="6">
        <v>0.23369200000000001</v>
      </c>
      <c r="BW22" s="6">
        <v>0.24080399999999999</v>
      </c>
      <c r="BX22" s="6">
        <v>0.249503</v>
      </c>
      <c r="BY22" s="6">
        <v>0.25978899999999999</v>
      </c>
      <c r="BZ22" s="6">
        <v>0.27109800000000001</v>
      </c>
      <c r="CA22" s="6">
        <v>0.282696</v>
      </c>
      <c r="CB22" s="6">
        <v>0.294159</v>
      </c>
      <c r="CC22" s="6">
        <v>0.30551299999999998</v>
      </c>
      <c r="CD22" s="6">
        <v>0.31650200000000001</v>
      </c>
      <c r="CE22" s="6">
        <v>0.32703700000000002</v>
      </c>
      <c r="CF22" s="6">
        <v>0.33854699999999999</v>
      </c>
      <c r="CG22" s="6">
        <v>0.353516</v>
      </c>
      <c r="CH22" s="6">
        <v>0.37385600000000002</v>
      </c>
      <c r="CI22" s="6">
        <v>0.399565</v>
      </c>
      <c r="CJ22" s="6">
        <v>0.42992900000000001</v>
      </c>
      <c r="CK22" s="6">
        <v>0.461557</v>
      </c>
      <c r="CL22" s="6">
        <v>0.489257</v>
      </c>
      <c r="CM22" s="6">
        <v>0.50877499999999998</v>
      </c>
      <c r="CN22" s="6">
        <v>0.51858099999999996</v>
      </c>
      <c r="CO22" s="6">
        <v>0.52057200000000003</v>
      </c>
      <c r="CP22" s="6">
        <v>0.51908799999999999</v>
      </c>
      <c r="CQ22" s="6">
        <v>0.51789399999999997</v>
      </c>
      <c r="CR22" s="6">
        <v>0.51789399999999997</v>
      </c>
      <c r="CS22" s="6">
        <v>0.51789399999999997</v>
      </c>
      <c r="CT22" s="6">
        <v>0.51789399999999997</v>
      </c>
      <c r="CU22" s="6">
        <v>0.51789399999999997</v>
      </c>
      <c r="CV22" s="6">
        <v>0.51789399999999997</v>
      </c>
      <c r="CW22" s="6">
        <v>0.51789399999999997</v>
      </c>
      <c r="CX22" s="6">
        <v>0.51789399999999997</v>
      </c>
      <c r="CY22" s="6">
        <v>0.51789399999999997</v>
      </c>
      <c r="CZ22" s="6">
        <v>0.51789399999999997</v>
      </c>
      <c r="DA22" s="6">
        <v>0.51789399999999997</v>
      </c>
      <c r="DB22" s="6">
        <v>0.51789399999999997</v>
      </c>
      <c r="DC22" s="6">
        <v>0.51789399999999997</v>
      </c>
      <c r="DD22" s="6">
        <v>0.51789399999999997</v>
      </c>
      <c r="DE22" s="6">
        <v>0.51789399999999997</v>
      </c>
      <c r="DF22" s="6">
        <v>0.51789399999999997</v>
      </c>
      <c r="DG22" s="6">
        <v>0.51789399999999997</v>
      </c>
      <c r="DH22" s="6">
        <v>0.51789399999999997</v>
      </c>
      <c r="DI22" s="6">
        <v>0.51789399999999997</v>
      </c>
      <c r="DJ22" s="6">
        <v>0.51789399999999997</v>
      </c>
      <c r="DK22" s="6">
        <v>0.51789399999999997</v>
      </c>
      <c r="DL22" s="6">
        <v>0.51789399999999997</v>
      </c>
      <c r="DM22" s="6">
        <v>0.51789399999999997</v>
      </c>
      <c r="DN22" s="6">
        <v>0.51789399999999997</v>
      </c>
      <c r="DO22" s="6">
        <v>0.51789399999999997</v>
      </c>
      <c r="DP22" s="6">
        <v>0.51789399999999997</v>
      </c>
      <c r="DQ22" s="6">
        <v>0.51789399999999997</v>
      </c>
      <c r="DR22" s="6"/>
      <c r="DS22" s="6"/>
      <c r="DT22" s="6"/>
      <c r="DU22" s="6"/>
      <c r="DV22" s="6"/>
      <c r="DW22" s="6"/>
      <c r="DX22" s="6"/>
      <c r="DY22" s="6"/>
      <c r="DZ22" s="6"/>
      <c r="EA22" s="6"/>
    </row>
    <row r="23" spans="2:131">
      <c r="B23" s="6" t="s">
        <v>338</v>
      </c>
      <c r="C23" s="6" t="str">
        <f>VLOOKUP(TAB_Qx[[#This Row],[위험률코드]], TAB_INFO_Qx,2,FALSE)</f>
        <v>응급실내원비(응급)</v>
      </c>
      <c r="D23" s="9">
        <v>2</v>
      </c>
      <c r="E23" s="9"/>
      <c r="F23" s="9"/>
      <c r="G23" s="9"/>
      <c r="H23" s="9"/>
      <c r="I23" s="9"/>
      <c r="J23" s="36" t="str" cm="1">
        <f t="array" ref="J23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3" s="9">
        <v>0.74816400000000005</v>
      </c>
      <c r="L23" s="9">
        <v>0.67504799999999998</v>
      </c>
      <c r="M23" s="9">
        <v>0.60017399999999999</v>
      </c>
      <c r="N23" s="9">
        <v>0.52487300000000003</v>
      </c>
      <c r="O23" s="9">
        <v>0.45468799999999998</v>
      </c>
      <c r="P23" s="9">
        <v>0.396011</v>
      </c>
      <c r="Q23" s="9">
        <v>0.35163100000000003</v>
      </c>
      <c r="R23" s="9">
        <v>0.31875999999999999</v>
      </c>
      <c r="S23" s="9">
        <v>0.29100300000000001</v>
      </c>
      <c r="T23" s="9">
        <v>0.26282</v>
      </c>
      <c r="U23" s="9">
        <v>0.232879</v>
      </c>
      <c r="V23" s="9">
        <v>0.202209</v>
      </c>
      <c r="W23" s="9">
        <v>0.17063200000000001</v>
      </c>
      <c r="X23" s="9">
        <v>0.14100099999999999</v>
      </c>
      <c r="Y23" s="9">
        <v>0.118266</v>
      </c>
      <c r="Z23" s="9">
        <v>0.106238</v>
      </c>
      <c r="AA23" s="9">
        <v>0.104916</v>
      </c>
      <c r="AB23" s="9">
        <v>0.11049100000000001</v>
      </c>
      <c r="AC23" s="9">
        <v>0.11801200000000001</v>
      </c>
      <c r="AD23" s="9">
        <v>0.124626</v>
      </c>
      <c r="AE23" s="9">
        <v>0.13051099999999999</v>
      </c>
      <c r="AF23" s="9">
        <v>0.136549</v>
      </c>
      <c r="AG23" s="9">
        <v>0.14277799999999999</v>
      </c>
      <c r="AH23" s="9">
        <v>0.14859800000000001</v>
      </c>
      <c r="AI23" s="9">
        <v>0.15296599999999999</v>
      </c>
      <c r="AJ23" s="9">
        <v>0.15508</v>
      </c>
      <c r="AK23" s="9">
        <v>0.15493899999999999</v>
      </c>
      <c r="AL23" s="9">
        <v>0.15334700000000001</v>
      </c>
      <c r="AM23" s="9">
        <v>0.15134600000000001</v>
      </c>
      <c r="AN23" s="9">
        <v>0.149535</v>
      </c>
      <c r="AO23" s="9">
        <v>0.14787800000000001</v>
      </c>
      <c r="AP23" s="9">
        <v>0.146229</v>
      </c>
      <c r="AQ23" s="9">
        <v>0.14459</v>
      </c>
      <c r="AR23" s="9">
        <v>0.14293</v>
      </c>
      <c r="AS23" s="9">
        <v>0.14119000000000001</v>
      </c>
      <c r="AT23" s="9">
        <v>0.13932600000000001</v>
      </c>
      <c r="AU23" s="9">
        <v>0.13733999999999999</v>
      </c>
      <c r="AV23" s="9">
        <v>0.13527400000000001</v>
      </c>
      <c r="AW23" s="9">
        <v>0.133186</v>
      </c>
      <c r="AX23" s="9">
        <v>0.131108</v>
      </c>
      <c r="AY23" s="9">
        <v>0.12903899999999999</v>
      </c>
      <c r="AZ23" s="9">
        <v>0.126864</v>
      </c>
      <c r="BA23" s="9">
        <v>0.124558</v>
      </c>
      <c r="BB23" s="9">
        <v>0.122533</v>
      </c>
      <c r="BC23" s="9">
        <v>0.121507</v>
      </c>
      <c r="BD23" s="9">
        <v>0.12203</v>
      </c>
      <c r="BE23" s="9">
        <v>0.12410400000000001</v>
      </c>
      <c r="BF23" s="9">
        <v>0.12717500000000001</v>
      </c>
      <c r="BG23" s="9">
        <v>0.13052900000000001</v>
      </c>
      <c r="BH23" s="9">
        <v>0.13375100000000001</v>
      </c>
      <c r="BI23" s="9">
        <v>0.13686699999999999</v>
      </c>
      <c r="BJ23" s="9">
        <v>0.139991</v>
      </c>
      <c r="BK23" s="9">
        <v>0.143123</v>
      </c>
      <c r="BL23" s="9">
        <v>0.146236</v>
      </c>
      <c r="BM23" s="9">
        <v>0.149286</v>
      </c>
      <c r="BN23" s="9">
        <v>0.15223500000000001</v>
      </c>
      <c r="BO23" s="9">
        <v>0.155085</v>
      </c>
      <c r="BP23" s="9">
        <v>0.15787100000000001</v>
      </c>
      <c r="BQ23" s="9">
        <v>0.160638</v>
      </c>
      <c r="BR23" s="9">
        <v>0.163414</v>
      </c>
      <c r="BS23" s="9">
        <v>0.16619700000000001</v>
      </c>
      <c r="BT23" s="9">
        <v>0.168847</v>
      </c>
      <c r="BU23" s="9">
        <v>0.17133100000000001</v>
      </c>
      <c r="BV23" s="9">
        <v>0.17417099999999999</v>
      </c>
      <c r="BW23" s="9">
        <v>0.17826800000000001</v>
      </c>
      <c r="BX23" s="9">
        <v>0.18431800000000001</v>
      </c>
      <c r="BY23" s="9">
        <v>0.19232099999999999</v>
      </c>
      <c r="BZ23" s="9">
        <v>0.20158100000000001</v>
      </c>
      <c r="CA23" s="9">
        <v>0.211197</v>
      </c>
      <c r="CB23" s="9">
        <v>0.22064700000000001</v>
      </c>
      <c r="CC23" s="9">
        <v>0.229964</v>
      </c>
      <c r="CD23" s="9">
        <v>0.239205</v>
      </c>
      <c r="CE23" s="9">
        <v>0.24835199999999999</v>
      </c>
      <c r="CF23" s="9">
        <v>0.25770100000000001</v>
      </c>
      <c r="CG23" s="9">
        <v>0.26777000000000001</v>
      </c>
      <c r="CH23" s="9">
        <v>0.27895700000000001</v>
      </c>
      <c r="CI23" s="9">
        <v>0.29126200000000002</v>
      </c>
      <c r="CJ23" s="9">
        <v>0.30481799999999998</v>
      </c>
      <c r="CK23" s="9">
        <v>0.31870500000000002</v>
      </c>
      <c r="CL23" s="9">
        <v>0.33095200000000002</v>
      </c>
      <c r="CM23" s="9">
        <v>0.339642</v>
      </c>
      <c r="CN23" s="9">
        <v>0.34400799999999998</v>
      </c>
      <c r="CO23" s="9">
        <v>0.34489500000000001</v>
      </c>
      <c r="CP23" s="9">
        <v>0.34423399999999998</v>
      </c>
      <c r="CQ23" s="9">
        <v>0.34370200000000001</v>
      </c>
      <c r="CR23" s="9">
        <v>0.34370200000000001</v>
      </c>
      <c r="CS23" s="9">
        <v>0.34370200000000001</v>
      </c>
      <c r="CT23" s="9">
        <v>0.34370200000000001</v>
      </c>
      <c r="CU23" s="9">
        <v>0.34370200000000001</v>
      </c>
      <c r="CV23" s="9">
        <v>0.34370200000000001</v>
      </c>
      <c r="CW23" s="9">
        <v>0.34370200000000001</v>
      </c>
      <c r="CX23" s="9">
        <v>0.34370200000000001</v>
      </c>
      <c r="CY23" s="9">
        <v>0.34370200000000001</v>
      </c>
      <c r="CZ23" s="9">
        <v>0.34370200000000001</v>
      </c>
      <c r="DA23" s="9">
        <v>0.34370200000000001</v>
      </c>
      <c r="DB23" s="9">
        <v>0.34370200000000001</v>
      </c>
      <c r="DC23" s="9">
        <v>0.34370200000000001</v>
      </c>
      <c r="DD23" s="9">
        <v>0.34370200000000001</v>
      </c>
      <c r="DE23" s="9">
        <v>0.34370200000000001</v>
      </c>
      <c r="DF23" s="9">
        <v>0.34370200000000001</v>
      </c>
      <c r="DG23" s="9">
        <v>0.34370200000000001</v>
      </c>
      <c r="DH23" s="9">
        <v>0.34370200000000001</v>
      </c>
      <c r="DI23" s="9">
        <v>0.34370200000000001</v>
      </c>
      <c r="DJ23" s="9">
        <v>0.34370200000000001</v>
      </c>
      <c r="DK23" s="9">
        <v>0.34370200000000001</v>
      </c>
      <c r="DL23" s="9">
        <v>0.34370200000000001</v>
      </c>
      <c r="DM23" s="9">
        <v>0.34370200000000001</v>
      </c>
      <c r="DN23" s="9">
        <v>0.34370200000000001</v>
      </c>
      <c r="DO23" s="9">
        <v>0.34370200000000001</v>
      </c>
      <c r="DP23" s="9">
        <v>0.34370200000000001</v>
      </c>
      <c r="DQ23" s="9">
        <v>0.34370200000000001</v>
      </c>
      <c r="DR23" s="9"/>
      <c r="DS23" s="9"/>
      <c r="DT23" s="9"/>
      <c r="DU23" s="9"/>
      <c r="DV23" s="9"/>
      <c r="DW23" s="9"/>
      <c r="DX23" s="9"/>
      <c r="DY23" s="9"/>
      <c r="DZ23" s="9"/>
      <c r="EA23" s="9"/>
    </row>
    <row r="24" spans="2:131">
      <c r="B24" s="6" t="s">
        <v>343</v>
      </c>
      <c r="C24" s="6" t="str">
        <f>VLOOKUP(TAB_Qx[[#This Row],[위험률코드]], TAB_INFO_Qx,2,FALSE)</f>
        <v>응급실내원비(비응급)</v>
      </c>
      <c r="D24" s="6">
        <v>1</v>
      </c>
      <c r="E24" s="6"/>
      <c r="F24" s="6"/>
      <c r="G24" s="6"/>
      <c r="H24" s="6"/>
      <c r="I24" s="6"/>
      <c r="J24" s="37" t="str" cm="1">
        <f t="array" ref="J24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4" s="6">
        <v>0.32254500000000003</v>
      </c>
      <c r="L24" s="6">
        <v>0.295433</v>
      </c>
      <c r="M24" s="6">
        <v>0.267785</v>
      </c>
      <c r="N24" s="6">
        <v>0.240007</v>
      </c>
      <c r="O24" s="6">
        <v>0.21378900000000001</v>
      </c>
      <c r="P24" s="6">
        <v>0.19108</v>
      </c>
      <c r="Q24" s="6">
        <v>0.172732</v>
      </c>
      <c r="R24" s="6">
        <v>0.15789400000000001</v>
      </c>
      <c r="S24" s="6">
        <v>0.14461599999999999</v>
      </c>
      <c r="T24" s="6">
        <v>0.13120699999999999</v>
      </c>
      <c r="U24" s="6">
        <v>0.11726300000000001</v>
      </c>
      <c r="V24" s="6">
        <v>0.103037</v>
      </c>
      <c r="W24" s="6">
        <v>8.8461999999999999E-2</v>
      </c>
      <c r="X24" s="6">
        <v>7.4635999999999994E-2</v>
      </c>
      <c r="Y24" s="6">
        <v>6.3469999999999999E-2</v>
      </c>
      <c r="Z24" s="6">
        <v>5.6430000000000001E-2</v>
      </c>
      <c r="AA24" s="6">
        <v>5.3518000000000003E-2</v>
      </c>
      <c r="AB24" s="6">
        <v>5.3265E-2</v>
      </c>
      <c r="AC24" s="6">
        <v>5.3761000000000003E-2</v>
      </c>
      <c r="AD24" s="6">
        <v>5.3907999999999998E-2</v>
      </c>
      <c r="AE24" s="6">
        <v>5.3774000000000002E-2</v>
      </c>
      <c r="AF24" s="6">
        <v>5.3620000000000001E-2</v>
      </c>
      <c r="AG24" s="6">
        <v>5.3442000000000003E-2</v>
      </c>
      <c r="AH24" s="6">
        <v>5.3316000000000002E-2</v>
      </c>
      <c r="AI24" s="6">
        <v>5.3377000000000001E-2</v>
      </c>
      <c r="AJ24" s="6">
        <v>5.3726000000000003E-2</v>
      </c>
      <c r="AK24" s="6">
        <v>5.4364000000000003E-2</v>
      </c>
      <c r="AL24" s="6">
        <v>5.5189000000000002E-2</v>
      </c>
      <c r="AM24" s="6">
        <v>5.6065999999999998E-2</v>
      </c>
      <c r="AN24" s="6">
        <v>5.6918999999999997E-2</v>
      </c>
      <c r="AO24" s="6">
        <v>5.7751999999999998E-2</v>
      </c>
      <c r="AP24" s="6">
        <v>5.8618000000000003E-2</v>
      </c>
      <c r="AQ24" s="6">
        <v>5.9526000000000003E-2</v>
      </c>
      <c r="AR24" s="6">
        <v>6.0345000000000003E-2</v>
      </c>
      <c r="AS24" s="6">
        <v>6.0846999999999998E-2</v>
      </c>
      <c r="AT24" s="6">
        <v>6.0857000000000001E-2</v>
      </c>
      <c r="AU24" s="6">
        <v>6.0375999999999999E-2</v>
      </c>
      <c r="AV24" s="6">
        <v>5.9577999999999999E-2</v>
      </c>
      <c r="AW24" s="6">
        <v>5.8691E-2</v>
      </c>
      <c r="AX24" s="6">
        <v>5.7845000000000001E-2</v>
      </c>
      <c r="AY24" s="6">
        <v>5.7033E-2</v>
      </c>
      <c r="AZ24" s="6">
        <v>5.6195000000000002E-2</v>
      </c>
      <c r="BA24" s="6">
        <v>5.5324999999999999E-2</v>
      </c>
      <c r="BB24" s="6">
        <v>5.4524000000000003E-2</v>
      </c>
      <c r="BC24" s="6">
        <v>5.3966E-2</v>
      </c>
      <c r="BD24" s="6">
        <v>5.3787000000000001E-2</v>
      </c>
      <c r="BE24" s="6">
        <v>5.3985999999999999E-2</v>
      </c>
      <c r="BF24" s="6">
        <v>5.4428999999999998E-2</v>
      </c>
      <c r="BG24" s="6">
        <v>5.4940999999999997E-2</v>
      </c>
      <c r="BH24" s="6">
        <v>5.5419999999999997E-2</v>
      </c>
      <c r="BI24" s="6">
        <v>5.5874E-2</v>
      </c>
      <c r="BJ24" s="6">
        <v>5.6321000000000003E-2</v>
      </c>
      <c r="BK24" s="6">
        <v>5.6758000000000003E-2</v>
      </c>
      <c r="BL24" s="6">
        <v>5.7215000000000002E-2</v>
      </c>
      <c r="BM24" s="6">
        <v>5.7743999999999997E-2</v>
      </c>
      <c r="BN24" s="6">
        <v>5.8383999999999998E-2</v>
      </c>
      <c r="BO24" s="6">
        <v>5.9135E-2</v>
      </c>
      <c r="BP24" s="6">
        <v>5.9958999999999998E-2</v>
      </c>
      <c r="BQ24" s="6">
        <v>6.0803000000000003E-2</v>
      </c>
      <c r="BR24" s="6">
        <v>6.1636999999999997E-2</v>
      </c>
      <c r="BS24" s="6">
        <v>6.2463999999999999E-2</v>
      </c>
      <c r="BT24" s="6">
        <v>6.3275999999999999E-2</v>
      </c>
      <c r="BU24" s="6">
        <v>6.4071000000000003E-2</v>
      </c>
      <c r="BV24" s="6">
        <v>6.4904000000000003E-2</v>
      </c>
      <c r="BW24" s="6">
        <v>6.5868999999999997E-2</v>
      </c>
      <c r="BX24" s="6">
        <v>6.7040000000000002E-2</v>
      </c>
      <c r="BY24" s="6">
        <v>6.8416000000000005E-2</v>
      </c>
      <c r="BZ24" s="6">
        <v>6.9925000000000001E-2</v>
      </c>
      <c r="CA24" s="6">
        <v>7.1471999999999994E-2</v>
      </c>
      <c r="CB24" s="6">
        <v>7.3000999999999996E-2</v>
      </c>
      <c r="CC24" s="6">
        <v>7.4515999999999999E-2</v>
      </c>
      <c r="CD24" s="6">
        <v>7.5894000000000003E-2</v>
      </c>
      <c r="CE24" s="6">
        <v>7.7101000000000003E-2</v>
      </c>
      <c r="CF24" s="6">
        <v>7.8673999999999994E-2</v>
      </c>
      <c r="CG24" s="6">
        <v>8.1543000000000004E-2</v>
      </c>
      <c r="CH24" s="6">
        <v>8.6423E-2</v>
      </c>
      <c r="CI24" s="6">
        <v>9.3313999999999994E-2</v>
      </c>
      <c r="CJ24" s="6">
        <v>0.101837</v>
      </c>
      <c r="CK24" s="6">
        <v>0.110807</v>
      </c>
      <c r="CL24" s="6">
        <v>0.118629</v>
      </c>
      <c r="CM24" s="6">
        <v>0.12411700000000001</v>
      </c>
      <c r="CN24" s="6">
        <v>0.12687399999999999</v>
      </c>
      <c r="CO24" s="6">
        <v>0.12743399999999999</v>
      </c>
      <c r="CP24" s="6">
        <v>0.12701699999999999</v>
      </c>
      <c r="CQ24" s="6">
        <v>0.12668099999999999</v>
      </c>
      <c r="CR24" s="6">
        <v>0.12668099999999999</v>
      </c>
      <c r="CS24" s="6">
        <v>0.12668099999999999</v>
      </c>
      <c r="CT24" s="6">
        <v>0.12668099999999999</v>
      </c>
      <c r="CU24" s="6">
        <v>0.12668099999999999</v>
      </c>
      <c r="CV24" s="6">
        <v>0.12668099999999999</v>
      </c>
      <c r="CW24" s="6">
        <v>0.12668099999999999</v>
      </c>
      <c r="CX24" s="6">
        <v>0.12668099999999999</v>
      </c>
      <c r="CY24" s="6">
        <v>0.12668099999999999</v>
      </c>
      <c r="CZ24" s="6">
        <v>0.12668099999999999</v>
      </c>
      <c r="DA24" s="6">
        <v>0.12668099999999999</v>
      </c>
      <c r="DB24" s="6">
        <v>0.12668099999999999</v>
      </c>
      <c r="DC24" s="6">
        <v>0.12668099999999999</v>
      </c>
      <c r="DD24" s="6">
        <v>0.12668099999999999</v>
      </c>
      <c r="DE24" s="6">
        <v>0.12668099999999999</v>
      </c>
      <c r="DF24" s="6">
        <v>0.12668099999999999</v>
      </c>
      <c r="DG24" s="6">
        <v>0.12668099999999999</v>
      </c>
      <c r="DH24" s="6">
        <v>0.12668099999999999</v>
      </c>
      <c r="DI24" s="6">
        <v>0.12668099999999999</v>
      </c>
      <c r="DJ24" s="6">
        <v>0.12668099999999999</v>
      </c>
      <c r="DK24" s="6">
        <v>0.12668099999999999</v>
      </c>
      <c r="DL24" s="6">
        <v>0.12668099999999999</v>
      </c>
      <c r="DM24" s="6">
        <v>0.12668099999999999</v>
      </c>
      <c r="DN24" s="6">
        <v>0.12668099999999999</v>
      </c>
      <c r="DO24" s="6">
        <v>0.12668099999999999</v>
      </c>
      <c r="DP24" s="6">
        <v>0.12668099999999999</v>
      </c>
      <c r="DQ24" s="6">
        <v>0.12668099999999999</v>
      </c>
      <c r="DR24" s="6"/>
      <c r="DS24" s="6"/>
      <c r="DT24" s="6"/>
      <c r="DU24" s="6"/>
      <c r="DV24" s="6"/>
      <c r="DW24" s="6"/>
      <c r="DX24" s="6"/>
      <c r="DY24" s="6"/>
      <c r="DZ24" s="6"/>
      <c r="EA24" s="6"/>
    </row>
    <row r="25" spans="2:131">
      <c r="B25" s="6" t="s">
        <v>343</v>
      </c>
      <c r="C25" s="6" t="str">
        <f>VLOOKUP(TAB_Qx[[#This Row],[위험률코드]], TAB_INFO_Qx,2,FALSE)</f>
        <v>응급실내원비(비응급)</v>
      </c>
      <c r="D25" s="9">
        <v>2</v>
      </c>
      <c r="E25" s="9"/>
      <c r="F25" s="9"/>
      <c r="G25" s="9"/>
      <c r="H25" s="9"/>
      <c r="I25" s="9"/>
      <c r="J25" s="36" t="str" cm="1">
        <f t="array" ref="J25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5" s="9">
        <v>0.27940700000000002</v>
      </c>
      <c r="L25" s="9">
        <v>0.25315100000000001</v>
      </c>
      <c r="M25" s="9">
        <v>0.226269</v>
      </c>
      <c r="N25" s="9">
        <v>0.199236</v>
      </c>
      <c r="O25" s="9">
        <v>0.17402000000000001</v>
      </c>
      <c r="P25" s="9">
        <v>0.152896</v>
      </c>
      <c r="Q25" s="9">
        <v>0.136852</v>
      </c>
      <c r="R25" s="9">
        <v>0.124899</v>
      </c>
      <c r="S25" s="9">
        <v>0.114763</v>
      </c>
      <c r="T25" s="9">
        <v>0.104476</v>
      </c>
      <c r="U25" s="9">
        <v>9.3563999999999994E-2</v>
      </c>
      <c r="V25" s="9">
        <v>8.2363000000000006E-2</v>
      </c>
      <c r="W25" s="9">
        <v>7.0802000000000004E-2</v>
      </c>
      <c r="X25" s="9">
        <v>6.0012999999999997E-2</v>
      </c>
      <c r="Y25" s="9">
        <v>5.1962000000000001E-2</v>
      </c>
      <c r="Z25" s="9">
        <v>4.8161000000000002E-2</v>
      </c>
      <c r="AA25" s="9">
        <v>4.861E-2</v>
      </c>
      <c r="AB25" s="9">
        <v>5.1797000000000003E-2</v>
      </c>
      <c r="AC25" s="9">
        <v>5.5756E-2</v>
      </c>
      <c r="AD25" s="9">
        <v>5.9354999999999998E-2</v>
      </c>
      <c r="AE25" s="9">
        <v>6.2664999999999998E-2</v>
      </c>
      <c r="AF25" s="9">
        <v>6.6073999999999994E-2</v>
      </c>
      <c r="AG25" s="9">
        <v>6.9607000000000002E-2</v>
      </c>
      <c r="AH25" s="9">
        <v>7.2873999999999994E-2</v>
      </c>
      <c r="AI25" s="9">
        <v>7.5202000000000005E-2</v>
      </c>
      <c r="AJ25" s="9">
        <v>7.6072000000000001E-2</v>
      </c>
      <c r="AK25" s="9">
        <v>7.5482999999999995E-2</v>
      </c>
      <c r="AL25" s="9">
        <v>7.3954000000000006E-2</v>
      </c>
      <c r="AM25" s="9">
        <v>7.2161000000000003E-2</v>
      </c>
      <c r="AN25" s="9">
        <v>7.0490999999999998E-2</v>
      </c>
      <c r="AO25" s="9">
        <v>6.8919999999999995E-2</v>
      </c>
      <c r="AP25" s="9">
        <v>6.7343E-2</v>
      </c>
      <c r="AQ25" s="9">
        <v>6.5758999999999998E-2</v>
      </c>
      <c r="AR25" s="9">
        <v>6.4190999999999998E-2</v>
      </c>
      <c r="AS25" s="9">
        <v>6.2678999999999999E-2</v>
      </c>
      <c r="AT25" s="9">
        <v>6.1255999999999998E-2</v>
      </c>
      <c r="AU25" s="9">
        <v>5.9921000000000002E-2</v>
      </c>
      <c r="AV25" s="9">
        <v>5.8643000000000001E-2</v>
      </c>
      <c r="AW25" s="9">
        <v>5.7381000000000001E-2</v>
      </c>
      <c r="AX25" s="9">
        <v>5.6111000000000001E-2</v>
      </c>
      <c r="AY25" s="9">
        <v>5.4835000000000002E-2</v>
      </c>
      <c r="AZ25" s="9">
        <v>5.3519999999999998E-2</v>
      </c>
      <c r="BA25" s="9">
        <v>5.2155E-2</v>
      </c>
      <c r="BB25" s="9">
        <v>5.0895999999999997E-2</v>
      </c>
      <c r="BC25" s="9">
        <v>5.0014000000000003E-2</v>
      </c>
      <c r="BD25" s="9">
        <v>4.9718999999999999E-2</v>
      </c>
      <c r="BE25" s="9">
        <v>5.0007999999999997E-2</v>
      </c>
      <c r="BF25" s="9">
        <v>5.0674999999999998E-2</v>
      </c>
      <c r="BG25" s="9">
        <v>5.1449000000000002E-2</v>
      </c>
      <c r="BH25" s="9">
        <v>5.2172000000000003E-2</v>
      </c>
      <c r="BI25" s="9">
        <v>5.2856E-2</v>
      </c>
      <c r="BJ25" s="9">
        <v>5.3561999999999999E-2</v>
      </c>
      <c r="BK25" s="9">
        <v>5.4295000000000003E-2</v>
      </c>
      <c r="BL25" s="9">
        <v>5.4968999999999997E-2</v>
      </c>
      <c r="BM25" s="9">
        <v>5.5438000000000001E-2</v>
      </c>
      <c r="BN25" s="9">
        <v>5.5586999999999998E-2</v>
      </c>
      <c r="BO25" s="9">
        <v>5.5414999999999999E-2</v>
      </c>
      <c r="BP25" s="9">
        <v>5.5037999999999997E-2</v>
      </c>
      <c r="BQ25" s="9">
        <v>5.4602999999999999E-2</v>
      </c>
      <c r="BR25" s="9">
        <v>5.4193999999999999E-2</v>
      </c>
      <c r="BS25" s="9">
        <v>5.3808000000000002E-2</v>
      </c>
      <c r="BT25" s="9">
        <v>5.3386999999999997E-2</v>
      </c>
      <c r="BU25" s="9">
        <v>5.2925E-2</v>
      </c>
      <c r="BV25" s="9">
        <v>5.2552000000000001E-2</v>
      </c>
      <c r="BW25" s="9">
        <v>5.2500999999999999E-2</v>
      </c>
      <c r="BX25" s="9">
        <v>5.2947000000000001E-2</v>
      </c>
      <c r="BY25" s="9">
        <v>5.3891000000000001E-2</v>
      </c>
      <c r="BZ25" s="9">
        <v>5.5155999999999997E-2</v>
      </c>
      <c r="CA25" s="9">
        <v>5.6510999999999999E-2</v>
      </c>
      <c r="CB25" s="9">
        <v>5.7824E-2</v>
      </c>
      <c r="CC25" s="9">
        <v>5.9103000000000003E-2</v>
      </c>
      <c r="CD25" s="9">
        <v>6.0338999999999997E-2</v>
      </c>
      <c r="CE25" s="9">
        <v>6.1523000000000001E-2</v>
      </c>
      <c r="CF25" s="9">
        <v>6.2820000000000001E-2</v>
      </c>
      <c r="CG25" s="9">
        <v>6.4519999999999994E-2</v>
      </c>
      <c r="CH25" s="9">
        <v>6.6847000000000004E-2</v>
      </c>
      <c r="CI25" s="9">
        <v>6.9799E-2</v>
      </c>
      <c r="CJ25" s="9">
        <v>7.3291999999999996E-2</v>
      </c>
      <c r="CK25" s="9">
        <v>7.6932E-2</v>
      </c>
      <c r="CL25" s="9">
        <v>8.0118999999999996E-2</v>
      </c>
      <c r="CM25" s="9">
        <v>8.2364000000000007E-2</v>
      </c>
      <c r="CN25" s="9">
        <v>8.3492999999999998E-2</v>
      </c>
      <c r="CO25" s="9">
        <v>8.3722000000000005E-2</v>
      </c>
      <c r="CP25" s="9">
        <v>8.3551E-2</v>
      </c>
      <c r="CQ25" s="9">
        <v>8.3414000000000002E-2</v>
      </c>
      <c r="CR25" s="9">
        <v>8.3414000000000002E-2</v>
      </c>
      <c r="CS25" s="9">
        <v>8.3414000000000002E-2</v>
      </c>
      <c r="CT25" s="9">
        <v>8.3414000000000002E-2</v>
      </c>
      <c r="CU25" s="9">
        <v>8.3414000000000002E-2</v>
      </c>
      <c r="CV25" s="9">
        <v>8.3414000000000002E-2</v>
      </c>
      <c r="CW25" s="9">
        <v>8.3414000000000002E-2</v>
      </c>
      <c r="CX25" s="9">
        <v>8.3414000000000002E-2</v>
      </c>
      <c r="CY25" s="9">
        <v>8.3414000000000002E-2</v>
      </c>
      <c r="CZ25" s="9">
        <v>8.3414000000000002E-2</v>
      </c>
      <c r="DA25" s="9">
        <v>8.3414000000000002E-2</v>
      </c>
      <c r="DB25" s="9">
        <v>8.3414000000000002E-2</v>
      </c>
      <c r="DC25" s="9">
        <v>8.3414000000000002E-2</v>
      </c>
      <c r="DD25" s="9">
        <v>8.3414000000000002E-2</v>
      </c>
      <c r="DE25" s="9">
        <v>8.3414000000000002E-2</v>
      </c>
      <c r="DF25" s="9">
        <v>8.3414000000000002E-2</v>
      </c>
      <c r="DG25" s="9">
        <v>8.3414000000000002E-2</v>
      </c>
      <c r="DH25" s="9">
        <v>8.3414000000000002E-2</v>
      </c>
      <c r="DI25" s="9">
        <v>8.3414000000000002E-2</v>
      </c>
      <c r="DJ25" s="9">
        <v>8.3414000000000002E-2</v>
      </c>
      <c r="DK25" s="9">
        <v>8.3414000000000002E-2</v>
      </c>
      <c r="DL25" s="9">
        <v>8.3414000000000002E-2</v>
      </c>
      <c r="DM25" s="9">
        <v>8.3414000000000002E-2</v>
      </c>
      <c r="DN25" s="9">
        <v>8.3414000000000002E-2</v>
      </c>
      <c r="DO25" s="9">
        <v>8.3414000000000002E-2</v>
      </c>
      <c r="DP25" s="9">
        <v>8.3414000000000002E-2</v>
      </c>
      <c r="DQ25" s="9">
        <v>8.3414000000000002E-2</v>
      </c>
      <c r="DR25" s="9"/>
      <c r="DS25" s="9"/>
      <c r="DT25" s="9"/>
      <c r="DU25" s="9"/>
      <c r="DV25" s="9"/>
      <c r="DW25" s="9"/>
      <c r="DX25" s="9"/>
      <c r="DY25" s="9"/>
      <c r="DZ25" s="9"/>
      <c r="EA25" s="9"/>
    </row>
    <row r="26" spans="2:131">
      <c r="B26" s="6" t="s">
        <v>280</v>
      </c>
      <c r="C26" s="6" t="str">
        <f>VLOOKUP(TAB_Qx[[#This Row],[위험률코드]], TAB_INFO_Qx,2,FALSE)</f>
        <v>급성심근경색증진단비</v>
      </c>
      <c r="D26" s="6">
        <v>1</v>
      </c>
      <c r="E26" s="6"/>
      <c r="F26" s="6"/>
      <c r="G26" s="6"/>
      <c r="H26" s="6"/>
      <c r="I26" s="6"/>
      <c r="J26" s="37" t="str" cm="1">
        <f t="array" ref="J26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6" s="6">
        <v>1.2999999999999999E-5</v>
      </c>
      <c r="L26" s="6">
        <v>1.8E-5</v>
      </c>
      <c r="M26" s="6">
        <v>2.1999999999999999E-5</v>
      </c>
      <c r="N26" s="6">
        <v>2.5000000000000001E-5</v>
      </c>
      <c r="O26" s="6">
        <v>2.5000000000000001E-5</v>
      </c>
      <c r="P26" s="6">
        <v>2.5000000000000001E-5</v>
      </c>
      <c r="Q26" s="6">
        <v>2.5000000000000001E-5</v>
      </c>
      <c r="R26" s="6">
        <v>2.5999999999999998E-5</v>
      </c>
      <c r="S26" s="6">
        <v>2.8E-5</v>
      </c>
      <c r="T26" s="6">
        <v>3.1999999999999999E-5</v>
      </c>
      <c r="U26" s="6">
        <v>3.6999999999999998E-5</v>
      </c>
      <c r="V26" s="6">
        <v>4.5000000000000003E-5</v>
      </c>
      <c r="W26" s="6">
        <v>5.5000000000000002E-5</v>
      </c>
      <c r="X26" s="6">
        <v>6.4999999999999994E-5</v>
      </c>
      <c r="Y26" s="6">
        <v>7.7000000000000001E-5</v>
      </c>
      <c r="Z26" s="6">
        <v>8.7999999999999998E-5</v>
      </c>
      <c r="AA26" s="6">
        <v>9.8999999999999994E-5</v>
      </c>
      <c r="AB26" s="6">
        <v>1.07E-4</v>
      </c>
      <c r="AC26" s="6">
        <v>1.11E-4</v>
      </c>
      <c r="AD26" s="6">
        <v>1.1E-4</v>
      </c>
      <c r="AE26" s="6">
        <v>1.05E-4</v>
      </c>
      <c r="AF26" s="6">
        <v>1.02E-4</v>
      </c>
      <c r="AG26" s="6">
        <v>1.02E-4</v>
      </c>
      <c r="AH26" s="6">
        <v>1.06E-4</v>
      </c>
      <c r="AI26" s="6">
        <v>1.11E-4</v>
      </c>
      <c r="AJ26" s="6">
        <v>1.15E-4</v>
      </c>
      <c r="AK26" s="6">
        <v>1.2E-4</v>
      </c>
      <c r="AL26" s="6">
        <v>1.2400000000000001E-4</v>
      </c>
      <c r="AM26" s="6">
        <v>1.3100000000000001E-4</v>
      </c>
      <c r="AN26" s="6">
        <v>1.3899999999999999E-4</v>
      </c>
      <c r="AO26" s="6">
        <v>1.47E-4</v>
      </c>
      <c r="AP26" s="6">
        <v>1.5699999999999999E-4</v>
      </c>
      <c r="AQ26" s="6">
        <v>1.66E-4</v>
      </c>
      <c r="AR26" s="6">
        <v>1.74E-4</v>
      </c>
      <c r="AS26" s="6">
        <v>1.8000000000000001E-4</v>
      </c>
      <c r="AT26" s="6">
        <v>1.85E-4</v>
      </c>
      <c r="AU26" s="6">
        <v>1.8900000000000001E-4</v>
      </c>
      <c r="AV26" s="6">
        <v>2.05E-4</v>
      </c>
      <c r="AW26" s="6">
        <v>2.5000000000000001E-4</v>
      </c>
      <c r="AX26" s="6">
        <v>3.2899999999999997E-4</v>
      </c>
      <c r="AY26" s="6">
        <v>4.28E-4</v>
      </c>
      <c r="AZ26" s="6">
        <v>5.22E-4</v>
      </c>
      <c r="BA26" s="6">
        <v>5.9000000000000003E-4</v>
      </c>
      <c r="BB26" s="6">
        <v>6.3100000000000005E-4</v>
      </c>
      <c r="BC26" s="6">
        <v>6.5700000000000003E-4</v>
      </c>
      <c r="BD26" s="6">
        <v>6.8300000000000001E-4</v>
      </c>
      <c r="BE26" s="6">
        <v>7.0799999999999997E-4</v>
      </c>
      <c r="BF26" s="6">
        <v>7.4200000000000004E-4</v>
      </c>
      <c r="BG26" s="6">
        <v>7.9100000000000004E-4</v>
      </c>
      <c r="BH26" s="6">
        <v>8.5899999999999995E-4</v>
      </c>
      <c r="BI26" s="6">
        <v>9.3800000000000003E-4</v>
      </c>
      <c r="BJ26" s="6">
        <v>1.018E-3</v>
      </c>
      <c r="BK26" s="6">
        <v>1.09E-3</v>
      </c>
      <c r="BL26" s="6">
        <v>1.157E-3</v>
      </c>
      <c r="BM26" s="6">
        <v>1.2279999999999999E-3</v>
      </c>
      <c r="BN26" s="6">
        <v>1.312E-3</v>
      </c>
      <c r="BO26" s="6">
        <v>1.4090000000000001E-3</v>
      </c>
      <c r="BP26" s="6">
        <v>1.516E-3</v>
      </c>
      <c r="BQ26" s="6">
        <v>1.6280000000000001E-3</v>
      </c>
      <c r="BR26" s="6">
        <v>1.7359999999999999E-3</v>
      </c>
      <c r="BS26" s="6">
        <v>1.836E-3</v>
      </c>
      <c r="BT26" s="6">
        <v>1.9269999999999999E-3</v>
      </c>
      <c r="BU26" s="6">
        <v>2.013E-3</v>
      </c>
      <c r="BV26" s="6">
        <v>2.0969999999999999E-3</v>
      </c>
      <c r="BW26" s="6">
        <v>2.1810000000000002E-3</v>
      </c>
      <c r="BX26" s="6">
        <v>2.264E-3</v>
      </c>
      <c r="BY26" s="6">
        <v>2.346E-3</v>
      </c>
      <c r="BZ26" s="6">
        <v>2.4250000000000001E-3</v>
      </c>
      <c r="CA26" s="6">
        <v>2.5019999999999999E-3</v>
      </c>
      <c r="CB26" s="6">
        <v>2.5769999999999999E-3</v>
      </c>
      <c r="CC26" s="6">
        <v>2.6519999999999998E-3</v>
      </c>
      <c r="CD26" s="6">
        <v>2.7309999999999999E-3</v>
      </c>
      <c r="CE26" s="6">
        <v>2.82E-3</v>
      </c>
      <c r="CF26" s="6">
        <v>2.9239999999999999E-3</v>
      </c>
      <c r="CG26" s="6">
        <v>3.0400000000000002E-3</v>
      </c>
      <c r="CH26" s="6">
        <v>3.153E-3</v>
      </c>
      <c r="CI26" s="6">
        <v>3.2399999999999998E-3</v>
      </c>
      <c r="CJ26" s="6">
        <v>3.2799999999999999E-3</v>
      </c>
      <c r="CK26" s="6">
        <v>3.2680000000000001E-3</v>
      </c>
      <c r="CL26" s="6">
        <v>3.2209999999999999E-3</v>
      </c>
      <c r="CM26" s="6">
        <v>3.1679999999999998E-3</v>
      </c>
      <c r="CN26" s="6">
        <v>3.13E-3</v>
      </c>
      <c r="CO26" s="6">
        <v>3.1150000000000001E-3</v>
      </c>
      <c r="CP26" s="6">
        <v>3.114E-3</v>
      </c>
      <c r="CQ26" s="6">
        <v>3.1189999999999998E-3</v>
      </c>
      <c r="CR26" s="6">
        <v>3.1220000000000002E-3</v>
      </c>
      <c r="CS26" s="6">
        <v>3.1220000000000002E-3</v>
      </c>
      <c r="CT26" s="6">
        <v>3.1220000000000002E-3</v>
      </c>
      <c r="CU26" s="6">
        <v>3.1220000000000002E-3</v>
      </c>
      <c r="CV26" s="6">
        <v>3.1220000000000002E-3</v>
      </c>
      <c r="CW26" s="6">
        <v>3.1220000000000002E-3</v>
      </c>
      <c r="CX26" s="6">
        <v>3.1220000000000002E-3</v>
      </c>
      <c r="CY26" s="6">
        <v>3.1220000000000002E-3</v>
      </c>
      <c r="CZ26" s="6">
        <v>3.1220000000000002E-3</v>
      </c>
      <c r="DA26" s="6">
        <v>3.1220000000000002E-3</v>
      </c>
      <c r="DB26" s="6">
        <v>3.1220000000000002E-3</v>
      </c>
      <c r="DC26" s="6">
        <v>3.1220000000000002E-3</v>
      </c>
      <c r="DD26" s="6">
        <v>3.1220000000000002E-3</v>
      </c>
      <c r="DE26" s="6">
        <v>3.1220000000000002E-3</v>
      </c>
      <c r="DF26" s="6">
        <v>3.1220000000000002E-3</v>
      </c>
      <c r="DG26" s="6">
        <v>3.1220000000000002E-3</v>
      </c>
      <c r="DH26" s="6">
        <v>3.1220000000000002E-3</v>
      </c>
      <c r="DI26" s="6">
        <v>3.1220000000000002E-3</v>
      </c>
      <c r="DJ26" s="6">
        <v>3.1220000000000002E-3</v>
      </c>
      <c r="DK26" s="6">
        <v>3.1220000000000002E-3</v>
      </c>
      <c r="DL26" s="6">
        <v>3.1220000000000002E-3</v>
      </c>
      <c r="DM26" s="6">
        <v>3.1220000000000002E-3</v>
      </c>
      <c r="DN26" s="6">
        <v>3.1220000000000002E-3</v>
      </c>
      <c r="DO26" s="6">
        <v>3.1220000000000002E-3</v>
      </c>
      <c r="DP26" s="6">
        <v>3.1220000000000002E-3</v>
      </c>
      <c r="DQ26" s="6">
        <v>3.1220000000000002E-3</v>
      </c>
      <c r="DR26" s="6"/>
      <c r="DS26" s="6"/>
      <c r="DT26" s="6"/>
      <c r="DU26" s="6"/>
      <c r="DV26" s="6"/>
      <c r="DW26" s="6"/>
      <c r="DX26" s="6"/>
      <c r="DY26" s="6"/>
      <c r="DZ26" s="6"/>
      <c r="EA26" s="6"/>
    </row>
    <row r="27" spans="2:131">
      <c r="B27" s="6" t="s">
        <v>280</v>
      </c>
      <c r="C27" s="6" t="str">
        <f>VLOOKUP(TAB_Qx[[#This Row],[위험률코드]], TAB_INFO_Qx,2,FALSE)</f>
        <v>급성심근경색증진단비</v>
      </c>
      <c r="D27" s="9">
        <v>2</v>
      </c>
      <c r="E27" s="9"/>
      <c r="F27" s="9"/>
      <c r="G27" s="9"/>
      <c r="H27" s="9"/>
      <c r="I27" s="9"/>
      <c r="J27" s="36" t="str" cm="1">
        <f t="array" ref="J27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7" s="9">
        <v>3.0000000000000001E-6</v>
      </c>
      <c r="L27" s="9">
        <v>3.9999999999999998E-6</v>
      </c>
      <c r="M27" s="9">
        <v>5.0000000000000004E-6</v>
      </c>
      <c r="N27" s="9">
        <v>6.0000000000000002E-6</v>
      </c>
      <c r="O27" s="9">
        <v>6.0000000000000002E-6</v>
      </c>
      <c r="P27" s="9">
        <v>6.0000000000000002E-6</v>
      </c>
      <c r="Q27" s="9">
        <v>6.0000000000000002E-6</v>
      </c>
      <c r="R27" s="9">
        <v>6.0000000000000002E-6</v>
      </c>
      <c r="S27" s="9">
        <v>6.9999999999999999E-6</v>
      </c>
      <c r="T27" s="9">
        <v>7.9999999999999996E-6</v>
      </c>
      <c r="U27" s="9">
        <v>9.0000000000000002E-6</v>
      </c>
      <c r="V27" s="9">
        <v>1.1E-5</v>
      </c>
      <c r="W27" s="9">
        <v>1.2E-5</v>
      </c>
      <c r="X27" s="9">
        <v>1.2999999999999999E-5</v>
      </c>
      <c r="Y27" s="9">
        <v>1.4E-5</v>
      </c>
      <c r="Z27" s="9">
        <v>1.4E-5</v>
      </c>
      <c r="AA27" s="9">
        <v>1.4E-5</v>
      </c>
      <c r="AB27" s="9">
        <v>1.5E-5</v>
      </c>
      <c r="AC27" s="9">
        <v>1.5999999999999999E-5</v>
      </c>
      <c r="AD27" s="9">
        <v>1.8E-5</v>
      </c>
      <c r="AE27" s="9">
        <v>1.9000000000000001E-5</v>
      </c>
      <c r="AF27" s="9">
        <v>2.0000000000000002E-5</v>
      </c>
      <c r="AG27" s="9">
        <v>2.1999999999999999E-5</v>
      </c>
      <c r="AH27" s="9">
        <v>2.4000000000000001E-5</v>
      </c>
      <c r="AI27" s="9">
        <v>2.5999999999999998E-5</v>
      </c>
      <c r="AJ27" s="9">
        <v>2.8E-5</v>
      </c>
      <c r="AK27" s="9">
        <v>3.0000000000000001E-5</v>
      </c>
      <c r="AL27" s="9">
        <v>3.1999999999999999E-5</v>
      </c>
      <c r="AM27" s="9">
        <v>3.4E-5</v>
      </c>
      <c r="AN27" s="9">
        <v>3.6000000000000001E-5</v>
      </c>
      <c r="AO27" s="9">
        <v>3.8000000000000002E-5</v>
      </c>
      <c r="AP27" s="9">
        <v>4.1E-5</v>
      </c>
      <c r="AQ27" s="9">
        <v>4.3999999999999999E-5</v>
      </c>
      <c r="AR27" s="9">
        <v>4.8000000000000001E-5</v>
      </c>
      <c r="AS27" s="9">
        <v>5.1999999999999997E-5</v>
      </c>
      <c r="AT27" s="9">
        <v>5.5999999999999999E-5</v>
      </c>
      <c r="AU27" s="9">
        <v>6.0999999999999999E-5</v>
      </c>
      <c r="AV27" s="9">
        <v>6.6000000000000005E-5</v>
      </c>
      <c r="AW27" s="9">
        <v>7.1000000000000005E-5</v>
      </c>
      <c r="AX27" s="9">
        <v>7.7000000000000001E-5</v>
      </c>
      <c r="AY27" s="9">
        <v>8.2999999999999998E-5</v>
      </c>
      <c r="AZ27" s="9">
        <v>9.0000000000000006E-5</v>
      </c>
      <c r="BA27" s="9">
        <v>9.6000000000000002E-5</v>
      </c>
      <c r="BB27" s="9">
        <v>1.01E-4</v>
      </c>
      <c r="BC27" s="9">
        <v>1.05E-4</v>
      </c>
      <c r="BD27" s="9">
        <v>1.1E-4</v>
      </c>
      <c r="BE27" s="9">
        <v>1.16E-4</v>
      </c>
      <c r="BF27" s="9">
        <v>1.22E-4</v>
      </c>
      <c r="BG27" s="9">
        <v>1.3100000000000001E-4</v>
      </c>
      <c r="BH27" s="9">
        <v>1.3999999999999999E-4</v>
      </c>
      <c r="BI27" s="9">
        <v>1.5100000000000001E-4</v>
      </c>
      <c r="BJ27" s="9">
        <v>1.63E-4</v>
      </c>
      <c r="BK27" s="9">
        <v>1.75E-4</v>
      </c>
      <c r="BL27" s="9">
        <v>1.8799999999999999E-4</v>
      </c>
      <c r="BM27" s="9">
        <v>2.03E-4</v>
      </c>
      <c r="BN27" s="9">
        <v>2.1900000000000001E-4</v>
      </c>
      <c r="BO27" s="9">
        <v>2.3599999999999999E-4</v>
      </c>
      <c r="BP27" s="9">
        <v>2.52E-4</v>
      </c>
      <c r="BQ27" s="9">
        <v>2.6899999999999998E-4</v>
      </c>
      <c r="BR27" s="9">
        <v>2.8899999999999998E-4</v>
      </c>
      <c r="BS27" s="9">
        <v>3.1599999999999998E-4</v>
      </c>
      <c r="BT27" s="9">
        <v>3.5300000000000002E-4</v>
      </c>
      <c r="BU27" s="9">
        <v>3.9899999999999999E-4</v>
      </c>
      <c r="BV27" s="9">
        <v>4.5300000000000001E-4</v>
      </c>
      <c r="BW27" s="9">
        <v>5.1099999999999995E-4</v>
      </c>
      <c r="BX27" s="9">
        <v>5.7499999999999999E-4</v>
      </c>
      <c r="BY27" s="9">
        <v>6.4400000000000004E-4</v>
      </c>
      <c r="BZ27" s="9">
        <v>7.1699999999999997E-4</v>
      </c>
      <c r="CA27" s="9">
        <v>7.9600000000000005E-4</v>
      </c>
      <c r="CB27" s="9">
        <v>8.7900000000000001E-4</v>
      </c>
      <c r="CC27" s="9">
        <v>9.6699999999999998E-4</v>
      </c>
      <c r="CD27" s="9">
        <v>1.0629999999999999E-3</v>
      </c>
      <c r="CE27" s="9">
        <v>1.1709999999999999E-3</v>
      </c>
      <c r="CF27" s="9">
        <v>1.2960000000000001E-3</v>
      </c>
      <c r="CG27" s="9">
        <v>1.436E-3</v>
      </c>
      <c r="CH27" s="9">
        <v>1.5759999999999999E-3</v>
      </c>
      <c r="CI27" s="9">
        <v>1.6949999999999999E-3</v>
      </c>
      <c r="CJ27" s="9">
        <v>1.7730000000000001E-3</v>
      </c>
      <c r="CK27" s="9">
        <v>1.805E-3</v>
      </c>
      <c r="CL27" s="9">
        <v>1.8010000000000001E-3</v>
      </c>
      <c r="CM27" s="9">
        <v>1.781E-3</v>
      </c>
      <c r="CN27" s="9">
        <v>1.7639999999999999E-3</v>
      </c>
      <c r="CO27" s="9">
        <v>1.755E-3</v>
      </c>
      <c r="CP27" s="9">
        <v>1.755E-3</v>
      </c>
      <c r="CQ27" s="9">
        <v>1.756E-3</v>
      </c>
      <c r="CR27" s="9">
        <v>1.758E-3</v>
      </c>
      <c r="CS27" s="9">
        <v>1.758E-3</v>
      </c>
      <c r="CT27" s="9">
        <v>1.758E-3</v>
      </c>
      <c r="CU27" s="9">
        <v>1.758E-3</v>
      </c>
      <c r="CV27" s="9">
        <v>1.758E-3</v>
      </c>
      <c r="CW27" s="9">
        <v>1.758E-3</v>
      </c>
      <c r="CX27" s="9">
        <v>1.758E-3</v>
      </c>
      <c r="CY27" s="9">
        <v>1.758E-3</v>
      </c>
      <c r="CZ27" s="9">
        <v>1.758E-3</v>
      </c>
      <c r="DA27" s="9">
        <v>1.758E-3</v>
      </c>
      <c r="DB27" s="9">
        <v>1.758E-3</v>
      </c>
      <c r="DC27" s="9">
        <v>1.758E-3</v>
      </c>
      <c r="DD27" s="9">
        <v>1.758E-3</v>
      </c>
      <c r="DE27" s="9">
        <v>1.758E-3</v>
      </c>
      <c r="DF27" s="9">
        <v>1.758E-3</v>
      </c>
      <c r="DG27" s="9">
        <v>1.758E-3</v>
      </c>
      <c r="DH27" s="9">
        <v>1.758E-3</v>
      </c>
      <c r="DI27" s="9">
        <v>1.758E-3</v>
      </c>
      <c r="DJ27" s="9">
        <v>1.758E-3</v>
      </c>
      <c r="DK27" s="9">
        <v>1.758E-3</v>
      </c>
      <c r="DL27" s="9">
        <v>1.758E-3</v>
      </c>
      <c r="DM27" s="9">
        <v>1.758E-3</v>
      </c>
      <c r="DN27" s="9">
        <v>1.758E-3</v>
      </c>
      <c r="DO27" s="9">
        <v>1.758E-3</v>
      </c>
      <c r="DP27" s="9">
        <v>1.758E-3</v>
      </c>
      <c r="DQ27" s="9">
        <v>1.758E-3</v>
      </c>
      <c r="DR27" s="9"/>
      <c r="DS27" s="9"/>
      <c r="DT27" s="9"/>
      <c r="DU27" s="9"/>
      <c r="DV27" s="9"/>
      <c r="DW27" s="9"/>
      <c r="DX27" s="9"/>
      <c r="DY27" s="9"/>
      <c r="DZ27" s="9"/>
      <c r="EA27" s="9"/>
    </row>
    <row r="28" spans="2:131">
      <c r="B28" s="6" t="s">
        <v>436</v>
      </c>
      <c r="C28" s="35" t="str">
        <f>VLOOKUP(TAB_Qx[[#This Row],[위험률코드]], TAB_INFO_Qx,2,FALSE)</f>
        <v>정기보험</v>
      </c>
      <c r="D28" s="6">
        <v>1</v>
      </c>
      <c r="E28" s="6"/>
      <c r="F28" s="6"/>
      <c r="G28" s="6"/>
      <c r="H28" s="6"/>
      <c r="I28" s="6"/>
      <c r="J28" s="37" t="str" cm="1">
        <f t="array" ref="J28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8" s="6">
        <v>3.2080000000000003E-3</v>
      </c>
      <c r="L28" s="6">
        <v>3.9499999999999995E-4</v>
      </c>
      <c r="M28" s="6">
        <v>3.0400000000000002E-4</v>
      </c>
      <c r="N28" s="6">
        <v>2.2000000000000001E-4</v>
      </c>
      <c r="O28" s="6">
        <v>1.92E-4</v>
      </c>
      <c r="P28" s="6">
        <v>1.73E-4</v>
      </c>
      <c r="Q28" s="6">
        <v>1.5699999999999999E-4</v>
      </c>
      <c r="R28" s="6">
        <v>1.44E-4</v>
      </c>
      <c r="S28" s="6">
        <v>1.2899999999999999E-4</v>
      </c>
      <c r="T28" s="6">
        <v>1.26E-4</v>
      </c>
      <c r="U28" s="6">
        <v>1.2399999999999998E-4</v>
      </c>
      <c r="V28" s="6">
        <v>1.2799999999999999E-4</v>
      </c>
      <c r="W28" s="6">
        <v>1.5000000000000001E-4</v>
      </c>
      <c r="X28" s="6">
        <v>1.95E-4</v>
      </c>
      <c r="Y28" s="6">
        <v>2.6000000000000003E-4</v>
      </c>
      <c r="Z28" s="6">
        <v>3.4000000000000002E-4</v>
      </c>
      <c r="AA28" s="6">
        <v>3.6900000000000002E-4</v>
      </c>
      <c r="AB28" s="6">
        <v>3.9599999999999998E-4</v>
      </c>
      <c r="AC28" s="6">
        <v>4.1399999999999998E-4</v>
      </c>
      <c r="AD28" s="6">
        <v>4.2000000000000002E-4</v>
      </c>
      <c r="AE28" s="6">
        <v>4.1800000000000002E-4</v>
      </c>
      <c r="AF28" s="6">
        <v>4.15E-4</v>
      </c>
      <c r="AG28" s="6">
        <v>4.1700000000000005E-4</v>
      </c>
      <c r="AH28" s="6">
        <v>4.2299999999999998E-4</v>
      </c>
      <c r="AI28" s="6">
        <v>4.2699999999999997E-4</v>
      </c>
      <c r="AJ28" s="6">
        <v>4.28E-4</v>
      </c>
      <c r="AK28" s="6">
        <v>4.2899999999999997E-4</v>
      </c>
      <c r="AL28" s="6">
        <v>4.3100000000000001E-4</v>
      </c>
      <c r="AM28" s="6">
        <v>4.3300000000000001E-4</v>
      </c>
      <c r="AN28" s="6">
        <v>4.4099999999999999E-4</v>
      </c>
      <c r="AO28" s="6">
        <v>4.5299999999999995E-4</v>
      </c>
      <c r="AP28" s="6">
        <v>4.6900000000000002E-4</v>
      </c>
      <c r="AQ28" s="6">
        <v>4.8799999999999999E-4</v>
      </c>
      <c r="AR28" s="6">
        <v>5.13E-4</v>
      </c>
      <c r="AS28" s="6">
        <v>5.44E-4</v>
      </c>
      <c r="AT28" s="6">
        <v>5.8E-4</v>
      </c>
      <c r="AU28" s="6">
        <v>6.2199999999999994E-4</v>
      </c>
      <c r="AV28" s="6">
        <v>6.7200000000000007E-4</v>
      </c>
      <c r="AW28" s="6">
        <v>7.3299999999999993E-4</v>
      </c>
      <c r="AX28" s="6">
        <v>8.0699999999999999E-4</v>
      </c>
      <c r="AY28" s="6">
        <v>8.9499999999999996E-4</v>
      </c>
      <c r="AZ28" s="6">
        <v>9.9799999999999997E-4</v>
      </c>
      <c r="BA28" s="6">
        <v>1.116E-3</v>
      </c>
      <c r="BB28" s="6">
        <v>1.24E-3</v>
      </c>
      <c r="BC28" s="6">
        <v>1.369E-3</v>
      </c>
      <c r="BD28" s="6">
        <v>1.4989999999999999E-3</v>
      </c>
      <c r="BE28" s="6">
        <v>1.6280000000000001E-3</v>
      </c>
      <c r="BF28" s="6">
        <v>1.7649999999999999E-3</v>
      </c>
      <c r="BG28" s="6">
        <v>1.9239999999999999E-3</v>
      </c>
      <c r="BH28" s="6">
        <v>2.101E-3</v>
      </c>
      <c r="BI28" s="6">
        <v>2.2829999999999999E-3</v>
      </c>
      <c r="BJ28" s="6">
        <v>2.457E-3</v>
      </c>
      <c r="BK28" s="6">
        <v>2.6180000000000001E-3</v>
      </c>
      <c r="BL28" s="6">
        <v>2.7720000000000002E-3</v>
      </c>
      <c r="BM28" s="6">
        <v>2.9369999999999999E-3</v>
      </c>
      <c r="BN28" s="6">
        <v>3.1310000000000001E-3</v>
      </c>
      <c r="BO28" s="6">
        <v>3.3600000000000001E-3</v>
      </c>
      <c r="BP28" s="6">
        <v>3.6229999999999999E-3</v>
      </c>
      <c r="BQ28" s="6">
        <v>3.9049999999999996E-3</v>
      </c>
      <c r="BR28" s="6">
        <v>4.1919999999999995E-3</v>
      </c>
      <c r="BS28" s="6">
        <v>4.4930000000000005E-3</v>
      </c>
      <c r="BT28" s="6">
        <v>4.8390000000000004E-3</v>
      </c>
      <c r="BU28" s="6">
        <v>5.2659999999999998E-3</v>
      </c>
      <c r="BV28" s="6">
        <v>5.7920000000000003E-3</v>
      </c>
      <c r="BW28" s="6">
        <v>6.3769999999999999E-3</v>
      </c>
      <c r="BX28" s="6">
        <v>6.9829999999999996E-3</v>
      </c>
      <c r="BY28" s="6">
        <v>7.639E-3</v>
      </c>
      <c r="BZ28" s="6">
        <v>8.4550000000000007E-3</v>
      </c>
      <c r="CA28" s="6">
        <v>9.5659999999999999E-3</v>
      </c>
      <c r="CB28" s="6">
        <v>1.1021000000000001E-2</v>
      </c>
      <c r="CC28" s="6">
        <v>1.2717000000000001E-2</v>
      </c>
      <c r="CD28" s="6">
        <v>1.4460000000000001E-2</v>
      </c>
      <c r="CE28" s="6">
        <v>1.6102999999999999E-2</v>
      </c>
      <c r="CF28" s="6">
        <v>1.7637E-2</v>
      </c>
      <c r="CG28" s="6">
        <v>1.9167999999999998E-2</v>
      </c>
      <c r="CH28" s="6">
        <v>2.0836E-2</v>
      </c>
      <c r="CI28" s="6">
        <v>2.2737E-2</v>
      </c>
      <c r="CJ28" s="6">
        <v>2.4908E-2</v>
      </c>
      <c r="CK28" s="6">
        <v>2.7320000000000001E-2</v>
      </c>
      <c r="CL28" s="6">
        <v>2.9902999999999999E-2</v>
      </c>
      <c r="CM28" s="6">
        <v>3.2572000000000004E-2</v>
      </c>
      <c r="CN28" s="6">
        <v>3.5560000000000001E-2</v>
      </c>
      <c r="CO28" s="6">
        <v>3.8744000000000001E-2</v>
      </c>
      <c r="CP28" s="6">
        <v>4.2729000000000003E-2</v>
      </c>
      <c r="CQ28" s="6">
        <v>4.7862000000000002E-2</v>
      </c>
      <c r="CR28" s="6">
        <v>5.4048000000000006E-2</v>
      </c>
      <c r="CS28" s="6">
        <v>5.9969000000000001E-2</v>
      </c>
      <c r="CT28" s="6">
        <v>6.6512000000000002E-2</v>
      </c>
      <c r="CU28" s="6">
        <v>7.3772000000000004E-2</v>
      </c>
      <c r="CV28" s="6">
        <v>8.1823000000000007E-2</v>
      </c>
      <c r="CW28" s="6">
        <v>9.0734999999999996E-2</v>
      </c>
      <c r="CX28" s="6">
        <v>0.10055800000000001</v>
      </c>
      <c r="CY28" s="6">
        <v>0.111347</v>
      </c>
      <c r="CZ28" s="6">
        <v>0.123192</v>
      </c>
      <c r="DA28" s="6">
        <v>0.13617699999999999</v>
      </c>
      <c r="DB28" s="6">
        <v>0.15039899999999998</v>
      </c>
      <c r="DC28" s="6">
        <v>0.16594399999999998</v>
      </c>
      <c r="DD28" s="6">
        <v>0.18288399999999999</v>
      </c>
      <c r="DE28" s="6">
        <v>0.20129899999999998</v>
      </c>
      <c r="DF28" s="6">
        <v>0.22126599999999999</v>
      </c>
      <c r="DG28" s="6">
        <v>0.24285899999999999</v>
      </c>
      <c r="DH28" s="6">
        <v>0.26611899999999999</v>
      </c>
      <c r="DI28" s="6">
        <v>0.29107</v>
      </c>
      <c r="DJ28" s="6">
        <v>0.31769700000000001</v>
      </c>
      <c r="DK28" s="6">
        <v>0.34598499999999999</v>
      </c>
      <c r="DL28" s="6">
        <v>0.375888</v>
      </c>
      <c r="DM28" s="6">
        <v>0.4073</v>
      </c>
      <c r="DN28" s="6">
        <v>0.440083</v>
      </c>
      <c r="DO28" s="6">
        <v>0.47401199999999999</v>
      </c>
      <c r="DP28" s="6">
        <v>0.50883200000000006</v>
      </c>
      <c r="DQ28" s="6">
        <v>0.90166500000000005</v>
      </c>
      <c r="DR28" s="6"/>
      <c r="DS28" s="6"/>
      <c r="DT28" s="6"/>
      <c r="DU28" s="6"/>
      <c r="DV28" s="6"/>
      <c r="DW28" s="6"/>
      <c r="DX28" s="6"/>
      <c r="DY28" s="6"/>
      <c r="DZ28" s="6"/>
      <c r="EA28" s="6"/>
    </row>
    <row r="29" spans="2:131">
      <c r="B29" s="6" t="s">
        <v>436</v>
      </c>
      <c r="C29" s="22" t="str">
        <f>VLOOKUP(TAB_Qx[[#This Row],[위험률코드]], TAB_INFO_Qx,2,FALSE)</f>
        <v>정기보험</v>
      </c>
      <c r="D29" s="9">
        <v>2</v>
      </c>
      <c r="E29" s="9"/>
      <c r="F29" s="9"/>
      <c r="G29" s="9"/>
      <c r="H29" s="9"/>
      <c r="I29" s="9"/>
      <c r="J29" s="36" t="str" cm="1">
        <f t="array" ref="J29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9" s="9">
        <v>2.3250000000000002E-3</v>
      </c>
      <c r="L29" s="9">
        <v>3.0600000000000001E-4</v>
      </c>
      <c r="M29" s="9">
        <v>2.05E-4</v>
      </c>
      <c r="N29" s="9">
        <v>1.37E-4</v>
      </c>
      <c r="O29" s="9">
        <v>1.0899999999999999E-4</v>
      </c>
      <c r="P29" s="9">
        <v>9.3999999999999994E-5</v>
      </c>
      <c r="Q29" s="9">
        <v>8.2999999999999998E-5</v>
      </c>
      <c r="R29" s="9">
        <v>7.2999999999999999E-5</v>
      </c>
      <c r="S29" s="9">
        <v>7.0999999999999991E-5</v>
      </c>
      <c r="T29" s="9">
        <v>6.7999999999999999E-5</v>
      </c>
      <c r="U29" s="9">
        <v>6.7999999999999999E-5</v>
      </c>
      <c r="V29" s="9">
        <v>6.7999999999999999E-5</v>
      </c>
      <c r="W29" s="9">
        <v>7.2999999999999999E-5</v>
      </c>
      <c r="X29" s="9">
        <v>1.01E-4</v>
      </c>
      <c r="Y29" s="9">
        <v>1.35E-4</v>
      </c>
      <c r="Z29" s="9">
        <v>1.7000000000000001E-4</v>
      </c>
      <c r="AA29" s="9">
        <v>1.75E-4</v>
      </c>
      <c r="AB29" s="9">
        <v>1.7900000000000001E-4</v>
      </c>
      <c r="AC29" s="9">
        <v>1.83E-4</v>
      </c>
      <c r="AD29" s="9">
        <v>1.8699999999999999E-4</v>
      </c>
      <c r="AE29" s="9">
        <v>1.92E-4</v>
      </c>
      <c r="AF29" s="9">
        <v>1.9799999999999999E-4</v>
      </c>
      <c r="AG29" s="9">
        <v>2.04E-4</v>
      </c>
      <c r="AH29" s="9">
        <v>2.0800000000000001E-4</v>
      </c>
      <c r="AI29" s="9">
        <v>2.12E-4</v>
      </c>
      <c r="AJ29" s="9">
        <v>2.1799999999999999E-4</v>
      </c>
      <c r="AK29" s="9">
        <v>2.24E-4</v>
      </c>
      <c r="AL29" s="9">
        <v>2.2899999999999998E-4</v>
      </c>
      <c r="AM29" s="9">
        <v>2.3900000000000001E-4</v>
      </c>
      <c r="AN29" s="9">
        <v>2.52E-4</v>
      </c>
      <c r="AO29" s="9">
        <v>2.6899999999999998E-4</v>
      </c>
      <c r="AP29" s="9">
        <v>2.8600000000000001E-4</v>
      </c>
      <c r="AQ29" s="9">
        <v>3.0199999999999997E-4</v>
      </c>
      <c r="AR29" s="9">
        <v>3.19E-4</v>
      </c>
      <c r="AS29" s="9">
        <v>3.39E-4</v>
      </c>
      <c r="AT29" s="9">
        <v>3.6200000000000002E-4</v>
      </c>
      <c r="AU29" s="9">
        <v>3.9199999999999999E-4</v>
      </c>
      <c r="AV29" s="9">
        <v>4.2400000000000001E-4</v>
      </c>
      <c r="AW29" s="9">
        <v>4.5700000000000005E-4</v>
      </c>
      <c r="AX29" s="9">
        <v>4.8799999999999999E-4</v>
      </c>
      <c r="AY29" s="9">
        <v>5.1800000000000001E-4</v>
      </c>
      <c r="AZ29" s="9">
        <v>5.53E-4</v>
      </c>
      <c r="BA29" s="9">
        <v>5.9699999999999998E-4</v>
      </c>
      <c r="BB29" s="9">
        <v>6.4399999999999993E-4</v>
      </c>
      <c r="BC29" s="9">
        <v>6.9000000000000008E-4</v>
      </c>
      <c r="BD29" s="9">
        <v>7.3400000000000006E-4</v>
      </c>
      <c r="BE29" s="9">
        <v>7.7800000000000005E-4</v>
      </c>
      <c r="BF29" s="9">
        <v>8.1899999999999996E-4</v>
      </c>
      <c r="BG29" s="9">
        <v>8.4699999999999999E-4</v>
      </c>
      <c r="BH29" s="9">
        <v>8.5999999999999998E-4</v>
      </c>
      <c r="BI29" s="9">
        <v>8.6499999999999999E-4</v>
      </c>
      <c r="BJ29" s="9">
        <v>8.7399999999999999E-4</v>
      </c>
      <c r="BK29" s="9">
        <v>8.9900000000000006E-4</v>
      </c>
      <c r="BL29" s="9">
        <v>9.3999999999999997E-4</v>
      </c>
      <c r="BM29" s="9">
        <v>9.8999999999999999E-4</v>
      </c>
      <c r="BN29" s="9">
        <v>1.042E-3</v>
      </c>
      <c r="BO29" s="9">
        <v>1.109E-3</v>
      </c>
      <c r="BP29" s="9">
        <v>1.1869999999999999E-3</v>
      </c>
      <c r="BQ29" s="9">
        <v>1.273E-3</v>
      </c>
      <c r="BR29" s="9">
        <v>1.3570000000000001E-3</v>
      </c>
      <c r="BS29" s="9">
        <v>1.446E-3</v>
      </c>
      <c r="BT29" s="9">
        <v>1.552E-3</v>
      </c>
      <c r="BU29" s="9">
        <v>1.694E-3</v>
      </c>
      <c r="BV29" s="9">
        <v>1.8749999999999999E-3</v>
      </c>
      <c r="BW29" s="9">
        <v>2.0839999999999999E-3</v>
      </c>
      <c r="BX29" s="9">
        <v>2.3050000000000002E-3</v>
      </c>
      <c r="BY29" s="9">
        <v>2.5609999999999999E-3</v>
      </c>
      <c r="BZ29" s="9">
        <v>2.918E-3</v>
      </c>
      <c r="CA29" s="9">
        <v>3.4489999999999998E-3</v>
      </c>
      <c r="CB29" s="9">
        <v>4.1809999999999998E-3</v>
      </c>
      <c r="CC29" s="9">
        <v>5.0689999999999997E-3</v>
      </c>
      <c r="CD29" s="9">
        <v>6.0150000000000004E-3</v>
      </c>
      <c r="CE29" s="9">
        <v>6.953E-3</v>
      </c>
      <c r="CF29" s="9">
        <v>7.8809999999999991E-3</v>
      </c>
      <c r="CG29" s="9">
        <v>8.8599999999999998E-3</v>
      </c>
      <c r="CH29" s="9">
        <v>9.9650000000000016E-3</v>
      </c>
      <c r="CI29" s="9">
        <v>1.1254E-2</v>
      </c>
      <c r="CJ29" s="9">
        <v>1.2751999999999999E-2</v>
      </c>
      <c r="CK29" s="9">
        <v>1.4440000000000001E-2</v>
      </c>
      <c r="CL29" s="9">
        <v>1.6263E-2</v>
      </c>
      <c r="CM29" s="9">
        <v>1.8154E-2</v>
      </c>
      <c r="CN29" s="9">
        <v>2.0886999999999999E-2</v>
      </c>
      <c r="CO29" s="9">
        <v>2.4211999999999997E-2</v>
      </c>
      <c r="CP29" s="9">
        <v>2.8309999999999998E-2</v>
      </c>
      <c r="CQ29" s="9">
        <v>3.3418000000000003E-2</v>
      </c>
      <c r="CR29" s="9">
        <v>3.9677000000000004E-2</v>
      </c>
      <c r="CS29" s="9">
        <v>4.6384000000000002E-2</v>
      </c>
      <c r="CT29" s="9">
        <v>5.3169000000000001E-2</v>
      </c>
      <c r="CU29" s="9">
        <v>6.0972000000000005E-2</v>
      </c>
      <c r="CV29" s="9">
        <v>6.9919000000000009E-2</v>
      </c>
      <c r="CW29" s="9">
        <v>8.0179E-2</v>
      </c>
      <c r="CX29" s="9">
        <v>9.1857000000000008E-2</v>
      </c>
      <c r="CY29" s="9">
        <v>0.105127</v>
      </c>
      <c r="CZ29" s="9">
        <v>0.120158</v>
      </c>
      <c r="DA29" s="9">
        <v>0.13717299999999999</v>
      </c>
      <c r="DB29" s="9">
        <v>0.15640099999999998</v>
      </c>
      <c r="DC29" s="9">
        <v>0.17338999999999999</v>
      </c>
      <c r="DD29" s="9">
        <v>0.192019</v>
      </c>
      <c r="DE29" s="9">
        <v>0.21240399999999998</v>
      </c>
      <c r="DF29" s="9">
        <v>0.23463799999999999</v>
      </c>
      <c r="DG29" s="9">
        <v>0.25884000000000001</v>
      </c>
      <c r="DH29" s="9">
        <v>0.28504499999999999</v>
      </c>
      <c r="DI29" s="9">
        <v>0.313309</v>
      </c>
      <c r="DJ29" s="9">
        <v>0.34365200000000001</v>
      </c>
      <c r="DK29" s="9">
        <v>0.37607299999999999</v>
      </c>
      <c r="DL29" s="9">
        <v>0.41055399999999997</v>
      </c>
      <c r="DM29" s="9">
        <v>0.44701599999999997</v>
      </c>
      <c r="DN29" s="9">
        <v>0.48531299999999999</v>
      </c>
      <c r="DO29" s="9">
        <v>0.52520700000000009</v>
      </c>
      <c r="DP29" s="9">
        <v>0.56642400000000004</v>
      </c>
      <c r="DQ29" s="9">
        <v>0.60861100000000001</v>
      </c>
      <c r="DR29" s="9"/>
      <c r="DS29" s="9"/>
      <c r="DT29" s="9"/>
      <c r="DU29" s="9"/>
      <c r="DV29" s="9"/>
      <c r="DW29" s="9"/>
      <c r="DX29" s="9"/>
      <c r="DY29" s="9"/>
      <c r="DZ29" s="9"/>
      <c r="EA29" s="9"/>
    </row>
    <row r="31" spans="2:131">
      <c r="B31" s="79" t="s">
        <v>438</v>
      </c>
    </row>
  </sheetData>
  <phoneticPr fontId="1" type="noConversion"/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0857-44E4-4B0D-8D8A-A4BFE1D9858C}">
  <sheetPr codeName="Sheet2">
    <pageSetUpPr fitToPage="1"/>
  </sheetPr>
  <dimension ref="B1:W33"/>
  <sheetViews>
    <sheetView showGridLines="0" view="pageBreakPreview" zoomScale="60" zoomScaleNormal="100" workbookViewId="0">
      <pane xSplit="12" ySplit="6" topLeftCell="M7" activePane="bottomRight" state="frozen"/>
      <selection pane="topRight" activeCell="L1" sqref="L1"/>
      <selection pane="bottomLeft" activeCell="A7" sqref="A7"/>
      <selection pane="bottomRight" activeCell="J22" sqref="J22"/>
    </sheetView>
  </sheetViews>
  <sheetFormatPr defaultRowHeight="17.399999999999999"/>
  <cols>
    <col min="1" max="1" width="1.796875" customWidth="1"/>
    <col min="2" max="2" width="9.796875" customWidth="1"/>
    <col min="3" max="3" width="39.09765625" customWidth="1"/>
    <col min="4" max="5" width="7.19921875" hidden="1" customWidth="1"/>
    <col min="6" max="6" width="9.3984375" customWidth="1"/>
    <col min="7" max="9" width="9.3984375" hidden="1" customWidth="1"/>
    <col min="10" max="10" width="9.3984375" customWidth="1"/>
    <col min="11" max="11" width="16" bestFit="1" customWidth="1"/>
    <col min="12" max="12" width="12.59765625" bestFit="1" customWidth="1"/>
    <col min="13" max="13" width="15.19921875" customWidth="1"/>
    <col min="14" max="14" width="16.3984375" bestFit="1" customWidth="1"/>
    <col min="15" max="15" width="11.59765625" customWidth="1"/>
    <col min="16" max="17" width="15.19921875" customWidth="1"/>
    <col min="19" max="19" width="11.19921875" bestFit="1" customWidth="1"/>
    <col min="20" max="20" width="12.8984375" bestFit="1" customWidth="1"/>
    <col min="21" max="22" width="15.19921875" customWidth="1"/>
    <col min="23" max="23" width="13.3984375" customWidth="1"/>
  </cols>
  <sheetData>
    <row r="1" spans="2:23" s="2" customFormat="1">
      <c r="B1" s="2">
        <v>1</v>
      </c>
      <c r="C1" s="2">
        <f>B1+1</f>
        <v>2</v>
      </c>
      <c r="D1" s="2">
        <f t="shared" ref="D1:W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</row>
    <row r="3" spans="2:23">
      <c r="B3" s="4" t="s">
        <v>142</v>
      </c>
    </row>
    <row r="4" spans="2:23">
      <c r="B4" s="4"/>
    </row>
    <row r="5" spans="2:23" s="2" customFormat="1">
      <c r="K5" s="2" t="s">
        <v>151</v>
      </c>
      <c r="L5" s="2" t="s">
        <v>153</v>
      </c>
      <c r="M5" s="2" t="s">
        <v>143</v>
      </c>
      <c r="O5" s="2" t="s">
        <v>144</v>
      </c>
      <c r="P5" s="2" t="s">
        <v>145</v>
      </c>
      <c r="R5" s="2" t="s">
        <v>146</v>
      </c>
      <c r="S5" s="2" t="s">
        <v>147</v>
      </c>
      <c r="T5" s="2" t="s">
        <v>148</v>
      </c>
      <c r="U5" s="2" t="s">
        <v>149</v>
      </c>
      <c r="W5" s="2" t="s">
        <v>150</v>
      </c>
    </row>
    <row r="6" spans="2:23">
      <c r="B6" s="50" t="s">
        <v>130</v>
      </c>
      <c r="C6" s="51" t="s">
        <v>126</v>
      </c>
      <c r="D6" s="51" t="s">
        <v>123</v>
      </c>
      <c r="E6" s="51" t="s">
        <v>124</v>
      </c>
      <c r="F6" s="51" t="s">
        <v>184</v>
      </c>
      <c r="G6" s="51" t="s">
        <v>131</v>
      </c>
      <c r="H6" s="51" t="s">
        <v>132</v>
      </c>
      <c r="I6" s="51" t="s">
        <v>133</v>
      </c>
      <c r="J6" s="51" t="s">
        <v>389</v>
      </c>
      <c r="K6" s="52" t="s">
        <v>125</v>
      </c>
      <c r="L6" s="53" t="s">
        <v>152</v>
      </c>
      <c r="M6" s="54" t="s">
        <v>134</v>
      </c>
      <c r="N6" s="54" t="s">
        <v>154</v>
      </c>
      <c r="O6" s="54" t="s">
        <v>135</v>
      </c>
      <c r="P6" s="55" t="s">
        <v>136</v>
      </c>
      <c r="Q6" s="55" t="s">
        <v>155</v>
      </c>
      <c r="R6" s="55" t="s">
        <v>137</v>
      </c>
      <c r="S6" s="55" t="s">
        <v>138</v>
      </c>
      <c r="T6" s="55" t="s">
        <v>139</v>
      </c>
      <c r="U6" s="53" t="s">
        <v>140</v>
      </c>
      <c r="V6" s="53" t="s">
        <v>156</v>
      </c>
      <c r="W6" s="56" t="s">
        <v>141</v>
      </c>
    </row>
    <row r="7" spans="2:23">
      <c r="B7" s="13" t="s">
        <v>266</v>
      </c>
      <c r="C7" s="14" t="str">
        <f>VLOOKUP(TAB_Code[[#This Row],[담보코드]],TAB_INFO_COV, 2, FALSE)</f>
        <v>질병후유장해(80%미만)(감액없음)(갱신형_5년)</v>
      </c>
      <c r="D7" s="14"/>
      <c r="E7" s="14"/>
      <c r="F7" s="14">
        <v>2</v>
      </c>
      <c r="G7" s="14"/>
      <c r="H7" s="14"/>
      <c r="I7" s="14"/>
      <c r="J7" s="14"/>
      <c r="K7" s="57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LB5488002000</v>
      </c>
      <c r="L7" s="14">
        <v>0</v>
      </c>
      <c r="M7" s="14"/>
      <c r="N7" s="14" t="str">
        <f>IFERROR(VLOOKUP(TAB_Code[[#This Row],[탈퇴위험률코드]], Remark!$A$5:$B$101, 2, FALSE), "")</f>
        <v/>
      </c>
      <c r="O7" s="14"/>
      <c r="P7" s="14"/>
      <c r="Q7" s="14" t="str">
        <f>IFERROR(VLOOKUP(TAB_Code[[#This Row],[급부위험률코드]], Remark!$A$5:$B$101, 2, FALSE), "")</f>
        <v/>
      </c>
      <c r="R7" s="14"/>
      <c r="S7" s="14"/>
      <c r="T7" s="14"/>
      <c r="U7" s="14"/>
      <c r="V7" s="14" t="str">
        <f>IFERROR(VLOOKUP(TAB_Code[[#This Row],[납면위험률코드]], Remark!$A$5:$B$101, 2, FALSE), "")</f>
        <v/>
      </c>
      <c r="W7" s="49"/>
    </row>
    <row r="8" spans="2:23">
      <c r="B8" s="5" t="s">
        <v>266</v>
      </c>
      <c r="C8" s="6" t="str">
        <f>VLOOKUP(TAB_Code[[#This Row],[담보코드]],TAB_INFO_COV, 2, FALSE)</f>
        <v>질병후유장해(80%미만)(감액없음)(갱신형_5년)</v>
      </c>
      <c r="D8" s="6"/>
      <c r="E8" s="6"/>
      <c r="F8" s="6">
        <v>2</v>
      </c>
      <c r="G8" s="6"/>
      <c r="H8" s="6"/>
      <c r="I8" s="6"/>
      <c r="J8" s="6"/>
      <c r="K8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LB5488002000</v>
      </c>
      <c r="L8" s="6">
        <v>1</v>
      </c>
      <c r="M8" s="6"/>
      <c r="N8" s="6" t="str">
        <f>IFERROR(VLOOKUP(TAB_Code[[#This Row],[탈퇴위험률코드]], Remark!$A$5:$B$101, 2, FALSE), "")</f>
        <v/>
      </c>
      <c r="O8" s="6"/>
      <c r="P8" s="6" t="s">
        <v>287</v>
      </c>
      <c r="Q8" s="6" t="str">
        <f>IFERROR(VLOOKUP(TAB_Code[[#This Row],[급부위험률코드]], Remark!$A$5:$B$101, 2, FALSE), "")</f>
        <v>질병후유장해(80%미만)(감액없음)</v>
      </c>
      <c r="R8" s="6">
        <v>1</v>
      </c>
      <c r="S8" s="6"/>
      <c r="T8" s="6"/>
      <c r="U8" s="6"/>
      <c r="V8" s="6" t="str">
        <f>IFERROR(VLOOKUP(TAB_Code[[#This Row],[납면위험률코드]], Remark!$A$5:$B$101, 2, FALSE), "")</f>
        <v/>
      </c>
      <c r="W8" s="7"/>
    </row>
    <row r="9" spans="2:23">
      <c r="B9" s="5" t="s">
        <v>266</v>
      </c>
      <c r="C9" s="6" t="str">
        <f>VLOOKUP(TAB_Code[[#This Row],[담보코드]],TAB_INFO_COV, 2, FALSE)</f>
        <v>질병후유장해(80%미만)(감액없음)(갱신형_5년)</v>
      </c>
      <c r="D9" s="6"/>
      <c r="E9" s="6"/>
      <c r="F9" s="6">
        <v>2</v>
      </c>
      <c r="G9" s="6"/>
      <c r="H9" s="6"/>
      <c r="I9" s="6"/>
      <c r="J9" s="6"/>
      <c r="K9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LB5488002000</v>
      </c>
      <c r="L9" s="6">
        <v>99</v>
      </c>
      <c r="M9" s="6"/>
      <c r="N9" s="6" t="str">
        <f>IFERROR(VLOOKUP(TAB_Code[[#This Row],[탈퇴위험률코드]], Remark!$A$5:$B$101, 2, FALSE), "")</f>
        <v/>
      </c>
      <c r="O9" s="6"/>
      <c r="P9" s="6"/>
      <c r="Q9" s="6" t="str">
        <f>IFERROR(VLOOKUP(TAB_Code[[#This Row],[급부위험률코드]], Remark!$A$5:$B$101, 2, FALSE), "")</f>
        <v/>
      </c>
      <c r="R9" s="6"/>
      <c r="S9" s="6"/>
      <c r="T9" s="6"/>
      <c r="U9" s="6"/>
      <c r="V9" s="6" t="str">
        <f>IFERROR(VLOOKUP(TAB_Code[[#This Row],[납면위험률코드]], Remark!$A$5:$B$101, 2, FALSE), "")</f>
        <v/>
      </c>
      <c r="W9" s="7"/>
    </row>
    <row r="10" spans="2:23">
      <c r="B10" s="5" t="s">
        <v>268</v>
      </c>
      <c r="C10" s="6" t="str">
        <f>VLOOKUP(TAB_Code[[#This Row],[담보코드]],TAB_INFO_COV, 2, FALSE)</f>
        <v>뇌졸중진단비(갱신형_5년)</v>
      </c>
      <c r="D10" s="6"/>
      <c r="E10" s="6"/>
      <c r="F10" s="6">
        <v>2</v>
      </c>
      <c r="G10" s="6"/>
      <c r="H10" s="6"/>
      <c r="I10" s="6"/>
      <c r="J10" s="6"/>
      <c r="K10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LB0918002000</v>
      </c>
      <c r="L10" s="6">
        <v>0</v>
      </c>
      <c r="M10" s="6" t="s">
        <v>279</v>
      </c>
      <c r="N10" s="6" t="str">
        <f>IFERROR(VLOOKUP(TAB_Code[[#This Row],[탈퇴위험률코드]], Remark!$A$5:$B$101, 2, FALSE), "")</f>
        <v>뇌졸중진단비</v>
      </c>
      <c r="O10" s="6"/>
      <c r="P10" s="6"/>
      <c r="Q10" s="6" t="str">
        <f>IFERROR(VLOOKUP(TAB_Code[[#This Row],[급부위험률코드]], Remark!$A$5:$B$101, 2, FALSE), "")</f>
        <v/>
      </c>
      <c r="R10" s="6"/>
      <c r="S10" s="6"/>
      <c r="T10" s="6"/>
      <c r="U10" s="6"/>
      <c r="V10" s="6" t="str">
        <f>IFERROR(VLOOKUP(TAB_Code[[#This Row],[납면위험률코드]], Remark!$A$5:$B$101, 2, FALSE), "")</f>
        <v/>
      </c>
      <c r="W10" s="7"/>
    </row>
    <row r="11" spans="2:23">
      <c r="B11" s="5" t="s">
        <v>268</v>
      </c>
      <c r="C11" s="6" t="str">
        <f>VLOOKUP(TAB_Code[[#This Row],[담보코드]],TAB_INFO_COV, 2, FALSE)</f>
        <v>뇌졸중진단비(갱신형_5년)</v>
      </c>
      <c r="D11" s="6"/>
      <c r="E11" s="6"/>
      <c r="F11" s="6">
        <v>2</v>
      </c>
      <c r="G11" s="6"/>
      <c r="H11" s="6"/>
      <c r="I11" s="6"/>
      <c r="J11" s="6"/>
      <c r="K11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LB0918002000</v>
      </c>
      <c r="L11" s="6">
        <v>1</v>
      </c>
      <c r="M11" s="6" t="s">
        <v>279</v>
      </c>
      <c r="N11" s="6" t="str">
        <f>IFERROR(VLOOKUP(TAB_Code[[#This Row],[탈퇴위험률코드]], Remark!$A$5:$B$101, 2, FALSE), "")</f>
        <v>뇌졸중진단비</v>
      </c>
      <c r="O11" s="6"/>
      <c r="P11" s="6" t="s">
        <v>279</v>
      </c>
      <c r="Q11" s="6" t="str">
        <f>IFERROR(VLOOKUP(TAB_Code[[#This Row],[급부위험률코드]], Remark!$A$5:$B$101, 2, FALSE), "")</f>
        <v>뇌졸중진단비</v>
      </c>
      <c r="R11" s="6">
        <v>1</v>
      </c>
      <c r="S11" s="6"/>
      <c r="T11" s="6"/>
      <c r="U11" s="6"/>
      <c r="V11" s="6" t="str">
        <f>IFERROR(VLOOKUP(TAB_Code[[#This Row],[납면위험률코드]], Remark!$A$5:$B$101, 2, FALSE), "")</f>
        <v/>
      </c>
      <c r="W11" s="7"/>
    </row>
    <row r="12" spans="2:23">
      <c r="B12" s="5" t="s">
        <v>268</v>
      </c>
      <c r="C12" s="6" t="str">
        <f>VLOOKUP(TAB_Code[[#This Row],[담보코드]],TAB_INFO_COV, 2, FALSE)</f>
        <v>뇌졸중진단비(갱신형_5년)</v>
      </c>
      <c r="D12" s="6"/>
      <c r="E12" s="6"/>
      <c r="F12" s="6">
        <v>2</v>
      </c>
      <c r="G12" s="6"/>
      <c r="H12" s="6"/>
      <c r="I12" s="6"/>
      <c r="J12" s="6"/>
      <c r="K12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LB0918002000</v>
      </c>
      <c r="L12" s="6">
        <v>99</v>
      </c>
      <c r="M12" s="6"/>
      <c r="N12" s="6" t="str">
        <f>IFERROR(VLOOKUP(TAB_Code[[#This Row],[탈퇴위험률코드]], Remark!$A$5:$B$101, 2, FALSE), "")</f>
        <v/>
      </c>
      <c r="O12" s="6"/>
      <c r="P12" s="6"/>
      <c r="Q12" s="6" t="str">
        <f>IFERROR(VLOOKUP(TAB_Code[[#This Row],[급부위험률코드]], Remark!$A$5:$B$101, 2, FALSE), "")</f>
        <v/>
      </c>
      <c r="R12" s="6"/>
      <c r="S12" s="6"/>
      <c r="T12" s="6"/>
      <c r="U12" s="6" t="s">
        <v>279</v>
      </c>
      <c r="V12" s="6" t="str">
        <f>IFERROR(VLOOKUP(TAB_Code[[#This Row],[납면위험률코드]], Remark!$A$5:$B$101, 2, FALSE), "")</f>
        <v>뇌졸중진단비</v>
      </c>
      <c r="W12" s="7"/>
    </row>
    <row r="13" spans="2:23">
      <c r="B13" s="5" t="s">
        <v>270</v>
      </c>
      <c r="C13" s="6" t="str">
        <f>VLOOKUP(TAB_Code[[#This Row],[담보코드]],TAB_INFO_COV, 2, FALSE)</f>
        <v>3대질병진단비(갱신형_5년)</v>
      </c>
      <c r="D13" s="6"/>
      <c r="E13" s="6"/>
      <c r="F13" s="6">
        <v>2</v>
      </c>
      <c r="G13" s="6"/>
      <c r="H13" s="6"/>
      <c r="I13" s="6"/>
      <c r="J13" s="6"/>
      <c r="K13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LB7098002000</v>
      </c>
      <c r="L13" s="6">
        <v>0</v>
      </c>
      <c r="M13" s="6" t="s">
        <v>238</v>
      </c>
      <c r="N13" s="6" t="str">
        <f>IFERROR(VLOOKUP(TAB_Code[[#This Row],[탈퇴위험률코드]], Remark!$A$5:$B$101, 2, FALSE), "")</f>
        <v/>
      </c>
      <c r="O13" s="6"/>
      <c r="P13" s="6"/>
      <c r="Q13" s="6" t="str">
        <f>IFERROR(VLOOKUP(TAB_Code[[#This Row],[급부위험률코드]], Remark!$A$5:$B$101, 2, FALSE), "")</f>
        <v/>
      </c>
      <c r="R13" s="6"/>
      <c r="S13" s="6"/>
      <c r="T13" s="6"/>
      <c r="U13" s="6"/>
      <c r="V13" s="6" t="str">
        <f>IFERROR(VLOOKUP(TAB_Code[[#This Row],[납면위험률코드]], Remark!$A$5:$B$101, 2, FALSE), "")</f>
        <v/>
      </c>
      <c r="W13" s="7"/>
    </row>
    <row r="14" spans="2:23">
      <c r="B14" s="5" t="s">
        <v>270</v>
      </c>
      <c r="C14" s="6" t="str">
        <f>VLOOKUP(TAB_Code[[#This Row],[담보코드]],TAB_INFO_COV, 2, FALSE)</f>
        <v>3대질병진단비(갱신형_5년)</v>
      </c>
      <c r="D14" s="6"/>
      <c r="E14" s="6"/>
      <c r="F14" s="6">
        <v>2</v>
      </c>
      <c r="G14" s="6"/>
      <c r="H14" s="6"/>
      <c r="I14" s="6"/>
      <c r="J14" s="6"/>
      <c r="K14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LB7098002000</v>
      </c>
      <c r="L14" s="6">
        <v>1</v>
      </c>
      <c r="M14" s="6" t="s">
        <v>238</v>
      </c>
      <c r="N14" s="6" t="str">
        <f>IFERROR(VLOOKUP(TAB_Code[[#This Row],[탈퇴위험률코드]], Remark!$A$5:$B$101, 2, FALSE), "")</f>
        <v/>
      </c>
      <c r="O14" s="6"/>
      <c r="P14" s="6" t="s">
        <v>238</v>
      </c>
      <c r="Q14" s="6" t="str">
        <f>IFERROR(VLOOKUP(TAB_Code[[#This Row],[급부위험률코드]], Remark!$A$5:$B$101, 2, FALSE), "")</f>
        <v/>
      </c>
      <c r="R14" s="6">
        <v>1</v>
      </c>
      <c r="S14" s="6"/>
      <c r="T14" s="6"/>
      <c r="U14" s="6"/>
      <c r="V14" s="6" t="str">
        <f>IFERROR(VLOOKUP(TAB_Code[[#This Row],[납면위험률코드]], Remark!$A$5:$B$101, 2, FALSE), "")</f>
        <v/>
      </c>
      <c r="W14" s="7"/>
    </row>
    <row r="15" spans="2:23">
      <c r="B15" s="5" t="s">
        <v>270</v>
      </c>
      <c r="C15" s="6" t="str">
        <f>VLOOKUP(TAB_Code[[#This Row],[담보코드]],TAB_INFO_COV, 2, FALSE)</f>
        <v>3대질병진단비(갱신형_5년)</v>
      </c>
      <c r="D15" s="6"/>
      <c r="E15" s="6"/>
      <c r="F15" s="6">
        <v>2</v>
      </c>
      <c r="G15" s="6"/>
      <c r="H15" s="6"/>
      <c r="I15" s="6"/>
      <c r="J15" s="6"/>
      <c r="K15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LB7098002000</v>
      </c>
      <c r="L15" s="6">
        <v>99</v>
      </c>
      <c r="M15" s="6"/>
      <c r="N15" s="6" t="str">
        <f>IFERROR(VLOOKUP(TAB_Code[[#This Row],[탈퇴위험률코드]], Remark!$A$5:$B$101, 2, FALSE), "")</f>
        <v/>
      </c>
      <c r="O15" s="6"/>
      <c r="P15" s="6"/>
      <c r="Q15" s="6" t="str">
        <f>IFERROR(VLOOKUP(TAB_Code[[#This Row],[급부위험률코드]], Remark!$A$5:$B$101, 2, FALSE), "")</f>
        <v/>
      </c>
      <c r="R15" s="6"/>
      <c r="S15" s="6"/>
      <c r="T15" s="6"/>
      <c r="U15" s="6" t="s">
        <v>238</v>
      </c>
      <c r="V15" s="6" t="str">
        <f>IFERROR(VLOOKUP(TAB_Code[[#This Row],[납면위험률코드]], Remark!$A$5:$B$101, 2, FALSE), "")</f>
        <v/>
      </c>
      <c r="W15" s="7"/>
    </row>
    <row r="16" spans="2:23">
      <c r="B16" s="5" t="s">
        <v>273</v>
      </c>
      <c r="C16" s="6" t="str">
        <f>VLOOKUP(TAB_Code[[#This Row],[담보코드]],TAB_INFO_COV, 2, FALSE)</f>
        <v>응급실내원비(갱신형_5년)</v>
      </c>
      <c r="D16" s="6"/>
      <c r="E16" s="6"/>
      <c r="F16" s="6">
        <v>2</v>
      </c>
      <c r="G16" s="6"/>
      <c r="H16" s="6"/>
      <c r="I16" s="6"/>
      <c r="J16" s="6"/>
      <c r="K16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LC0738002000</v>
      </c>
      <c r="L16" s="6">
        <v>0</v>
      </c>
      <c r="M16" s="6"/>
      <c r="N16" s="6" t="str">
        <f>IFERROR(VLOOKUP(TAB_Code[[#This Row],[탈퇴위험률코드]], Remark!$A$5:$B$101, 2, FALSE), "")</f>
        <v/>
      </c>
      <c r="O16" s="6"/>
      <c r="P16" s="6"/>
      <c r="Q16" s="6" t="str">
        <f>IFERROR(VLOOKUP(TAB_Code[[#This Row],[급부위험률코드]], Remark!$A$5:$B$101, 2, FALSE), "")</f>
        <v/>
      </c>
      <c r="R16" s="6"/>
      <c r="S16" s="6"/>
      <c r="T16" s="6"/>
      <c r="U16" s="6"/>
      <c r="V16" s="6" t="str">
        <f>IFERROR(VLOOKUP(TAB_Code[[#This Row],[납면위험률코드]], Remark!$A$5:$B$101, 2, FALSE), "")</f>
        <v/>
      </c>
      <c r="W16" s="7"/>
    </row>
    <row r="17" spans="2:23">
      <c r="B17" s="5" t="s">
        <v>273</v>
      </c>
      <c r="C17" s="6" t="str">
        <f>VLOOKUP(TAB_Code[[#This Row],[담보코드]],TAB_INFO_COV, 2, FALSE)</f>
        <v>응급실내원비(갱신형_5년)</v>
      </c>
      <c r="D17" s="6"/>
      <c r="E17" s="6"/>
      <c r="F17" s="6">
        <v>2</v>
      </c>
      <c r="G17" s="6"/>
      <c r="H17" s="6"/>
      <c r="I17" s="6"/>
      <c r="J17" s="6"/>
      <c r="K17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LC0738002000</v>
      </c>
      <c r="L17" s="6">
        <v>1</v>
      </c>
      <c r="M17" s="6"/>
      <c r="N17" s="6" t="str">
        <f>IFERROR(VLOOKUP(TAB_Code[[#This Row],[탈퇴위험률코드]], Remark!$A$5:$B$101, 2, FALSE), "")</f>
        <v/>
      </c>
      <c r="O17" s="6"/>
      <c r="P17" s="6" t="s">
        <v>215</v>
      </c>
      <c r="Q17" s="6" t="str">
        <f>IFERROR(VLOOKUP(TAB_Code[[#This Row],[급부위험률코드]], Remark!$A$5:$B$101, 2, FALSE), "")</f>
        <v/>
      </c>
      <c r="R17" s="6">
        <v>1</v>
      </c>
      <c r="S17" s="6"/>
      <c r="T17" s="6"/>
      <c r="U17" s="6"/>
      <c r="V17" s="6" t="str">
        <f>IFERROR(VLOOKUP(TAB_Code[[#This Row],[납면위험률코드]], Remark!$A$5:$B$101, 2, FALSE), "")</f>
        <v/>
      </c>
      <c r="W17" s="7"/>
    </row>
    <row r="18" spans="2:23">
      <c r="B18" s="5" t="s">
        <v>273</v>
      </c>
      <c r="C18" s="6" t="str">
        <f>VLOOKUP(TAB_Code[[#This Row],[담보코드]],TAB_INFO_COV, 2, FALSE)</f>
        <v>응급실내원비(갱신형_5년)</v>
      </c>
      <c r="D18" s="6"/>
      <c r="E18" s="6"/>
      <c r="F18" s="6">
        <v>2</v>
      </c>
      <c r="G18" s="6"/>
      <c r="H18" s="6"/>
      <c r="I18" s="6"/>
      <c r="J18" s="6"/>
      <c r="K18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LC0738002000</v>
      </c>
      <c r="L18" s="6">
        <v>99</v>
      </c>
      <c r="M18" s="6"/>
      <c r="N18" s="6" t="str">
        <f>IFERROR(VLOOKUP(TAB_Code[[#This Row],[탈퇴위험률코드]], Remark!$A$5:$B$101, 2, FALSE), "")</f>
        <v/>
      </c>
      <c r="O18" s="6"/>
      <c r="P18" s="6"/>
      <c r="Q18" s="6" t="str">
        <f>IFERROR(VLOOKUP(TAB_Code[[#This Row],[급부위험률코드]], Remark!$A$5:$B$101, 2, FALSE), "")</f>
        <v/>
      </c>
      <c r="R18" s="6"/>
      <c r="S18" s="6"/>
      <c r="T18" s="6"/>
      <c r="U18" s="6"/>
      <c r="V18" s="6" t="str">
        <f>IFERROR(VLOOKUP(TAB_Code[[#This Row],[납면위험률코드]], Remark!$A$5:$B$101, 2, FALSE), "")</f>
        <v/>
      </c>
      <c r="W18" s="7"/>
    </row>
    <row r="19" spans="2:23">
      <c r="B19" s="5" t="s">
        <v>276</v>
      </c>
      <c r="C19" s="6" t="str">
        <f>VLOOKUP(TAB_Code[[#This Row],[담보코드]],TAB_INFO_COV, 2, FALSE)</f>
        <v>대중교통이용중교통상해사망(갱신형_5년)</v>
      </c>
      <c r="D19" s="6"/>
      <c r="E19" s="6"/>
      <c r="F19" s="6">
        <v>2</v>
      </c>
      <c r="G19" s="6"/>
      <c r="H19" s="6"/>
      <c r="I19" s="6"/>
      <c r="J19" s="6"/>
      <c r="K19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LA1568002000</v>
      </c>
      <c r="L19" s="6">
        <v>0</v>
      </c>
      <c r="M19" s="6" t="s">
        <v>281</v>
      </c>
      <c r="N19" s="6" t="str">
        <f>IFERROR(VLOOKUP(TAB_Code[[#This Row],[탈퇴위험률코드]], Remark!$A$5:$B$101, 2, FALSE), "")</f>
        <v>대중교통이용중교통상해사망</v>
      </c>
      <c r="O19" s="6"/>
      <c r="P19" s="6"/>
      <c r="Q19" s="6" t="str">
        <f>IFERROR(VLOOKUP(TAB_Code[[#This Row],[급부위험률코드]], Remark!$A$5:$B$101, 2, FALSE), "")</f>
        <v/>
      </c>
      <c r="R19" s="6"/>
      <c r="S19" s="6"/>
      <c r="T19" s="6"/>
      <c r="U19" s="6"/>
      <c r="V19" s="6" t="str">
        <f>IFERROR(VLOOKUP(TAB_Code[[#This Row],[납면위험률코드]], Remark!$A$5:$B$101, 2, FALSE), "")</f>
        <v/>
      </c>
      <c r="W19" s="7"/>
    </row>
    <row r="20" spans="2:23">
      <c r="B20" s="5" t="s">
        <v>276</v>
      </c>
      <c r="C20" s="6" t="str">
        <f>VLOOKUP(TAB_Code[[#This Row],[담보코드]],TAB_INFO_COV, 2, FALSE)</f>
        <v>대중교통이용중교통상해사망(갱신형_5년)</v>
      </c>
      <c r="D20" s="6"/>
      <c r="E20" s="6"/>
      <c r="F20" s="6">
        <v>2</v>
      </c>
      <c r="G20" s="6"/>
      <c r="H20" s="6"/>
      <c r="I20" s="6"/>
      <c r="J20" s="6"/>
      <c r="K20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LA1568002000</v>
      </c>
      <c r="L20" s="6">
        <v>1</v>
      </c>
      <c r="M20" s="6" t="s">
        <v>281</v>
      </c>
      <c r="N20" s="6" t="str">
        <f>IFERROR(VLOOKUP(TAB_Code[[#This Row],[탈퇴위험률코드]], Remark!$A$5:$B$101, 2, FALSE), "")</f>
        <v>대중교통이용중교통상해사망</v>
      </c>
      <c r="O20" s="6"/>
      <c r="P20" s="6" t="s">
        <v>281</v>
      </c>
      <c r="Q20" s="6" t="str">
        <f>IFERROR(VLOOKUP(TAB_Code[[#This Row],[급부위험률코드]], Remark!$A$5:$B$101, 2, FALSE), "")</f>
        <v>대중교통이용중교통상해사망</v>
      </c>
      <c r="R20" s="6">
        <v>1</v>
      </c>
      <c r="S20" s="6"/>
      <c r="T20" s="6"/>
      <c r="U20" s="6"/>
      <c r="V20" s="6" t="str">
        <f>IFERROR(VLOOKUP(TAB_Code[[#This Row],[납면위험률코드]], Remark!$A$5:$B$101, 2, FALSE), "")</f>
        <v/>
      </c>
      <c r="W20" s="7"/>
    </row>
    <row r="21" spans="2:23">
      <c r="B21" s="5" t="s">
        <v>276</v>
      </c>
      <c r="C21" s="6" t="str">
        <f>VLOOKUP(TAB_Code[[#This Row],[담보코드]],TAB_INFO_COV, 2, FALSE)</f>
        <v>대중교통이용중교통상해사망(갱신형_5년)</v>
      </c>
      <c r="D21" s="6"/>
      <c r="E21" s="6"/>
      <c r="F21" s="6">
        <v>2</v>
      </c>
      <c r="G21" s="6"/>
      <c r="H21" s="6"/>
      <c r="I21" s="6"/>
      <c r="J21" s="6"/>
      <c r="K21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LA1568002000</v>
      </c>
      <c r="L21" s="6">
        <v>99</v>
      </c>
      <c r="M21" s="6"/>
      <c r="N21" s="6" t="str">
        <f>IFERROR(VLOOKUP(TAB_Code[[#This Row],[탈퇴위험률코드]], Remark!$A$5:$B$101, 2, FALSE), "")</f>
        <v/>
      </c>
      <c r="O21" s="6"/>
      <c r="P21" s="6"/>
      <c r="Q21" s="6" t="str">
        <f>IFERROR(VLOOKUP(TAB_Code[[#This Row],[급부위험률코드]], Remark!$A$5:$B$101, 2, FALSE), "")</f>
        <v/>
      </c>
      <c r="R21" s="6"/>
      <c r="S21" s="6"/>
      <c r="T21" s="6"/>
      <c r="U21" s="6" t="s">
        <v>281</v>
      </c>
      <c r="V21" s="6" t="str">
        <f>IFERROR(VLOOKUP(TAB_Code[[#This Row],[납면위험률코드]], Remark!$A$5:$B$101, 2, FALSE), "")</f>
        <v>대중교통이용중교통상해사망</v>
      </c>
      <c r="W21" s="7"/>
    </row>
    <row r="22" spans="2:23">
      <c r="B22" s="5" t="s">
        <v>277</v>
      </c>
      <c r="C22" s="6" t="str">
        <f>VLOOKUP(TAB_Code[[#This Row],[담보코드]],TAB_INFO_COV, 2, FALSE)</f>
        <v>암진단비(유사암제외)(갱신형_5년)</v>
      </c>
      <c r="D22" s="6"/>
      <c r="E22" s="6"/>
      <c r="F22" s="6">
        <v>2</v>
      </c>
      <c r="G22" s="6"/>
      <c r="H22" s="6"/>
      <c r="I22" s="6"/>
      <c r="J22" s="6"/>
      <c r="K22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LB7068002000</v>
      </c>
      <c r="L22" s="6">
        <v>0</v>
      </c>
      <c r="M22" s="6" t="s">
        <v>282</v>
      </c>
      <c r="N22" s="6" t="str">
        <f>IFERROR(VLOOKUP(TAB_Code[[#This Row],[탈퇴위험률코드]], Remark!$A$5:$B$101, 2, FALSE), "")</f>
        <v>일반암진단비</v>
      </c>
      <c r="O22" s="6"/>
      <c r="P22" s="6"/>
      <c r="Q22" s="6" t="str">
        <f>IFERROR(VLOOKUP(TAB_Code[[#This Row],[급부위험률코드]], Remark!$A$5:$B$101, 2, FALSE), "")</f>
        <v/>
      </c>
      <c r="R22" s="6"/>
      <c r="S22" s="6"/>
      <c r="T22" s="6"/>
      <c r="U22" s="6"/>
      <c r="V22" s="6" t="str">
        <f>IFERROR(VLOOKUP(TAB_Code[[#This Row],[납면위험률코드]], Remark!$A$5:$B$101, 2, FALSE), "")</f>
        <v/>
      </c>
      <c r="W22" s="7"/>
    </row>
    <row r="23" spans="2:23">
      <c r="B23" s="5" t="s">
        <v>277</v>
      </c>
      <c r="C23" s="6" t="str">
        <f>VLOOKUP(TAB_Code[[#This Row],[담보코드]],TAB_INFO_COV, 2, FALSE)</f>
        <v>암진단비(유사암제외)(갱신형_5년)</v>
      </c>
      <c r="D23" s="6"/>
      <c r="E23" s="6"/>
      <c r="F23" s="6">
        <v>2</v>
      </c>
      <c r="G23" s="6"/>
      <c r="H23" s="6"/>
      <c r="I23" s="6"/>
      <c r="J23" s="6"/>
      <c r="K23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LB7068002000</v>
      </c>
      <c r="L23" s="6">
        <v>1</v>
      </c>
      <c r="M23" s="6" t="s">
        <v>282</v>
      </c>
      <c r="N23" s="6" t="str">
        <f>IFERROR(VLOOKUP(TAB_Code[[#This Row],[탈퇴위험률코드]], Remark!$A$5:$B$101, 2, FALSE), "")</f>
        <v>일반암진단비</v>
      </c>
      <c r="O23" s="6"/>
      <c r="P23" s="6" t="s">
        <v>282</v>
      </c>
      <c r="Q23" s="6" t="str">
        <f>IFERROR(VLOOKUP(TAB_Code[[#This Row],[급부위험률코드]], Remark!$A$5:$B$101, 2, FALSE), "")</f>
        <v>일반암진단비</v>
      </c>
      <c r="R23" s="6">
        <v>1</v>
      </c>
      <c r="S23" s="6"/>
      <c r="T23" s="6"/>
      <c r="U23" s="6"/>
      <c r="V23" s="6" t="str">
        <f>IFERROR(VLOOKUP(TAB_Code[[#This Row],[납면위험률코드]], Remark!$A$5:$B$101, 2, FALSE), "")</f>
        <v/>
      </c>
      <c r="W23" s="7"/>
    </row>
    <row r="24" spans="2:23">
      <c r="B24" s="5" t="s">
        <v>277</v>
      </c>
      <c r="C24" s="6" t="str">
        <f>VLOOKUP(TAB_Code[[#This Row],[담보코드]],TAB_INFO_COV, 2, FALSE)</f>
        <v>암진단비(유사암제외)(갱신형_5년)</v>
      </c>
      <c r="D24" s="6"/>
      <c r="E24" s="6"/>
      <c r="F24" s="6">
        <v>2</v>
      </c>
      <c r="G24" s="6"/>
      <c r="H24" s="6"/>
      <c r="I24" s="6"/>
      <c r="J24" s="6"/>
      <c r="K24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LB7068002000</v>
      </c>
      <c r="L24" s="6">
        <v>99</v>
      </c>
      <c r="M24" s="6"/>
      <c r="N24" s="6" t="str">
        <f>IFERROR(VLOOKUP(TAB_Code[[#This Row],[탈퇴위험률코드]], Remark!$A$5:$B$101, 2, FALSE), "")</f>
        <v/>
      </c>
      <c r="O24" s="6"/>
      <c r="P24" s="6"/>
      <c r="Q24" s="6" t="str">
        <f>IFERROR(VLOOKUP(TAB_Code[[#This Row],[급부위험률코드]], Remark!$A$5:$B$101, 2, FALSE), "")</f>
        <v/>
      </c>
      <c r="R24" s="6"/>
      <c r="S24" s="6"/>
      <c r="T24" s="6"/>
      <c r="U24" s="6" t="s">
        <v>282</v>
      </c>
      <c r="V24" s="6" t="str">
        <f>IFERROR(VLOOKUP(TAB_Code[[#This Row],[납면위험률코드]], Remark!$A$5:$B$101, 2, FALSE), "")</f>
        <v>일반암진단비</v>
      </c>
      <c r="W24" s="7"/>
    </row>
    <row r="25" spans="2:23">
      <c r="B25" s="5" t="s">
        <v>278</v>
      </c>
      <c r="C25" s="6" t="str">
        <f>VLOOKUP(TAB_Code[[#This Row],[담보코드]],TAB_INFO_COV, 2, FALSE)</f>
        <v>유사암진단비(갱신형_5년)</v>
      </c>
      <c r="D25" s="6"/>
      <c r="E25" s="6"/>
      <c r="F25" s="6">
        <v>2</v>
      </c>
      <c r="G25" s="6"/>
      <c r="H25" s="6"/>
      <c r="I25" s="6"/>
      <c r="J25" s="6"/>
      <c r="K25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5" s="6">
        <v>0</v>
      </c>
      <c r="M25" s="6"/>
      <c r="N25" s="6" t="str">
        <f>IFERROR(VLOOKUP(TAB_Code[[#This Row],[탈퇴위험률코드]], Remark!$A$5:$B$101, 2, FALSE), "")</f>
        <v/>
      </c>
      <c r="O25" s="6"/>
      <c r="P25" s="6"/>
      <c r="Q25" s="6" t="str">
        <f>IFERROR(VLOOKUP(TAB_Code[[#This Row],[급부위험률코드]], Remark!$A$5:$B$101, 2, FALSE), "")</f>
        <v/>
      </c>
      <c r="R25" s="6"/>
      <c r="S25" s="6"/>
      <c r="T25" s="6"/>
      <c r="U25" s="6"/>
      <c r="V25" s="6" t="str">
        <f>IFERROR(VLOOKUP(TAB_Code[[#This Row],[납면위험률코드]], Remark!$A$5:$B$101, 2, FALSE), "")</f>
        <v/>
      </c>
      <c r="W25" s="7"/>
    </row>
    <row r="26" spans="2:23">
      <c r="B26" s="5" t="s">
        <v>278</v>
      </c>
      <c r="C26" s="6" t="str">
        <f>VLOOKUP(TAB_Code[[#This Row],[담보코드]],TAB_INFO_COV, 2, FALSE)</f>
        <v>유사암진단비(갱신형_5년)</v>
      </c>
      <c r="D26" s="6"/>
      <c r="E26" s="6"/>
      <c r="F26" s="6">
        <v>2</v>
      </c>
      <c r="G26" s="6"/>
      <c r="H26" s="6"/>
      <c r="I26" s="6"/>
      <c r="J26" s="6"/>
      <c r="K26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6" s="6">
        <v>1</v>
      </c>
      <c r="M26" s="6" t="s">
        <v>283</v>
      </c>
      <c r="N26" s="6" t="str">
        <f>IFERROR(VLOOKUP(TAB_Code[[#This Row],[탈퇴위험률코드]], Remark!$A$5:$B$101, 2, FALSE), "")</f>
        <v>기타피부암진단비(감액없음)</v>
      </c>
      <c r="O26" s="6"/>
      <c r="P26" s="6" t="s">
        <v>283</v>
      </c>
      <c r="Q26" s="6" t="str">
        <f>IFERROR(VLOOKUP(TAB_Code[[#This Row],[급부위험률코드]], Remark!$A$5:$B$101, 2, FALSE), "")</f>
        <v>기타피부암진단비(감액없음)</v>
      </c>
      <c r="R26" s="6">
        <v>1</v>
      </c>
      <c r="S26" s="6"/>
      <c r="T26" s="6"/>
      <c r="U26" s="6"/>
      <c r="V26" s="6" t="str">
        <f>IFERROR(VLOOKUP(TAB_Code[[#This Row],[납면위험률코드]], Remark!$A$5:$B$101, 2, FALSE), "")</f>
        <v/>
      </c>
      <c r="W26" s="7"/>
    </row>
    <row r="27" spans="2:23">
      <c r="B27" s="5" t="s">
        <v>278</v>
      </c>
      <c r="C27" s="6" t="str">
        <f>VLOOKUP(TAB_Code[[#This Row],[담보코드]],TAB_INFO_COV, 2, FALSE)</f>
        <v>유사암진단비(갱신형_5년)</v>
      </c>
      <c r="D27" s="6"/>
      <c r="E27" s="6"/>
      <c r="F27" s="6">
        <v>2</v>
      </c>
      <c r="G27" s="6"/>
      <c r="H27" s="6"/>
      <c r="I27" s="6"/>
      <c r="J27" s="6"/>
      <c r="K27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7" s="6">
        <v>2</v>
      </c>
      <c r="M27" s="6" t="s">
        <v>284</v>
      </c>
      <c r="N27" s="6" t="str">
        <f>IFERROR(VLOOKUP(TAB_Code[[#This Row],[탈퇴위험률코드]], Remark!$A$5:$B$101, 2, FALSE), "")</f>
        <v>갑상샘암진단비(감액없음)</v>
      </c>
      <c r="O27" s="6"/>
      <c r="P27" s="6" t="s">
        <v>284</v>
      </c>
      <c r="Q27" s="6" t="str">
        <f>IFERROR(VLOOKUP(TAB_Code[[#This Row],[급부위험률코드]], Remark!$A$5:$B$101, 2, FALSE), "")</f>
        <v>갑상샘암진단비(감액없음)</v>
      </c>
      <c r="R27" s="6">
        <v>1</v>
      </c>
      <c r="S27" s="6"/>
      <c r="T27" s="6"/>
      <c r="U27" s="6"/>
      <c r="V27" s="6" t="str">
        <f>IFERROR(VLOOKUP(TAB_Code[[#This Row],[납면위험률코드]], Remark!$A$5:$B$101, 2, FALSE), "")</f>
        <v/>
      </c>
      <c r="W27" s="7"/>
    </row>
    <row r="28" spans="2:23">
      <c r="B28" s="5" t="s">
        <v>278</v>
      </c>
      <c r="C28" s="6" t="str">
        <f>VLOOKUP(TAB_Code[[#This Row],[담보코드]],TAB_INFO_COV, 2, FALSE)</f>
        <v>유사암진단비(갱신형_5년)</v>
      </c>
      <c r="D28" s="6"/>
      <c r="E28" s="6"/>
      <c r="F28" s="6">
        <v>2</v>
      </c>
      <c r="G28" s="6"/>
      <c r="H28" s="6"/>
      <c r="I28" s="6"/>
      <c r="J28" s="6"/>
      <c r="K28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8" s="6">
        <v>3</v>
      </c>
      <c r="M28" s="6" t="s">
        <v>285</v>
      </c>
      <c r="N28" s="6" t="str">
        <f>IFERROR(VLOOKUP(TAB_Code[[#This Row],[탈퇴위험률코드]], Remark!$A$5:$B$101, 2, FALSE), "")</f>
        <v>경계성종양진단비(감액없음)</v>
      </c>
      <c r="O28" s="6"/>
      <c r="P28" s="6" t="s">
        <v>285</v>
      </c>
      <c r="Q28" s="6" t="str">
        <f>IFERROR(VLOOKUP(TAB_Code[[#This Row],[급부위험률코드]], Remark!$A$5:$B$101, 2, FALSE), "")</f>
        <v>경계성종양진단비(감액없음)</v>
      </c>
      <c r="R28" s="6">
        <v>1</v>
      </c>
      <c r="S28" s="6"/>
      <c r="T28" s="6"/>
      <c r="U28" s="6"/>
      <c r="V28" s="6" t="str">
        <f>IFERROR(VLOOKUP(TAB_Code[[#This Row],[납면위험률코드]], Remark!$A$5:$B$101, 2, FALSE), "")</f>
        <v/>
      </c>
      <c r="W28" s="7"/>
    </row>
    <row r="29" spans="2:23">
      <c r="B29" s="5" t="s">
        <v>278</v>
      </c>
      <c r="C29" s="6" t="str">
        <f>VLOOKUP(TAB_Code[[#This Row],[담보코드]],TAB_INFO_COV, 2, FALSE)</f>
        <v>유사암진단비(갱신형_5년)</v>
      </c>
      <c r="D29" s="6"/>
      <c r="E29" s="6"/>
      <c r="F29" s="6">
        <v>2</v>
      </c>
      <c r="G29" s="6"/>
      <c r="H29" s="6"/>
      <c r="I29" s="6"/>
      <c r="J29" s="6"/>
      <c r="K29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9" s="6">
        <v>4</v>
      </c>
      <c r="M29" s="6" t="s">
        <v>286</v>
      </c>
      <c r="N29" s="6" t="str">
        <f>IFERROR(VLOOKUP(TAB_Code[[#This Row],[탈퇴위험률코드]], Remark!$A$5:$B$101, 2, FALSE), "")</f>
        <v>제자리암진단비</v>
      </c>
      <c r="O29" s="6"/>
      <c r="P29" s="6" t="s">
        <v>286</v>
      </c>
      <c r="Q29" s="6" t="str">
        <f>IFERROR(VLOOKUP(TAB_Code[[#This Row],[급부위험률코드]], Remark!$A$5:$B$101, 2, FALSE), "")</f>
        <v>제자리암진단비</v>
      </c>
      <c r="R29" s="6">
        <v>1</v>
      </c>
      <c r="S29" s="6"/>
      <c r="T29" s="6"/>
      <c r="U29" s="6"/>
      <c r="V29" s="6" t="str">
        <f>IFERROR(VLOOKUP(TAB_Code[[#This Row],[납면위험률코드]], Remark!$A$5:$B$101, 2, FALSE), "")</f>
        <v/>
      </c>
      <c r="W29" s="7"/>
    </row>
    <row r="30" spans="2:23">
      <c r="B30" s="8" t="s">
        <v>278</v>
      </c>
      <c r="C30" s="9" t="str">
        <f>VLOOKUP(TAB_Code[[#This Row],[담보코드]],TAB_INFO_COV, 2, FALSE)</f>
        <v>유사암진단비(갱신형_5년)</v>
      </c>
      <c r="D30" s="9"/>
      <c r="E30" s="9"/>
      <c r="F30" s="9">
        <v>2</v>
      </c>
      <c r="G30" s="9"/>
      <c r="H30" s="9"/>
      <c r="I30" s="9"/>
      <c r="J30" s="9"/>
      <c r="K30" s="22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30" s="9">
        <v>99</v>
      </c>
      <c r="M30" s="9"/>
      <c r="N30" s="9" t="str">
        <f>IFERROR(VLOOKUP(TAB_Code[[#This Row],[탈퇴위험률코드]], Remark!$A$5:$B$101, 2, FALSE), "")</f>
        <v/>
      </c>
      <c r="O30" s="9"/>
      <c r="P30" s="9"/>
      <c r="Q30" s="9" t="str">
        <f>IFERROR(VLOOKUP(TAB_Code[[#This Row],[급부위험률코드]], Remark!$A$5:$B$101, 2, FALSE), "")</f>
        <v/>
      </c>
      <c r="R30" s="9"/>
      <c r="S30" s="9"/>
      <c r="T30" s="9"/>
      <c r="U30" s="9"/>
      <c r="V30" s="9" t="str">
        <f>IFERROR(VLOOKUP(TAB_Code[[#This Row],[납면위험률코드]], Remark!$A$5:$B$101, 2, FALSE), "")</f>
        <v/>
      </c>
      <c r="W30" s="10"/>
    </row>
    <row r="31" spans="2:23">
      <c r="B31" s="8" t="s">
        <v>440</v>
      </c>
      <c r="C31" s="22" t="str">
        <f>VLOOKUP(TAB_Code[[#This Row],[담보코드]],TAB_INFO_COV, 2, FALSE)</f>
        <v>정기보험산출용</v>
      </c>
      <c r="D31" s="9"/>
      <c r="E31" s="9"/>
      <c r="F31" s="9">
        <v>0</v>
      </c>
      <c r="G31" s="9"/>
      <c r="H31" s="9"/>
      <c r="I31" s="9"/>
      <c r="J31" s="9"/>
      <c r="K31" s="22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LBQPR000000</v>
      </c>
      <c r="L31" s="9">
        <v>0</v>
      </c>
      <c r="M31" s="9" t="s">
        <v>436</v>
      </c>
      <c r="N31" s="22" t="str">
        <f>IFERROR(VLOOKUP(TAB_Code[[#This Row],[탈퇴위험률코드]], Remark!$A$5:$B$101, 2, FALSE), "")</f>
        <v>정기보험</v>
      </c>
      <c r="O31" s="9"/>
      <c r="P31" s="9"/>
      <c r="Q31" s="22" t="str">
        <f>IFERROR(VLOOKUP(TAB_Code[[#This Row],[급부위험률코드]], Remark!$A$5:$B$101, 2, FALSE), "")</f>
        <v/>
      </c>
      <c r="R31" s="9"/>
      <c r="S31" s="9"/>
      <c r="T31" s="9"/>
      <c r="U31" s="9"/>
      <c r="V31" s="22" t="str">
        <f>IFERROR(VLOOKUP(TAB_Code[[#This Row],[납면위험률코드]], Remark!$A$5:$B$101, 2, FALSE), "")</f>
        <v/>
      </c>
      <c r="W31" s="10"/>
    </row>
    <row r="32" spans="2:23">
      <c r="B32" s="5" t="s">
        <v>440</v>
      </c>
      <c r="C32" s="35" t="str">
        <f>VLOOKUP(TAB_Code[[#This Row],[담보코드]],TAB_INFO_COV, 2, FALSE)</f>
        <v>정기보험산출용</v>
      </c>
      <c r="D32" s="6"/>
      <c r="E32" s="6"/>
      <c r="F32" s="6">
        <v>0</v>
      </c>
      <c r="G32" s="6"/>
      <c r="H32" s="6"/>
      <c r="I32" s="6"/>
      <c r="J32" s="6"/>
      <c r="K32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LBQPR000000</v>
      </c>
      <c r="L32" s="6">
        <v>1</v>
      </c>
      <c r="M32" s="9" t="s">
        <v>436</v>
      </c>
      <c r="N32" s="35" t="str">
        <f>IFERROR(VLOOKUP(TAB_Code[[#This Row],[탈퇴위험률코드]], Remark!$A$5:$B$101, 2, FALSE), "")</f>
        <v>정기보험</v>
      </c>
      <c r="O32" s="6"/>
      <c r="P32" s="6" t="s">
        <v>436</v>
      </c>
      <c r="Q32" s="35" t="str">
        <f>IFERROR(VLOOKUP(TAB_Code[[#This Row],[급부위험률코드]], Remark!$A$5:$B$101, 2, FALSE), "")</f>
        <v>정기보험</v>
      </c>
      <c r="R32" s="6">
        <v>1</v>
      </c>
      <c r="S32" s="6"/>
      <c r="T32" s="6"/>
      <c r="U32" s="6"/>
      <c r="V32" s="35" t="str">
        <f>IFERROR(VLOOKUP(TAB_Code[[#This Row],[납면위험률코드]], Remark!$A$5:$B$101, 2, FALSE), "")</f>
        <v/>
      </c>
      <c r="W32" s="7"/>
    </row>
    <row r="33" spans="2:23">
      <c r="B33" s="5" t="s">
        <v>440</v>
      </c>
      <c r="C33" s="35" t="str">
        <f>VLOOKUP(TAB_Code[[#This Row],[담보코드]],TAB_INFO_COV, 2, FALSE)</f>
        <v>정기보험산출용</v>
      </c>
      <c r="D33" s="6"/>
      <c r="E33" s="6"/>
      <c r="F33" s="6">
        <v>0</v>
      </c>
      <c r="G33" s="6"/>
      <c r="H33" s="6"/>
      <c r="I33" s="6"/>
      <c r="J33" s="6"/>
      <c r="K33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LBQPR000000</v>
      </c>
      <c r="L33" s="6">
        <v>99</v>
      </c>
      <c r="M33" s="6"/>
      <c r="N33" s="35" t="str">
        <f>IFERROR(VLOOKUP(TAB_Code[[#This Row],[탈퇴위험률코드]], Remark!$A$5:$B$101, 2, FALSE), "")</f>
        <v/>
      </c>
      <c r="O33" s="6"/>
      <c r="P33" s="6"/>
      <c r="Q33" s="35" t="str">
        <f>IFERROR(VLOOKUP(TAB_Code[[#This Row],[급부위험률코드]], Remark!$A$5:$B$101, 2, FALSE), "")</f>
        <v/>
      </c>
      <c r="R33" s="6"/>
      <c r="S33" s="6"/>
      <c r="T33" s="6"/>
      <c r="U33" s="6" t="s">
        <v>436</v>
      </c>
      <c r="V33" s="35" t="str">
        <f>IFERROR(VLOOKUP(TAB_Code[[#This Row],[납면위험률코드]], Remark!$A$5:$B$101, 2, FALSE), "")</f>
        <v>정기보험</v>
      </c>
      <c r="W33" s="7"/>
    </row>
  </sheetData>
  <phoneticPr fontId="1" type="noConversion"/>
  <pageMargins left="0.7" right="0.7" top="0.75" bottom="0.75" header="0.3" footer="0.3"/>
  <pageSetup paperSize="9" scale="31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_CovTest">
                <anchor moveWithCells="1" sizeWithCells="1">
                  <from>
                    <xdr:col>10</xdr:col>
                    <xdr:colOff>53340</xdr:colOff>
                    <xdr:row>1</xdr:row>
                    <xdr:rowOff>129540</xdr:rowOff>
                  </from>
                  <to>
                    <xdr:col>10</xdr:col>
                    <xdr:colOff>1181100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84463-416D-4F4A-954A-6E08DD3EC669}">
  <sheetPr codeName="Sheet3">
    <pageSetUpPr fitToPage="1"/>
  </sheetPr>
  <dimension ref="B1:AE8"/>
  <sheetViews>
    <sheetView showGridLines="0" view="pageBreakPreview" zoomScale="60" zoomScaleNormal="100" workbookViewId="0">
      <pane xSplit="1" ySplit="6" topLeftCell="B7" activePane="bottomRight" state="frozen"/>
      <selection pane="topRight" activeCell="K1" sqref="K1"/>
      <selection pane="bottomLeft" activeCell="A7" sqref="A7"/>
      <selection pane="bottomRight" activeCell="E21" sqref="E21"/>
    </sheetView>
  </sheetViews>
  <sheetFormatPr defaultRowHeight="17.399999999999999"/>
  <cols>
    <col min="1" max="1" width="1.796875" customWidth="1"/>
    <col min="2" max="2" width="15.19921875" customWidth="1"/>
    <col min="3" max="3" width="26.09765625" bestFit="1" customWidth="1"/>
    <col min="4" max="4" width="23.296875" bestFit="1" customWidth="1"/>
    <col min="5" max="6" width="14.3984375" customWidth="1"/>
    <col min="7" max="7" width="11.5" customWidth="1"/>
    <col min="8" max="8" width="18.59765625" bestFit="1" customWidth="1"/>
    <col min="10" max="10" width="11.5" customWidth="1"/>
    <col min="11" max="11" width="11.296875" customWidth="1"/>
    <col min="13" max="13" width="13.3984375" bestFit="1" customWidth="1"/>
    <col min="14" max="14" width="21.796875" bestFit="1" customWidth="1"/>
    <col min="16" max="16" width="11.5" customWidth="1"/>
    <col min="17" max="17" width="11.296875" customWidth="1"/>
    <col min="19" max="19" width="11.5" hidden="1" customWidth="1"/>
    <col min="20" max="20" width="11.296875" hidden="1" customWidth="1"/>
    <col min="21" max="21" width="0" hidden="1" customWidth="1"/>
    <col min="22" max="22" width="11.5" hidden="1" customWidth="1"/>
    <col min="23" max="23" width="11.296875" hidden="1" customWidth="1"/>
    <col min="24" max="24" width="0" hidden="1" customWidth="1"/>
    <col min="25" max="25" width="11.5" hidden="1" customWidth="1"/>
    <col min="26" max="26" width="11.296875" hidden="1" customWidth="1"/>
    <col min="27" max="27" width="0" hidden="1" customWidth="1"/>
    <col min="28" max="28" width="11.5" hidden="1" customWidth="1"/>
    <col min="29" max="29" width="11.296875" hidden="1" customWidth="1"/>
    <col min="30" max="30" width="0" hidden="1" customWidth="1"/>
  </cols>
  <sheetData>
    <row r="1" spans="2:31" s="2" customFormat="1">
      <c r="B1" s="2">
        <v>1</v>
      </c>
      <c r="C1" s="2">
        <f>B1+1</f>
        <v>2</v>
      </c>
      <c r="D1" s="2">
        <f t="shared" ref="D1:AE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</row>
    <row r="2" spans="2:31" s="2" customFormat="1"/>
    <row r="3" spans="2:31" s="2" customFormat="1">
      <c r="B3" s="15" t="s">
        <v>173</v>
      </c>
      <c r="C3" s="15"/>
      <c r="D3" s="15"/>
    </row>
    <row r="4" spans="2:31" s="2" customFormat="1"/>
    <row r="5" spans="2:31" ht="34.799999999999997">
      <c r="F5" s="12" t="s">
        <v>161</v>
      </c>
    </row>
    <row r="6" spans="2:31">
      <c r="B6" s="62" t="s">
        <v>130</v>
      </c>
      <c r="C6" s="82" t="s">
        <v>448</v>
      </c>
      <c r="D6" s="64" t="s">
        <v>449</v>
      </c>
      <c r="E6" s="11" t="s">
        <v>160</v>
      </c>
      <c r="F6" s="63" t="s">
        <v>159</v>
      </c>
      <c r="G6" s="64" t="s">
        <v>217</v>
      </c>
      <c r="H6" s="64" t="s">
        <v>216</v>
      </c>
      <c r="I6" s="64" t="s">
        <v>157</v>
      </c>
      <c r="J6" s="65" t="s">
        <v>218</v>
      </c>
      <c r="K6" s="65" t="s">
        <v>219</v>
      </c>
      <c r="L6" s="65" t="s">
        <v>158</v>
      </c>
      <c r="M6" s="63" t="s">
        <v>220</v>
      </c>
      <c r="N6" s="63" t="s">
        <v>221</v>
      </c>
      <c r="O6" s="63" t="s">
        <v>222</v>
      </c>
      <c r="P6" s="66" t="s">
        <v>223</v>
      </c>
      <c r="Q6" s="66" t="s">
        <v>224</v>
      </c>
      <c r="R6" s="66" t="s">
        <v>225</v>
      </c>
      <c r="S6" s="11" t="s">
        <v>226</v>
      </c>
      <c r="T6" s="11" t="s">
        <v>227</v>
      </c>
      <c r="U6" s="11" t="s">
        <v>228</v>
      </c>
      <c r="V6" s="11" t="s">
        <v>229</v>
      </c>
      <c r="W6" s="11" t="s">
        <v>230</v>
      </c>
      <c r="X6" s="11" t="s">
        <v>231</v>
      </c>
      <c r="Y6" s="11" t="s">
        <v>232</v>
      </c>
      <c r="Z6" s="11" t="s">
        <v>233</v>
      </c>
      <c r="AA6" s="11" t="s">
        <v>234</v>
      </c>
      <c r="AB6" s="11" t="s">
        <v>235</v>
      </c>
      <c r="AC6" s="11" t="s">
        <v>236</v>
      </c>
      <c r="AD6" s="11" t="s">
        <v>237</v>
      </c>
    </row>
    <row r="7" spans="2:31">
      <c r="B7" s="6" t="s">
        <v>273</v>
      </c>
      <c r="C7" s="6" t="str">
        <f>VLOOKUP(TAB_Comb[[#This Row],[담보코드]], TAB_INFO_COV, 2, FALSE)</f>
        <v>응급실내원비(갱신형_5년)</v>
      </c>
      <c r="D7" s="6" t="s">
        <v>215</v>
      </c>
      <c r="E7" s="6">
        <f>COUNTA(TAB_Comb[[#This Row],[Qx(1)]],TAB_Comb[[#This Row],[Qx(2)]],TAB_Comb[[#This Row],[Qx(3)]],TAB_Comb[[#This Row],[Qx(4)]],TAB_Comb[[#This Row],[Qx(5)]],TAB_Comb[[#This Row],[Qx(6)]],TAB_Comb[[#This Row],[Qx(7)]],TAB_Comb[[#This Row],[Qx(8)]])</f>
        <v>2</v>
      </c>
      <c r="F7" s="6">
        <v>1</v>
      </c>
      <c r="G7" s="6" t="s">
        <v>338</v>
      </c>
      <c r="H7" s="6" t="str">
        <f>IFERROR(VLOOKUP(TAB_Comb[[#This Row],[Qx(1)]], TAB_INFO_Qx, 2, FALSE), "")</f>
        <v>응급실내원비(응급)</v>
      </c>
      <c r="I7" s="6"/>
      <c r="J7" s="6" t="s">
        <v>339</v>
      </c>
      <c r="K7" s="6" t="str">
        <f>IFERROR(VLOOKUP(TAB_Comb[[#This Row],[Qx(2)]], TAB_INFO_Qx, 2, FALSE), "")</f>
        <v>응급실내원비(비응급)</v>
      </c>
      <c r="L7" s="6">
        <v>3</v>
      </c>
      <c r="M7" s="6"/>
      <c r="N7" s="6" t="str">
        <f>IFERROR(VLOOKUP(TAB_Comb[[#This Row],[Qx(3)]], TAB_INFO_Qx, 2, FALSE), "")</f>
        <v/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7"/>
    </row>
    <row r="8" spans="2:31">
      <c r="B8" s="6" t="s">
        <v>270</v>
      </c>
      <c r="C8" s="6" t="str">
        <f>VLOOKUP(TAB_Comb[[#This Row],[담보코드]], TAB_INFO_COV, 2, FALSE)</f>
        <v>3대질병진단비(갱신형_5년)</v>
      </c>
      <c r="D8" s="6" t="s">
        <v>238</v>
      </c>
      <c r="E8" s="35">
        <f>COUNTA(TAB_Comb[[#This Row],[Qx(1)]],TAB_Comb[[#This Row],[Qx(2)]],TAB_Comb[[#This Row],[Qx(3)]],TAB_Comb[[#This Row],[Qx(4)]],TAB_Comb[[#This Row],[Qx(5)]],TAB_Comb[[#This Row],[Qx(6)]],TAB_Comb[[#This Row],[Qx(7)]],TAB_Comb[[#This Row],[Qx(8)]])</f>
        <v>3</v>
      </c>
      <c r="F8" s="6">
        <v>2</v>
      </c>
      <c r="G8" s="6" t="s">
        <v>282</v>
      </c>
      <c r="H8" s="6" t="str">
        <f>IFERROR(VLOOKUP(TAB_Comb[[#This Row],[Qx(1)]], TAB_INFO_Qx, 2, FALSE), "")</f>
        <v>일반암진단비</v>
      </c>
      <c r="I8" s="6">
        <v>3</v>
      </c>
      <c r="J8" s="6" t="s">
        <v>279</v>
      </c>
      <c r="K8" s="6" t="str">
        <f>IFERROR(VLOOKUP(TAB_Comb[[#This Row],[Qx(2)]], TAB_INFO_Qx, 2, FALSE), "")</f>
        <v>뇌졸중진단비</v>
      </c>
      <c r="L8" s="6"/>
      <c r="M8" s="6" t="s">
        <v>280</v>
      </c>
      <c r="N8" s="6" t="str">
        <f>IFERROR(VLOOKUP(TAB_Comb[[#This Row],[Qx(3)]], TAB_INFO_Qx, 2, FALSE), "")</f>
        <v>급성심근경색증진단비</v>
      </c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7"/>
    </row>
  </sheetData>
  <phoneticPr fontId="1" type="noConversion"/>
  <pageMargins left="0.7" right="0.7" top="0.75" bottom="0.75" header="0.3" footer="0.3"/>
  <pageSetup paperSize="9" scale="32" orientation="portrait" horizontalDpi="4294967292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8DE1D-5206-46E6-96F0-CD9E26B4CEAB}">
  <sheetPr codeName="Sheet4">
    <pageSetUpPr fitToPage="1"/>
  </sheetPr>
  <dimension ref="B1:AF41"/>
  <sheetViews>
    <sheetView showGridLines="0" view="pageBreakPreview" zoomScale="115" zoomScaleNormal="100" zoomScaleSheetLayoutView="115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J40" sqref="J40"/>
    </sheetView>
  </sheetViews>
  <sheetFormatPr defaultRowHeight="17.399999999999999"/>
  <cols>
    <col min="1" max="1" width="2" customWidth="1"/>
    <col min="2" max="2" width="9.796875" customWidth="1"/>
    <col min="3" max="3" width="14.5" customWidth="1"/>
    <col min="4" max="5" width="0" hidden="1" customWidth="1"/>
    <col min="6" max="6" width="8.796875" customWidth="1"/>
    <col min="7" max="9" width="8.796875" hidden="1" customWidth="1"/>
    <col min="10" max="10" width="16" bestFit="1" customWidth="1"/>
    <col min="11" max="12" width="9.796875" customWidth="1"/>
    <col min="22" max="22" width="41.09765625" bestFit="1" customWidth="1"/>
  </cols>
  <sheetData>
    <row r="1" spans="2:32">
      <c r="B1" s="2">
        <v>1</v>
      </c>
      <c r="C1" s="2">
        <f>B1+1</f>
        <v>2</v>
      </c>
      <c r="D1" s="2">
        <f t="shared" ref="D1:T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ref="K1" si="1">J1+1</f>
        <v>10</v>
      </c>
      <c r="L1" s="2">
        <f t="shared" ref="L1" si="2">K1+1</f>
        <v>11</v>
      </c>
      <c r="M1" s="2">
        <f t="shared" ref="M1" si="3">L1+1</f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</row>
    <row r="3" spans="2:32">
      <c r="B3" s="4" t="s">
        <v>172</v>
      </c>
    </row>
    <row r="5" spans="2:32">
      <c r="K5" s="2"/>
      <c r="L5" s="2"/>
      <c r="M5" s="2"/>
      <c r="N5" s="2"/>
      <c r="O5" s="2" t="s">
        <v>431</v>
      </c>
      <c r="P5" s="2"/>
      <c r="Q5" s="2"/>
      <c r="R5" s="2"/>
      <c r="S5" s="2"/>
      <c r="T5" s="2"/>
      <c r="U5" s="2"/>
    </row>
    <row r="6" spans="2:32">
      <c r="B6" s="40" t="s">
        <v>163</v>
      </c>
      <c r="C6" s="41" t="s">
        <v>164</v>
      </c>
      <c r="D6" s="41" t="s">
        <v>165</v>
      </c>
      <c r="E6" s="41" t="s">
        <v>166</v>
      </c>
      <c r="F6" s="41" t="s">
        <v>185</v>
      </c>
      <c r="G6" s="41" t="s">
        <v>186</v>
      </c>
      <c r="H6" s="41" t="s">
        <v>167</v>
      </c>
      <c r="I6" s="41" t="s">
        <v>168</v>
      </c>
      <c r="J6" s="42" t="s">
        <v>169</v>
      </c>
      <c r="K6" s="43" t="s">
        <v>162</v>
      </c>
      <c r="L6" s="48" t="s">
        <v>205</v>
      </c>
      <c r="M6" s="44" t="s">
        <v>209</v>
      </c>
      <c r="N6" s="44" t="s">
        <v>210</v>
      </c>
      <c r="O6" s="44" t="s">
        <v>211</v>
      </c>
      <c r="P6" s="45" t="s">
        <v>212</v>
      </c>
      <c r="Q6" s="45" t="s">
        <v>213</v>
      </c>
      <c r="R6" s="45" t="s">
        <v>214</v>
      </c>
      <c r="S6" s="46" t="s">
        <v>170</v>
      </c>
      <c r="T6" s="47" t="s">
        <v>171</v>
      </c>
      <c r="V6" t="s">
        <v>126</v>
      </c>
      <c r="W6" t="s">
        <v>357</v>
      </c>
      <c r="X6" t="s">
        <v>358</v>
      </c>
      <c r="Y6" t="s">
        <v>359</v>
      </c>
      <c r="Z6" t="s">
        <v>360</v>
      </c>
      <c r="AA6" t="s">
        <v>361</v>
      </c>
      <c r="AB6" t="s">
        <v>362</v>
      </c>
      <c r="AC6" t="s">
        <v>363</v>
      </c>
      <c r="AD6" t="s">
        <v>364</v>
      </c>
      <c r="AE6" t="s">
        <v>365</v>
      </c>
      <c r="AF6" t="s">
        <v>366</v>
      </c>
    </row>
    <row r="7" spans="2:32">
      <c r="B7" s="5" t="s">
        <v>266</v>
      </c>
      <c r="C7" s="6" t="str">
        <f>VLOOKUP(TAB_Expense[[#This Row],[담보코드]], TAB_INFO_COV, 2, FALSE)</f>
        <v>질병후유장해(80%미만)(감액없음)(갱신형_5년)</v>
      </c>
      <c r="D7" s="6"/>
      <c r="E7" s="6"/>
      <c r="F7" s="6">
        <v>2</v>
      </c>
      <c r="G7" s="6"/>
      <c r="H7" s="6"/>
      <c r="I7" s="6"/>
      <c r="J7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7" s="6">
        <f>VLOOKUP(TAB_Expense[[#This Row],[담보코드]], TAB_INFO_COV, 3, FALSE)</f>
        <v>1000000</v>
      </c>
      <c r="L7" s="6">
        <v>1</v>
      </c>
      <c r="M7" s="6" cm="1">
        <f t="array" ref="M7">INDEX($W$7:$AF$13, MATCH(TAB_Expense[[#This Row],[담보명]],$V$7:$V$13, 0), TAB_Expense[[#This Row],[보험기간]])</f>
        <v>4.2999999999999997E-2</v>
      </c>
      <c r="N7" s="6"/>
      <c r="O7" s="6">
        <f>INDEX($W$7:$AF$13, MATCH(TAB_Expense[[#This Row],[담보명]],$V$7:$V$13, 0), 6)</f>
        <v>0.32</v>
      </c>
      <c r="P7" s="6">
        <f>INDEX($W$7:$AF$13, MATCH(TAB_Expense[[#This Row],[담보명]],$V$7:$V$13, 0), 7)</f>
        <v>0.12039999999999999</v>
      </c>
      <c r="Q7" s="6"/>
      <c r="R7" s="6"/>
      <c r="S7" s="6">
        <f>INDEX($W$7:$AF$13, MATCH(TAB_Expense[[#This Row],[담보명]],$V$7:$V$13, 0), 9)</f>
        <v>2.5000000000000001E-2</v>
      </c>
      <c r="T7" s="7">
        <f>INDEX($W$7:$AF$13, MATCH(TAB_Expense[[#This Row],[담보명]],$V$7:$V$13, 0), 10)</f>
        <v>1.9599999999999999E-2</v>
      </c>
      <c r="V7" t="s">
        <v>315</v>
      </c>
      <c r="W7">
        <v>4.2999999999999997E-2</v>
      </c>
      <c r="X7">
        <v>8.3000000000000004E-2</v>
      </c>
      <c r="Y7">
        <v>0.122</v>
      </c>
      <c r="Z7">
        <v>0.161</v>
      </c>
      <c r="AA7">
        <v>0.2</v>
      </c>
      <c r="AB7">
        <v>0.32</v>
      </c>
      <c r="AC7">
        <v>0.12039999999999999</v>
      </c>
      <c r="AD7">
        <v>0</v>
      </c>
      <c r="AE7">
        <v>2.5000000000000001E-2</v>
      </c>
      <c r="AF7">
        <v>1.9599999999999999E-2</v>
      </c>
    </row>
    <row r="8" spans="2:32">
      <c r="B8" s="5" t="s">
        <v>266</v>
      </c>
      <c r="C8" s="6" t="str">
        <f>VLOOKUP(TAB_Expense[[#This Row],[담보코드]], TAB_INFO_COV, 2, FALSE)</f>
        <v>질병후유장해(80%미만)(감액없음)(갱신형_5년)</v>
      </c>
      <c r="D8" s="6"/>
      <c r="E8" s="6"/>
      <c r="F8" s="6">
        <v>2</v>
      </c>
      <c r="G8" s="6"/>
      <c r="H8" s="6"/>
      <c r="I8" s="6"/>
      <c r="J8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8" s="6">
        <f>VLOOKUP(TAB_Expense[[#This Row],[담보코드]], TAB_INFO_COV, 3, FALSE)</f>
        <v>1000000</v>
      </c>
      <c r="L8" s="6">
        <v>2</v>
      </c>
      <c r="M8" s="6" cm="1">
        <f t="array" ref="M8">INDEX($W$7:$AF$13, MATCH(TAB_Expense[[#This Row],[담보명]],$V$7:$V$13, 0), TAB_Expense[[#This Row],[보험기간]])</f>
        <v>8.3000000000000004E-2</v>
      </c>
      <c r="N8" s="6"/>
      <c r="O8" s="6">
        <f>INDEX($W$7:$AF$13, MATCH(TAB_Expense[[#This Row],[담보명]],$V$7:$V$13, 0), 6)</f>
        <v>0.32</v>
      </c>
      <c r="P8" s="6">
        <f>INDEX($W$7:$AF$13, MATCH(TAB_Expense[[#This Row],[담보명]],$V$7:$V$13, 0), 7)</f>
        <v>0.12039999999999999</v>
      </c>
      <c r="Q8" s="6"/>
      <c r="R8" s="6"/>
      <c r="S8" s="6">
        <f>INDEX($W$7:$AF$13, MATCH(TAB_Expense[[#This Row],[담보명]],$V$7:$V$13, 0), 9)</f>
        <v>2.5000000000000001E-2</v>
      </c>
      <c r="T8" s="7">
        <f>INDEX($W$7:$AF$13, MATCH(TAB_Expense[[#This Row],[담보명]],$V$7:$V$13, 0), 10)</f>
        <v>1.9599999999999999E-2</v>
      </c>
      <c r="V8" t="s">
        <v>317</v>
      </c>
      <c r="W8">
        <v>0.22500000000000001</v>
      </c>
      <c r="X8">
        <v>0.29799999999999999</v>
      </c>
      <c r="Y8">
        <v>0.34300000000000003</v>
      </c>
      <c r="Z8">
        <v>0.34300000000000003</v>
      </c>
      <c r="AA8">
        <v>0.34300000000000003</v>
      </c>
      <c r="AB8">
        <v>1.44</v>
      </c>
      <c r="AC8">
        <v>0.12039999999999999</v>
      </c>
      <c r="AD8">
        <v>0</v>
      </c>
      <c r="AE8">
        <v>2.5000000000000001E-2</v>
      </c>
      <c r="AF8">
        <v>1.9599999999999999E-2</v>
      </c>
    </row>
    <row r="9" spans="2:32">
      <c r="B9" s="5" t="s">
        <v>266</v>
      </c>
      <c r="C9" s="6" t="str">
        <f>VLOOKUP(TAB_Expense[[#This Row],[담보코드]], TAB_INFO_COV, 2, FALSE)</f>
        <v>질병후유장해(80%미만)(감액없음)(갱신형_5년)</v>
      </c>
      <c r="D9" s="6"/>
      <c r="E9" s="6"/>
      <c r="F9" s="6">
        <v>2</v>
      </c>
      <c r="G9" s="6"/>
      <c r="H9" s="6"/>
      <c r="I9" s="6"/>
      <c r="J9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9" s="6">
        <f>VLOOKUP(TAB_Expense[[#This Row],[담보코드]], TAB_INFO_COV, 3, FALSE)</f>
        <v>1000000</v>
      </c>
      <c r="L9" s="6">
        <v>3</v>
      </c>
      <c r="M9" s="6" cm="1">
        <f t="array" ref="M9">INDEX($W$7:$AF$13, MATCH(TAB_Expense[[#This Row],[담보명]],$V$7:$V$13, 0), TAB_Expense[[#This Row],[보험기간]])</f>
        <v>0.122</v>
      </c>
      <c r="N9" s="6"/>
      <c r="O9" s="6">
        <f>INDEX($W$7:$AF$13, MATCH(TAB_Expense[[#This Row],[담보명]],$V$7:$V$13, 0), 6)</f>
        <v>0.32</v>
      </c>
      <c r="P9" s="6">
        <f>INDEX($W$7:$AF$13, MATCH(TAB_Expense[[#This Row],[담보명]],$V$7:$V$13, 0), 7)</f>
        <v>0.12039999999999999</v>
      </c>
      <c r="Q9" s="6"/>
      <c r="R9" s="6"/>
      <c r="S9" s="6">
        <f>INDEX($W$7:$AF$13, MATCH(TAB_Expense[[#This Row],[담보명]],$V$7:$V$13, 0), 9)</f>
        <v>2.5000000000000001E-2</v>
      </c>
      <c r="T9" s="7">
        <f>INDEX($W$7:$AF$13, MATCH(TAB_Expense[[#This Row],[담보명]],$V$7:$V$13, 0), 10)</f>
        <v>1.9599999999999999E-2</v>
      </c>
      <c r="V9" t="s">
        <v>319</v>
      </c>
      <c r="W9">
        <v>0.28299999999999997</v>
      </c>
      <c r="X9">
        <v>0.36599999999999999</v>
      </c>
      <c r="Y9">
        <v>0.40500000000000003</v>
      </c>
      <c r="Z9">
        <v>0.40500000000000003</v>
      </c>
      <c r="AA9">
        <v>0.40500000000000003</v>
      </c>
      <c r="AB9">
        <v>4.43</v>
      </c>
      <c r="AC9">
        <v>0.12039999999999999</v>
      </c>
      <c r="AD9">
        <v>0</v>
      </c>
      <c r="AE9">
        <v>2.5000000000000001E-2</v>
      </c>
      <c r="AF9">
        <v>1.9599999999999999E-2</v>
      </c>
    </row>
    <row r="10" spans="2:32">
      <c r="B10" s="5" t="s">
        <v>266</v>
      </c>
      <c r="C10" s="6" t="str">
        <f>VLOOKUP(TAB_Expense[[#This Row],[담보코드]], TAB_INFO_COV, 2, FALSE)</f>
        <v>질병후유장해(80%미만)(감액없음)(갱신형_5년)</v>
      </c>
      <c r="D10" s="6"/>
      <c r="E10" s="6"/>
      <c r="F10" s="6">
        <v>2</v>
      </c>
      <c r="G10" s="6"/>
      <c r="H10" s="6"/>
      <c r="I10" s="6"/>
      <c r="J10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10" s="6">
        <f>VLOOKUP(TAB_Expense[[#This Row],[담보코드]], TAB_INFO_COV, 3, FALSE)</f>
        <v>1000000</v>
      </c>
      <c r="L10" s="6">
        <v>4</v>
      </c>
      <c r="M10" s="6" cm="1">
        <f t="array" ref="M10">INDEX($W$7:$AF$13, MATCH(TAB_Expense[[#This Row],[담보명]],$V$7:$V$13, 0), TAB_Expense[[#This Row],[보험기간]])</f>
        <v>0.161</v>
      </c>
      <c r="N10" s="6"/>
      <c r="O10" s="6">
        <f>INDEX($W$7:$AF$13, MATCH(TAB_Expense[[#This Row],[담보명]],$V$7:$V$13, 0), 6)</f>
        <v>0.32</v>
      </c>
      <c r="P10" s="6">
        <f>INDEX($W$7:$AF$13, MATCH(TAB_Expense[[#This Row],[담보명]],$V$7:$V$13, 0), 7)</f>
        <v>0.12039999999999999</v>
      </c>
      <c r="Q10" s="6"/>
      <c r="R10" s="6"/>
      <c r="S10" s="6">
        <f>INDEX($W$7:$AF$13, MATCH(TAB_Expense[[#This Row],[담보명]],$V$7:$V$13, 0), 9)</f>
        <v>2.5000000000000001E-2</v>
      </c>
      <c r="T10" s="7">
        <f>INDEX($W$7:$AF$13, MATCH(TAB_Expense[[#This Row],[담보명]],$V$7:$V$13, 0), 10)</f>
        <v>1.9599999999999999E-2</v>
      </c>
      <c r="V10" t="s">
        <v>322</v>
      </c>
      <c r="W10">
        <v>0.51</v>
      </c>
      <c r="X10">
        <v>0.60699999999999998</v>
      </c>
      <c r="Y10">
        <v>0.94499999999999995</v>
      </c>
      <c r="Z10">
        <v>0.94499999999999995</v>
      </c>
      <c r="AA10">
        <v>0.94499999999999995</v>
      </c>
      <c r="AB10">
        <v>0.01</v>
      </c>
      <c r="AC10">
        <v>0.12039999999999999</v>
      </c>
      <c r="AD10">
        <v>0</v>
      </c>
      <c r="AE10">
        <v>2.5000000000000001E-2</v>
      </c>
      <c r="AF10">
        <v>1.9599999999999999E-2</v>
      </c>
    </row>
    <row r="11" spans="2:32">
      <c r="B11" s="5" t="s">
        <v>266</v>
      </c>
      <c r="C11" s="6" t="str">
        <f>VLOOKUP(TAB_Expense[[#This Row],[담보코드]], TAB_INFO_COV, 2, FALSE)</f>
        <v>질병후유장해(80%미만)(감액없음)(갱신형_5년)</v>
      </c>
      <c r="D11" s="6"/>
      <c r="E11" s="6"/>
      <c r="F11" s="6">
        <v>2</v>
      </c>
      <c r="G11" s="6"/>
      <c r="H11" s="6"/>
      <c r="I11" s="6"/>
      <c r="J11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11" s="6">
        <f>VLOOKUP(TAB_Expense[[#This Row],[담보코드]], TAB_INFO_COV, 3, FALSE)</f>
        <v>1000000</v>
      </c>
      <c r="L11" s="6">
        <v>5</v>
      </c>
      <c r="M11" s="6" cm="1">
        <f t="array" ref="M11">INDEX($W$7:$AF$13, MATCH(TAB_Expense[[#This Row],[담보명]],$V$7:$V$13, 0), TAB_Expense[[#This Row],[보험기간]])</f>
        <v>0.2</v>
      </c>
      <c r="N11" s="6"/>
      <c r="O11" s="6">
        <f>INDEX($W$7:$AF$13, MATCH(TAB_Expense[[#This Row],[담보명]],$V$7:$V$13, 0), 6)</f>
        <v>0.32</v>
      </c>
      <c r="P11" s="6">
        <f>INDEX($W$7:$AF$13, MATCH(TAB_Expense[[#This Row],[담보명]],$V$7:$V$13, 0), 7)</f>
        <v>0.12039999999999999</v>
      </c>
      <c r="Q11" s="6"/>
      <c r="R11" s="6"/>
      <c r="S11" s="6">
        <f>INDEX($W$7:$AF$13, MATCH(TAB_Expense[[#This Row],[담보명]],$V$7:$V$13, 0), 9)</f>
        <v>2.5000000000000001E-2</v>
      </c>
      <c r="T11" s="7">
        <f>INDEX($W$7:$AF$13, MATCH(TAB_Expense[[#This Row],[담보명]],$V$7:$V$13, 0), 10)</f>
        <v>1.9599999999999999E-2</v>
      </c>
      <c r="V11" t="s">
        <v>325</v>
      </c>
      <c r="W11">
        <v>0.27400000000000002</v>
      </c>
      <c r="X11">
        <v>0.32200000000000001</v>
      </c>
      <c r="Y11">
        <v>0.32200000000000001</v>
      </c>
      <c r="Z11">
        <v>0.32200000000000001</v>
      </c>
      <c r="AA11">
        <v>0.32200000000000001</v>
      </c>
      <c r="AB11">
        <v>0</v>
      </c>
      <c r="AC11">
        <v>0.12039999999999999</v>
      </c>
      <c r="AD11">
        <v>0</v>
      </c>
      <c r="AE11">
        <v>2.5000000000000001E-2</v>
      </c>
      <c r="AF11">
        <v>1.9599999999999999E-2</v>
      </c>
    </row>
    <row r="12" spans="2:32">
      <c r="B12" s="5" t="s">
        <v>268</v>
      </c>
      <c r="C12" s="6" t="str">
        <f>VLOOKUP(TAB_Expense[[#This Row],[담보코드]], TAB_INFO_COV, 2, FALSE)</f>
        <v>뇌졸중진단비(갱신형_5년)</v>
      </c>
      <c r="D12" s="6"/>
      <c r="E12" s="6"/>
      <c r="F12" s="6">
        <v>2</v>
      </c>
      <c r="G12" s="6"/>
      <c r="H12" s="6"/>
      <c r="I12" s="6"/>
      <c r="J12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2" s="6">
        <f>VLOOKUP(TAB_Expense[[#This Row],[담보코드]], TAB_INFO_COV, 3, FALSE)</f>
        <v>1000000</v>
      </c>
      <c r="L12" s="6">
        <v>1</v>
      </c>
      <c r="M12" s="6" cm="1">
        <f t="array" ref="M12">INDEX($W$7:$AF$13, MATCH(TAB_Expense[[#This Row],[담보명]],$V$7:$V$13, 0), TAB_Expense[[#This Row],[보험기간]])</f>
        <v>0.22500000000000001</v>
      </c>
      <c r="N12" s="6"/>
      <c r="O12" s="6">
        <f>INDEX($W$7:$AF$13, MATCH(TAB_Expense[[#This Row],[담보명]],$V$7:$V$13, 0), 6)</f>
        <v>1.44</v>
      </c>
      <c r="P12" s="6">
        <f>INDEX($W$7:$AF$13, MATCH(TAB_Expense[[#This Row],[담보명]],$V$7:$V$13, 0), 7)</f>
        <v>0.12039999999999999</v>
      </c>
      <c r="Q12" s="6"/>
      <c r="R12" s="6"/>
      <c r="S12" s="6">
        <f>INDEX($W$7:$AF$13, MATCH(TAB_Expense[[#This Row],[담보명]],$V$7:$V$13, 0), 9)</f>
        <v>2.5000000000000001E-2</v>
      </c>
      <c r="T12" s="7">
        <f>INDEX($W$7:$AF$13, MATCH(TAB_Expense[[#This Row],[담보명]],$V$7:$V$13, 0), 10)</f>
        <v>1.9599999999999999E-2</v>
      </c>
      <c r="V12" t="s">
        <v>326</v>
      </c>
      <c r="W12">
        <v>0.27300000000000002</v>
      </c>
      <c r="X12">
        <v>0.36499999999999999</v>
      </c>
      <c r="Y12">
        <v>0.42</v>
      </c>
      <c r="Z12">
        <v>0.42</v>
      </c>
      <c r="AA12">
        <v>0.42</v>
      </c>
      <c r="AB12">
        <v>2.4300000000000002</v>
      </c>
      <c r="AC12">
        <v>0.12039999999999999</v>
      </c>
      <c r="AD12">
        <v>0</v>
      </c>
      <c r="AE12">
        <v>2.5000000000000001E-2</v>
      </c>
      <c r="AF12">
        <v>1.9599999999999999E-2</v>
      </c>
    </row>
    <row r="13" spans="2:32">
      <c r="B13" s="5" t="s">
        <v>268</v>
      </c>
      <c r="C13" s="6" t="str">
        <f>VLOOKUP(TAB_Expense[[#This Row],[담보코드]], TAB_INFO_COV, 2, FALSE)</f>
        <v>뇌졸중진단비(갱신형_5년)</v>
      </c>
      <c r="D13" s="6"/>
      <c r="E13" s="6"/>
      <c r="F13" s="6">
        <v>2</v>
      </c>
      <c r="G13" s="6"/>
      <c r="H13" s="6"/>
      <c r="I13" s="6"/>
      <c r="J13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3" s="6">
        <f>VLOOKUP(TAB_Expense[[#This Row],[담보코드]], TAB_INFO_COV, 3, FALSE)</f>
        <v>1000000</v>
      </c>
      <c r="L13" s="6">
        <v>2</v>
      </c>
      <c r="M13" s="6" cm="1">
        <f t="array" ref="M13">INDEX($W$7:$AF$13, MATCH(TAB_Expense[[#This Row],[담보명]],$V$7:$V$13, 0), TAB_Expense[[#This Row],[보험기간]])</f>
        <v>0.29799999999999999</v>
      </c>
      <c r="N13" s="6"/>
      <c r="O13" s="6">
        <f>INDEX($W$7:$AF$13, MATCH(TAB_Expense[[#This Row],[담보명]],$V$7:$V$13, 0), 6)</f>
        <v>1.44</v>
      </c>
      <c r="P13" s="6">
        <f>INDEX($W$7:$AF$13, MATCH(TAB_Expense[[#This Row],[담보명]],$V$7:$V$13, 0), 7)</f>
        <v>0.12039999999999999</v>
      </c>
      <c r="Q13" s="6"/>
      <c r="R13" s="6"/>
      <c r="S13" s="6">
        <f>INDEX($W$7:$AF$13, MATCH(TAB_Expense[[#This Row],[담보명]],$V$7:$V$13, 0), 9)</f>
        <v>2.5000000000000001E-2</v>
      </c>
      <c r="T13" s="7">
        <f>INDEX($W$7:$AF$13, MATCH(TAB_Expense[[#This Row],[담보명]],$V$7:$V$13, 0), 10)</f>
        <v>1.9599999999999999E-2</v>
      </c>
      <c r="V13" t="s">
        <v>327</v>
      </c>
      <c r="W13">
        <v>0.36799999999999999</v>
      </c>
      <c r="X13">
        <v>0.42199999999999999</v>
      </c>
      <c r="Y13">
        <v>0.42199999999999999</v>
      </c>
      <c r="Z13">
        <v>0.42199999999999999</v>
      </c>
      <c r="AA13">
        <v>0.42199999999999999</v>
      </c>
      <c r="AB13">
        <v>0.3</v>
      </c>
      <c r="AC13">
        <v>0.12039999999999999</v>
      </c>
      <c r="AD13">
        <v>0</v>
      </c>
      <c r="AE13">
        <v>2.5000000000000001E-2</v>
      </c>
      <c r="AF13">
        <v>1.9599999999999999E-2</v>
      </c>
    </row>
    <row r="14" spans="2:32">
      <c r="B14" s="5" t="s">
        <v>268</v>
      </c>
      <c r="C14" s="6" t="str">
        <f>VLOOKUP(TAB_Expense[[#This Row],[담보코드]], TAB_INFO_COV, 2, FALSE)</f>
        <v>뇌졸중진단비(갱신형_5년)</v>
      </c>
      <c r="D14" s="6"/>
      <c r="E14" s="6"/>
      <c r="F14" s="6">
        <v>2</v>
      </c>
      <c r="G14" s="6"/>
      <c r="H14" s="6"/>
      <c r="I14" s="6"/>
      <c r="J14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4" s="6">
        <f>VLOOKUP(TAB_Expense[[#This Row],[담보코드]], TAB_INFO_COV, 3, FALSE)</f>
        <v>1000000</v>
      </c>
      <c r="L14" s="6">
        <v>3</v>
      </c>
      <c r="M14" s="6" cm="1">
        <f t="array" ref="M14">INDEX($W$7:$AF$13, MATCH(TAB_Expense[[#This Row],[담보명]],$V$7:$V$13, 0), TAB_Expense[[#This Row],[보험기간]])</f>
        <v>0.34300000000000003</v>
      </c>
      <c r="N14" s="6"/>
      <c r="O14" s="6">
        <f>INDEX($W$7:$AF$13, MATCH(TAB_Expense[[#This Row],[담보명]],$V$7:$V$13, 0), 6)</f>
        <v>1.44</v>
      </c>
      <c r="P14" s="6">
        <f>INDEX($W$7:$AF$13, MATCH(TAB_Expense[[#This Row],[담보명]],$V$7:$V$13, 0), 7)</f>
        <v>0.12039999999999999</v>
      </c>
      <c r="Q14" s="6"/>
      <c r="R14" s="6"/>
      <c r="S14" s="6">
        <f>INDEX($W$7:$AF$13, MATCH(TAB_Expense[[#This Row],[담보명]],$V$7:$V$13, 0), 9)</f>
        <v>2.5000000000000001E-2</v>
      </c>
      <c r="T14" s="7">
        <f>INDEX($W$7:$AF$13, MATCH(TAB_Expense[[#This Row],[담보명]],$V$7:$V$13, 0), 10)</f>
        <v>1.9599999999999999E-2</v>
      </c>
    </row>
    <row r="15" spans="2:32">
      <c r="B15" s="5" t="s">
        <v>268</v>
      </c>
      <c r="C15" s="6" t="str">
        <f>VLOOKUP(TAB_Expense[[#This Row],[담보코드]], TAB_INFO_COV, 2, FALSE)</f>
        <v>뇌졸중진단비(갱신형_5년)</v>
      </c>
      <c r="D15" s="6"/>
      <c r="E15" s="6"/>
      <c r="F15" s="6">
        <v>2</v>
      </c>
      <c r="G15" s="6"/>
      <c r="H15" s="6"/>
      <c r="I15" s="6"/>
      <c r="J15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5" s="6">
        <f>VLOOKUP(TAB_Expense[[#This Row],[담보코드]], TAB_INFO_COV, 3, FALSE)</f>
        <v>1000000</v>
      </c>
      <c r="L15" s="6">
        <v>4</v>
      </c>
      <c r="M15" s="6" cm="1">
        <f t="array" ref="M15">INDEX($W$7:$AF$13, MATCH(TAB_Expense[[#This Row],[담보명]],$V$7:$V$13, 0), TAB_Expense[[#This Row],[보험기간]])</f>
        <v>0.34300000000000003</v>
      </c>
      <c r="N15" s="6"/>
      <c r="O15" s="6">
        <f>INDEX($W$7:$AF$13, MATCH(TAB_Expense[[#This Row],[담보명]],$V$7:$V$13, 0), 6)</f>
        <v>1.44</v>
      </c>
      <c r="P15" s="6">
        <f>INDEX($W$7:$AF$13, MATCH(TAB_Expense[[#This Row],[담보명]],$V$7:$V$13, 0), 7)</f>
        <v>0.12039999999999999</v>
      </c>
      <c r="Q15" s="6"/>
      <c r="R15" s="6"/>
      <c r="S15" s="6">
        <f>INDEX($W$7:$AF$13, MATCH(TAB_Expense[[#This Row],[담보명]],$V$7:$V$13, 0), 9)</f>
        <v>2.5000000000000001E-2</v>
      </c>
      <c r="T15" s="7">
        <f>INDEX($W$7:$AF$13, MATCH(TAB_Expense[[#This Row],[담보명]],$V$7:$V$13, 0), 10)</f>
        <v>1.9599999999999999E-2</v>
      </c>
    </row>
    <row r="16" spans="2:32">
      <c r="B16" s="5" t="s">
        <v>268</v>
      </c>
      <c r="C16" s="6" t="str">
        <f>VLOOKUP(TAB_Expense[[#This Row],[담보코드]], TAB_INFO_COV, 2, FALSE)</f>
        <v>뇌졸중진단비(갱신형_5년)</v>
      </c>
      <c r="D16" s="6"/>
      <c r="E16" s="6"/>
      <c r="F16" s="6">
        <v>2</v>
      </c>
      <c r="G16" s="6"/>
      <c r="H16" s="6"/>
      <c r="I16" s="6"/>
      <c r="J16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6" s="6">
        <f>VLOOKUP(TAB_Expense[[#This Row],[담보코드]], TAB_INFO_COV, 3, FALSE)</f>
        <v>1000000</v>
      </c>
      <c r="L16" s="6">
        <v>5</v>
      </c>
      <c r="M16" s="6" cm="1">
        <f t="array" ref="M16">INDEX($W$7:$AF$13, MATCH(TAB_Expense[[#This Row],[담보명]],$V$7:$V$13, 0), TAB_Expense[[#This Row],[보험기간]])</f>
        <v>0.34300000000000003</v>
      </c>
      <c r="N16" s="6"/>
      <c r="O16" s="6">
        <f>INDEX($W$7:$AF$13, MATCH(TAB_Expense[[#This Row],[담보명]],$V$7:$V$13, 0), 6)</f>
        <v>1.44</v>
      </c>
      <c r="P16" s="6">
        <f>INDEX($W$7:$AF$13, MATCH(TAB_Expense[[#This Row],[담보명]],$V$7:$V$13, 0), 7)</f>
        <v>0.12039999999999999</v>
      </c>
      <c r="Q16" s="6"/>
      <c r="R16" s="6"/>
      <c r="S16" s="6">
        <f>INDEX($W$7:$AF$13, MATCH(TAB_Expense[[#This Row],[담보명]],$V$7:$V$13, 0), 9)</f>
        <v>2.5000000000000001E-2</v>
      </c>
      <c r="T16" s="7">
        <f>INDEX($W$7:$AF$13, MATCH(TAB_Expense[[#This Row],[담보명]],$V$7:$V$13, 0), 10)</f>
        <v>1.9599999999999999E-2</v>
      </c>
    </row>
    <row r="17" spans="2:20">
      <c r="B17" s="5" t="s">
        <v>270</v>
      </c>
      <c r="C17" s="6" t="str">
        <f>VLOOKUP(TAB_Expense[[#This Row],[담보코드]], TAB_INFO_COV, 2, FALSE)</f>
        <v>3대질병진단비(갱신형_5년)</v>
      </c>
      <c r="D17" s="6"/>
      <c r="E17" s="6"/>
      <c r="F17" s="6">
        <v>2</v>
      </c>
      <c r="G17" s="6"/>
      <c r="H17" s="6"/>
      <c r="I17" s="6"/>
      <c r="J17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17" s="6">
        <f>VLOOKUP(TAB_Expense[[#This Row],[담보코드]], TAB_INFO_COV, 3, FALSE)</f>
        <v>1000000</v>
      </c>
      <c r="L17" s="6">
        <v>1</v>
      </c>
      <c r="M17" s="6" cm="1">
        <f t="array" ref="M17">INDEX($W$7:$AF$13, MATCH(TAB_Expense[[#This Row],[담보명]],$V$7:$V$13, 0), TAB_Expense[[#This Row],[보험기간]])</f>
        <v>0.28299999999999997</v>
      </c>
      <c r="N17" s="6"/>
      <c r="O17" s="6">
        <f>INDEX($W$7:$AF$13, MATCH(TAB_Expense[[#This Row],[담보명]],$V$7:$V$13, 0), 6)</f>
        <v>4.43</v>
      </c>
      <c r="P17" s="6">
        <f>INDEX($W$7:$AF$13, MATCH(TAB_Expense[[#This Row],[담보명]],$V$7:$V$13, 0), 7)</f>
        <v>0.12039999999999999</v>
      </c>
      <c r="Q17" s="6"/>
      <c r="R17" s="6"/>
      <c r="S17" s="6">
        <f>INDEX($W$7:$AF$13, MATCH(TAB_Expense[[#This Row],[담보명]],$V$7:$V$13, 0), 9)</f>
        <v>2.5000000000000001E-2</v>
      </c>
      <c r="T17" s="7">
        <f>INDEX($W$7:$AF$13, MATCH(TAB_Expense[[#This Row],[담보명]],$V$7:$V$13, 0), 10)</f>
        <v>1.9599999999999999E-2</v>
      </c>
    </row>
    <row r="18" spans="2:20">
      <c r="B18" s="5" t="s">
        <v>270</v>
      </c>
      <c r="C18" s="6" t="str">
        <f>VLOOKUP(TAB_Expense[[#This Row],[담보코드]], TAB_INFO_COV, 2, FALSE)</f>
        <v>3대질병진단비(갱신형_5년)</v>
      </c>
      <c r="D18" s="6"/>
      <c r="E18" s="6"/>
      <c r="F18" s="6">
        <v>2</v>
      </c>
      <c r="G18" s="6"/>
      <c r="H18" s="6"/>
      <c r="I18" s="6"/>
      <c r="J18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18" s="6">
        <f>VLOOKUP(TAB_Expense[[#This Row],[담보코드]], TAB_INFO_COV, 3, FALSE)</f>
        <v>1000000</v>
      </c>
      <c r="L18" s="6">
        <v>2</v>
      </c>
      <c r="M18" s="6" cm="1">
        <f t="array" ref="M18">INDEX($W$7:$AF$13, MATCH(TAB_Expense[[#This Row],[담보명]],$V$7:$V$13, 0), TAB_Expense[[#This Row],[보험기간]])</f>
        <v>0.36599999999999999</v>
      </c>
      <c r="N18" s="6"/>
      <c r="O18" s="6">
        <f>INDEX($W$7:$AF$13, MATCH(TAB_Expense[[#This Row],[담보명]],$V$7:$V$13, 0), 6)</f>
        <v>4.43</v>
      </c>
      <c r="P18" s="6">
        <f>INDEX($W$7:$AF$13, MATCH(TAB_Expense[[#This Row],[담보명]],$V$7:$V$13, 0), 7)</f>
        <v>0.12039999999999999</v>
      </c>
      <c r="Q18" s="6"/>
      <c r="R18" s="6"/>
      <c r="S18" s="6">
        <f>INDEX($W$7:$AF$13, MATCH(TAB_Expense[[#This Row],[담보명]],$V$7:$V$13, 0), 9)</f>
        <v>2.5000000000000001E-2</v>
      </c>
      <c r="T18" s="7">
        <f>INDEX($W$7:$AF$13, MATCH(TAB_Expense[[#This Row],[담보명]],$V$7:$V$13, 0), 10)</f>
        <v>1.9599999999999999E-2</v>
      </c>
    </row>
    <row r="19" spans="2:20">
      <c r="B19" s="5" t="s">
        <v>270</v>
      </c>
      <c r="C19" s="6" t="str">
        <f>VLOOKUP(TAB_Expense[[#This Row],[담보코드]], TAB_INFO_COV, 2, FALSE)</f>
        <v>3대질병진단비(갱신형_5년)</v>
      </c>
      <c r="D19" s="6"/>
      <c r="E19" s="6"/>
      <c r="F19" s="6">
        <v>2</v>
      </c>
      <c r="G19" s="6"/>
      <c r="H19" s="6"/>
      <c r="I19" s="6"/>
      <c r="J19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19" s="6">
        <f>VLOOKUP(TAB_Expense[[#This Row],[담보코드]], TAB_INFO_COV, 3, FALSE)</f>
        <v>1000000</v>
      </c>
      <c r="L19" s="6">
        <v>3</v>
      </c>
      <c r="M19" s="6" cm="1">
        <f t="array" ref="M19">INDEX($W$7:$AF$13, MATCH(TAB_Expense[[#This Row],[담보명]],$V$7:$V$13, 0), TAB_Expense[[#This Row],[보험기간]])</f>
        <v>0.40500000000000003</v>
      </c>
      <c r="N19" s="6"/>
      <c r="O19" s="6">
        <f>INDEX($W$7:$AF$13, MATCH(TAB_Expense[[#This Row],[담보명]],$V$7:$V$13, 0), 6)</f>
        <v>4.43</v>
      </c>
      <c r="P19" s="6">
        <f>INDEX($W$7:$AF$13, MATCH(TAB_Expense[[#This Row],[담보명]],$V$7:$V$13, 0), 7)</f>
        <v>0.12039999999999999</v>
      </c>
      <c r="Q19" s="6"/>
      <c r="R19" s="6"/>
      <c r="S19" s="6">
        <f>INDEX($W$7:$AF$13, MATCH(TAB_Expense[[#This Row],[담보명]],$V$7:$V$13, 0), 9)</f>
        <v>2.5000000000000001E-2</v>
      </c>
      <c r="T19" s="7">
        <f>INDEX($W$7:$AF$13, MATCH(TAB_Expense[[#This Row],[담보명]],$V$7:$V$13, 0), 10)</f>
        <v>1.9599999999999999E-2</v>
      </c>
    </row>
    <row r="20" spans="2:20">
      <c r="B20" s="5" t="s">
        <v>270</v>
      </c>
      <c r="C20" s="6" t="str">
        <f>VLOOKUP(TAB_Expense[[#This Row],[담보코드]], TAB_INFO_COV, 2, FALSE)</f>
        <v>3대질병진단비(갱신형_5년)</v>
      </c>
      <c r="D20" s="6"/>
      <c r="E20" s="6"/>
      <c r="F20" s="6">
        <v>2</v>
      </c>
      <c r="G20" s="6"/>
      <c r="H20" s="6"/>
      <c r="I20" s="6"/>
      <c r="J20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20" s="6">
        <f>VLOOKUP(TAB_Expense[[#This Row],[담보코드]], TAB_INFO_COV, 3, FALSE)</f>
        <v>1000000</v>
      </c>
      <c r="L20" s="6">
        <v>4</v>
      </c>
      <c r="M20" s="6" cm="1">
        <f t="array" ref="M20">INDEX($W$7:$AF$13, MATCH(TAB_Expense[[#This Row],[담보명]],$V$7:$V$13, 0), TAB_Expense[[#This Row],[보험기간]])</f>
        <v>0.40500000000000003</v>
      </c>
      <c r="N20" s="6"/>
      <c r="O20" s="6">
        <f>INDEX($W$7:$AF$13, MATCH(TAB_Expense[[#This Row],[담보명]],$V$7:$V$13, 0), 6)</f>
        <v>4.43</v>
      </c>
      <c r="P20" s="6">
        <f>INDEX($W$7:$AF$13, MATCH(TAB_Expense[[#This Row],[담보명]],$V$7:$V$13, 0), 7)</f>
        <v>0.12039999999999999</v>
      </c>
      <c r="Q20" s="6"/>
      <c r="R20" s="6"/>
      <c r="S20" s="6">
        <f>INDEX($W$7:$AF$13, MATCH(TAB_Expense[[#This Row],[담보명]],$V$7:$V$13, 0), 9)</f>
        <v>2.5000000000000001E-2</v>
      </c>
      <c r="T20" s="7">
        <f>INDEX($W$7:$AF$13, MATCH(TAB_Expense[[#This Row],[담보명]],$V$7:$V$13, 0), 10)</f>
        <v>1.9599999999999999E-2</v>
      </c>
    </row>
    <row r="21" spans="2:20">
      <c r="B21" s="5" t="s">
        <v>270</v>
      </c>
      <c r="C21" s="6" t="str">
        <f>VLOOKUP(TAB_Expense[[#This Row],[담보코드]], TAB_INFO_COV, 2, FALSE)</f>
        <v>3대질병진단비(갱신형_5년)</v>
      </c>
      <c r="D21" s="6"/>
      <c r="E21" s="6"/>
      <c r="F21" s="6">
        <v>2</v>
      </c>
      <c r="G21" s="6"/>
      <c r="H21" s="6"/>
      <c r="I21" s="6"/>
      <c r="J21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21" s="6">
        <f>VLOOKUP(TAB_Expense[[#This Row],[담보코드]], TAB_INFO_COV, 3, FALSE)</f>
        <v>1000000</v>
      </c>
      <c r="L21" s="6">
        <v>5</v>
      </c>
      <c r="M21" s="6" cm="1">
        <f t="array" ref="M21">INDEX($W$7:$AF$13, MATCH(TAB_Expense[[#This Row],[담보명]],$V$7:$V$13, 0), TAB_Expense[[#This Row],[보험기간]])</f>
        <v>0.40500000000000003</v>
      </c>
      <c r="N21" s="6"/>
      <c r="O21" s="6">
        <f>INDEX($W$7:$AF$13, MATCH(TAB_Expense[[#This Row],[담보명]],$V$7:$V$13, 0), 6)</f>
        <v>4.43</v>
      </c>
      <c r="P21" s="6">
        <f>INDEX($W$7:$AF$13, MATCH(TAB_Expense[[#This Row],[담보명]],$V$7:$V$13, 0), 7)</f>
        <v>0.12039999999999999</v>
      </c>
      <c r="Q21" s="6"/>
      <c r="R21" s="6"/>
      <c r="S21" s="6">
        <f>INDEX($W$7:$AF$13, MATCH(TAB_Expense[[#This Row],[담보명]],$V$7:$V$13, 0), 9)</f>
        <v>2.5000000000000001E-2</v>
      </c>
      <c r="T21" s="7">
        <f>INDEX($W$7:$AF$13, MATCH(TAB_Expense[[#This Row],[담보명]],$V$7:$V$13, 0), 10)</f>
        <v>1.9599999999999999E-2</v>
      </c>
    </row>
    <row r="22" spans="2:20">
      <c r="B22" s="5" t="s">
        <v>273</v>
      </c>
      <c r="C22" s="6" t="str">
        <f>VLOOKUP(TAB_Expense[[#This Row],[담보코드]], TAB_INFO_COV, 2, FALSE)</f>
        <v>응급실내원비(갱신형_5년)</v>
      </c>
      <c r="D22" s="6"/>
      <c r="E22" s="6"/>
      <c r="F22" s="6">
        <v>2</v>
      </c>
      <c r="G22" s="6"/>
      <c r="H22" s="6"/>
      <c r="I22" s="6"/>
      <c r="J22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2" s="6">
        <f>VLOOKUP(TAB_Expense[[#This Row],[담보코드]], TAB_INFO_COV, 3, FALSE)</f>
        <v>10000</v>
      </c>
      <c r="L22" s="6">
        <v>1</v>
      </c>
      <c r="M22" s="6" cm="1">
        <f t="array" ref="M22">INDEX($W$7:$AF$13, MATCH(TAB_Expense[[#This Row],[담보명]],$V$7:$V$13, 0), TAB_Expense[[#This Row],[보험기간]])</f>
        <v>0.51</v>
      </c>
      <c r="N22" s="6"/>
      <c r="O22" s="6">
        <f>INDEX($W$7:$AF$13, MATCH(TAB_Expense[[#This Row],[담보명]],$V$7:$V$13, 0), 6)</f>
        <v>0.01</v>
      </c>
      <c r="P22" s="6">
        <f>INDEX($W$7:$AF$13, MATCH(TAB_Expense[[#This Row],[담보명]],$V$7:$V$13, 0), 7)</f>
        <v>0.12039999999999999</v>
      </c>
      <c r="Q22" s="6"/>
      <c r="R22" s="6"/>
      <c r="S22" s="6">
        <f>INDEX($W$7:$AF$13, MATCH(TAB_Expense[[#This Row],[담보명]],$V$7:$V$13, 0), 9)</f>
        <v>2.5000000000000001E-2</v>
      </c>
      <c r="T22" s="7">
        <f>INDEX($W$7:$AF$13, MATCH(TAB_Expense[[#This Row],[담보명]],$V$7:$V$13, 0), 10)</f>
        <v>1.9599999999999999E-2</v>
      </c>
    </row>
    <row r="23" spans="2:20">
      <c r="B23" s="5" t="s">
        <v>273</v>
      </c>
      <c r="C23" s="6" t="str">
        <f>VLOOKUP(TAB_Expense[[#This Row],[담보코드]], TAB_INFO_COV, 2, FALSE)</f>
        <v>응급실내원비(갱신형_5년)</v>
      </c>
      <c r="D23" s="6"/>
      <c r="E23" s="6"/>
      <c r="F23" s="6">
        <v>2</v>
      </c>
      <c r="G23" s="6"/>
      <c r="H23" s="6"/>
      <c r="I23" s="6"/>
      <c r="J23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3" s="6">
        <f>VLOOKUP(TAB_Expense[[#This Row],[담보코드]], TAB_INFO_COV, 3, FALSE)</f>
        <v>10000</v>
      </c>
      <c r="L23" s="6">
        <v>2</v>
      </c>
      <c r="M23" s="6" cm="1">
        <f t="array" ref="M23">INDEX($W$7:$AF$13, MATCH(TAB_Expense[[#This Row],[담보명]],$V$7:$V$13, 0), TAB_Expense[[#This Row],[보험기간]])</f>
        <v>0.60699999999999998</v>
      </c>
      <c r="N23" s="6"/>
      <c r="O23" s="6">
        <f>INDEX($W$7:$AF$13, MATCH(TAB_Expense[[#This Row],[담보명]],$V$7:$V$13, 0), 6)</f>
        <v>0.01</v>
      </c>
      <c r="P23" s="6">
        <f>INDEX($W$7:$AF$13, MATCH(TAB_Expense[[#This Row],[담보명]],$V$7:$V$13, 0), 7)</f>
        <v>0.12039999999999999</v>
      </c>
      <c r="Q23" s="6"/>
      <c r="R23" s="6"/>
      <c r="S23" s="6">
        <f>INDEX($W$7:$AF$13, MATCH(TAB_Expense[[#This Row],[담보명]],$V$7:$V$13, 0), 9)</f>
        <v>2.5000000000000001E-2</v>
      </c>
      <c r="T23" s="7">
        <f>INDEX($W$7:$AF$13, MATCH(TAB_Expense[[#This Row],[담보명]],$V$7:$V$13, 0), 10)</f>
        <v>1.9599999999999999E-2</v>
      </c>
    </row>
    <row r="24" spans="2:20">
      <c r="B24" s="5" t="s">
        <v>273</v>
      </c>
      <c r="C24" s="6" t="str">
        <f>VLOOKUP(TAB_Expense[[#This Row],[담보코드]], TAB_INFO_COV, 2, FALSE)</f>
        <v>응급실내원비(갱신형_5년)</v>
      </c>
      <c r="D24" s="6"/>
      <c r="E24" s="6"/>
      <c r="F24" s="6">
        <v>2</v>
      </c>
      <c r="G24" s="6"/>
      <c r="H24" s="6"/>
      <c r="I24" s="6"/>
      <c r="J24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4" s="6">
        <f>VLOOKUP(TAB_Expense[[#This Row],[담보코드]], TAB_INFO_COV, 3, FALSE)</f>
        <v>10000</v>
      </c>
      <c r="L24" s="6">
        <v>3</v>
      </c>
      <c r="M24" s="6" cm="1">
        <f t="array" ref="M24">INDEX($W$7:$AF$13, MATCH(TAB_Expense[[#This Row],[담보명]],$V$7:$V$13, 0), TAB_Expense[[#This Row],[보험기간]])</f>
        <v>0.94499999999999995</v>
      </c>
      <c r="N24" s="6"/>
      <c r="O24" s="6">
        <f>INDEX($W$7:$AF$13, MATCH(TAB_Expense[[#This Row],[담보명]],$V$7:$V$13, 0), 6)</f>
        <v>0.01</v>
      </c>
      <c r="P24" s="6">
        <f>INDEX($W$7:$AF$13, MATCH(TAB_Expense[[#This Row],[담보명]],$V$7:$V$13, 0), 7)</f>
        <v>0.12039999999999999</v>
      </c>
      <c r="Q24" s="6"/>
      <c r="R24" s="6"/>
      <c r="S24" s="6">
        <f>INDEX($W$7:$AF$13, MATCH(TAB_Expense[[#This Row],[담보명]],$V$7:$V$13, 0), 9)</f>
        <v>2.5000000000000001E-2</v>
      </c>
      <c r="T24" s="7">
        <f>INDEX($W$7:$AF$13, MATCH(TAB_Expense[[#This Row],[담보명]],$V$7:$V$13, 0), 10)</f>
        <v>1.9599999999999999E-2</v>
      </c>
    </row>
    <row r="25" spans="2:20">
      <c r="B25" s="5" t="s">
        <v>273</v>
      </c>
      <c r="C25" s="6" t="str">
        <f>VLOOKUP(TAB_Expense[[#This Row],[담보코드]], TAB_INFO_COV, 2, FALSE)</f>
        <v>응급실내원비(갱신형_5년)</v>
      </c>
      <c r="D25" s="6"/>
      <c r="E25" s="6"/>
      <c r="F25" s="6">
        <v>2</v>
      </c>
      <c r="G25" s="6"/>
      <c r="H25" s="6"/>
      <c r="I25" s="6"/>
      <c r="J25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5" s="6">
        <f>VLOOKUP(TAB_Expense[[#This Row],[담보코드]], TAB_INFO_COV, 3, FALSE)</f>
        <v>10000</v>
      </c>
      <c r="L25" s="6">
        <v>4</v>
      </c>
      <c r="M25" s="6" cm="1">
        <f t="array" ref="M25">INDEX($W$7:$AF$13, MATCH(TAB_Expense[[#This Row],[담보명]],$V$7:$V$13, 0), TAB_Expense[[#This Row],[보험기간]])</f>
        <v>0.94499999999999995</v>
      </c>
      <c r="N25" s="6"/>
      <c r="O25" s="6">
        <f>INDEX($W$7:$AF$13, MATCH(TAB_Expense[[#This Row],[담보명]],$V$7:$V$13, 0), 6)</f>
        <v>0.01</v>
      </c>
      <c r="P25" s="6">
        <f>INDEX($W$7:$AF$13, MATCH(TAB_Expense[[#This Row],[담보명]],$V$7:$V$13, 0), 7)</f>
        <v>0.12039999999999999</v>
      </c>
      <c r="Q25" s="6"/>
      <c r="R25" s="6"/>
      <c r="S25" s="6">
        <f>INDEX($W$7:$AF$13, MATCH(TAB_Expense[[#This Row],[담보명]],$V$7:$V$13, 0), 9)</f>
        <v>2.5000000000000001E-2</v>
      </c>
      <c r="T25" s="7">
        <f>INDEX($W$7:$AF$13, MATCH(TAB_Expense[[#This Row],[담보명]],$V$7:$V$13, 0), 10)</f>
        <v>1.9599999999999999E-2</v>
      </c>
    </row>
    <row r="26" spans="2:20">
      <c r="B26" s="5" t="s">
        <v>273</v>
      </c>
      <c r="C26" s="6" t="str">
        <f>VLOOKUP(TAB_Expense[[#This Row],[담보코드]], TAB_INFO_COV, 2, FALSE)</f>
        <v>응급실내원비(갱신형_5년)</v>
      </c>
      <c r="D26" s="6"/>
      <c r="E26" s="6"/>
      <c r="F26" s="6">
        <v>2</v>
      </c>
      <c r="G26" s="6"/>
      <c r="H26" s="6"/>
      <c r="I26" s="6"/>
      <c r="J26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6" s="6">
        <f>VLOOKUP(TAB_Expense[[#This Row],[담보코드]], TAB_INFO_COV, 3, FALSE)</f>
        <v>10000</v>
      </c>
      <c r="L26" s="6">
        <v>5</v>
      </c>
      <c r="M26" s="6" cm="1">
        <f t="array" ref="M26">INDEX($W$7:$AF$13, MATCH(TAB_Expense[[#This Row],[담보명]],$V$7:$V$13, 0), TAB_Expense[[#This Row],[보험기간]])</f>
        <v>0.94499999999999995</v>
      </c>
      <c r="N26" s="6"/>
      <c r="O26" s="6">
        <f>INDEX($W$7:$AF$13, MATCH(TAB_Expense[[#This Row],[담보명]],$V$7:$V$13, 0), 6)</f>
        <v>0.01</v>
      </c>
      <c r="P26" s="6">
        <f>INDEX($W$7:$AF$13, MATCH(TAB_Expense[[#This Row],[담보명]],$V$7:$V$13, 0), 7)</f>
        <v>0.12039999999999999</v>
      </c>
      <c r="Q26" s="6"/>
      <c r="R26" s="6"/>
      <c r="S26" s="6">
        <f>INDEX($W$7:$AF$13, MATCH(TAB_Expense[[#This Row],[담보명]],$V$7:$V$13, 0), 9)</f>
        <v>2.5000000000000001E-2</v>
      </c>
      <c r="T26" s="7">
        <f>INDEX($W$7:$AF$13, MATCH(TAB_Expense[[#This Row],[담보명]],$V$7:$V$13, 0), 10)</f>
        <v>1.9599999999999999E-2</v>
      </c>
    </row>
    <row r="27" spans="2:20">
      <c r="B27" s="5" t="s">
        <v>276</v>
      </c>
      <c r="C27" s="6" t="str">
        <f>VLOOKUP(TAB_Expense[[#This Row],[담보코드]], TAB_INFO_COV, 2, FALSE)</f>
        <v>대중교통이용중교통상해사망(갱신형_5년)</v>
      </c>
      <c r="D27" s="6"/>
      <c r="E27" s="6"/>
      <c r="F27" s="6">
        <v>2</v>
      </c>
      <c r="G27" s="6"/>
      <c r="H27" s="6"/>
      <c r="I27" s="6"/>
      <c r="J27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27" s="6">
        <f>VLOOKUP(TAB_Expense[[#This Row],[담보코드]], TAB_INFO_COV, 3, FALSE)</f>
        <v>10000000</v>
      </c>
      <c r="L27" s="6">
        <v>1</v>
      </c>
      <c r="M27" s="6" cm="1">
        <f t="array" ref="M27">INDEX($W$7:$AF$13, MATCH(TAB_Expense[[#This Row],[담보명]],$V$7:$V$13, 0), TAB_Expense[[#This Row],[보험기간]])</f>
        <v>0.27400000000000002</v>
      </c>
      <c r="N27" s="6"/>
      <c r="O27" s="6">
        <f>INDEX($W$7:$AF$13, MATCH(TAB_Expense[[#This Row],[담보명]],$V$7:$V$13, 0), 6)</f>
        <v>0</v>
      </c>
      <c r="P27" s="6">
        <f>INDEX($W$7:$AF$13, MATCH(TAB_Expense[[#This Row],[담보명]],$V$7:$V$13, 0), 7)</f>
        <v>0.12039999999999999</v>
      </c>
      <c r="Q27" s="6"/>
      <c r="R27" s="6"/>
      <c r="S27" s="6">
        <f>INDEX($W$7:$AF$13, MATCH(TAB_Expense[[#This Row],[담보명]],$V$7:$V$13, 0), 9)</f>
        <v>2.5000000000000001E-2</v>
      </c>
      <c r="T27" s="7">
        <f>INDEX($W$7:$AF$13, MATCH(TAB_Expense[[#This Row],[담보명]],$V$7:$V$13, 0), 10)</f>
        <v>1.9599999999999999E-2</v>
      </c>
    </row>
    <row r="28" spans="2:20">
      <c r="B28" s="5" t="s">
        <v>276</v>
      </c>
      <c r="C28" s="6" t="str">
        <f>VLOOKUP(TAB_Expense[[#This Row],[담보코드]], TAB_INFO_COV, 2, FALSE)</f>
        <v>대중교통이용중교통상해사망(갱신형_5년)</v>
      </c>
      <c r="D28" s="6"/>
      <c r="E28" s="6"/>
      <c r="F28" s="6">
        <v>2</v>
      </c>
      <c r="G28" s="6"/>
      <c r="H28" s="6"/>
      <c r="I28" s="6"/>
      <c r="J28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28" s="6">
        <f>VLOOKUP(TAB_Expense[[#This Row],[담보코드]], TAB_INFO_COV, 3, FALSE)</f>
        <v>10000000</v>
      </c>
      <c r="L28" s="6">
        <v>2</v>
      </c>
      <c r="M28" s="6" cm="1">
        <f t="array" ref="M28">INDEX($W$7:$AF$13, MATCH(TAB_Expense[[#This Row],[담보명]],$V$7:$V$13, 0), TAB_Expense[[#This Row],[보험기간]])</f>
        <v>0.32200000000000001</v>
      </c>
      <c r="N28" s="6"/>
      <c r="O28" s="6">
        <f>INDEX($W$7:$AF$13, MATCH(TAB_Expense[[#This Row],[담보명]],$V$7:$V$13, 0), 6)</f>
        <v>0</v>
      </c>
      <c r="P28" s="6">
        <f>INDEX($W$7:$AF$13, MATCH(TAB_Expense[[#This Row],[담보명]],$V$7:$V$13, 0), 7)</f>
        <v>0.12039999999999999</v>
      </c>
      <c r="Q28" s="6"/>
      <c r="R28" s="6"/>
      <c r="S28" s="6">
        <f>INDEX($W$7:$AF$13, MATCH(TAB_Expense[[#This Row],[담보명]],$V$7:$V$13, 0), 9)</f>
        <v>2.5000000000000001E-2</v>
      </c>
      <c r="T28" s="7">
        <f>INDEX($W$7:$AF$13, MATCH(TAB_Expense[[#This Row],[담보명]],$V$7:$V$13, 0), 10)</f>
        <v>1.9599999999999999E-2</v>
      </c>
    </row>
    <row r="29" spans="2:20">
      <c r="B29" s="5" t="s">
        <v>276</v>
      </c>
      <c r="C29" s="6" t="str">
        <f>VLOOKUP(TAB_Expense[[#This Row],[담보코드]], TAB_INFO_COV, 2, FALSE)</f>
        <v>대중교통이용중교통상해사망(갱신형_5년)</v>
      </c>
      <c r="D29" s="6"/>
      <c r="E29" s="6"/>
      <c r="F29" s="6">
        <v>2</v>
      </c>
      <c r="G29" s="6"/>
      <c r="H29" s="6"/>
      <c r="I29" s="6"/>
      <c r="J29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29" s="6">
        <f>VLOOKUP(TAB_Expense[[#This Row],[담보코드]], TAB_INFO_COV, 3, FALSE)</f>
        <v>10000000</v>
      </c>
      <c r="L29" s="6">
        <v>3</v>
      </c>
      <c r="M29" s="6" cm="1">
        <f t="array" ref="M29">INDEX($W$7:$AF$13, MATCH(TAB_Expense[[#This Row],[담보명]],$V$7:$V$13, 0), TAB_Expense[[#This Row],[보험기간]])</f>
        <v>0.32200000000000001</v>
      </c>
      <c r="N29" s="6"/>
      <c r="O29" s="6">
        <f>INDEX($W$7:$AF$13, MATCH(TAB_Expense[[#This Row],[담보명]],$V$7:$V$13, 0), 6)</f>
        <v>0</v>
      </c>
      <c r="P29" s="6">
        <f>INDEX($W$7:$AF$13, MATCH(TAB_Expense[[#This Row],[담보명]],$V$7:$V$13, 0), 7)</f>
        <v>0.12039999999999999</v>
      </c>
      <c r="Q29" s="6"/>
      <c r="R29" s="6"/>
      <c r="S29" s="6">
        <f>INDEX($W$7:$AF$13, MATCH(TAB_Expense[[#This Row],[담보명]],$V$7:$V$13, 0), 9)</f>
        <v>2.5000000000000001E-2</v>
      </c>
      <c r="T29" s="7">
        <f>INDEX($W$7:$AF$13, MATCH(TAB_Expense[[#This Row],[담보명]],$V$7:$V$13, 0), 10)</f>
        <v>1.9599999999999999E-2</v>
      </c>
    </row>
    <row r="30" spans="2:20">
      <c r="B30" s="5" t="s">
        <v>276</v>
      </c>
      <c r="C30" s="6" t="str">
        <f>VLOOKUP(TAB_Expense[[#This Row],[담보코드]], TAB_INFO_COV, 2, FALSE)</f>
        <v>대중교통이용중교통상해사망(갱신형_5년)</v>
      </c>
      <c r="D30" s="6"/>
      <c r="E30" s="6"/>
      <c r="F30" s="6">
        <v>2</v>
      </c>
      <c r="G30" s="6"/>
      <c r="H30" s="6"/>
      <c r="I30" s="6"/>
      <c r="J30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30" s="6">
        <f>VLOOKUP(TAB_Expense[[#This Row],[담보코드]], TAB_INFO_COV, 3, FALSE)</f>
        <v>10000000</v>
      </c>
      <c r="L30" s="6">
        <v>4</v>
      </c>
      <c r="M30" s="6" cm="1">
        <f t="array" ref="M30">INDEX($W$7:$AF$13, MATCH(TAB_Expense[[#This Row],[담보명]],$V$7:$V$13, 0), TAB_Expense[[#This Row],[보험기간]])</f>
        <v>0.32200000000000001</v>
      </c>
      <c r="N30" s="6"/>
      <c r="O30" s="6">
        <f>INDEX($W$7:$AF$13, MATCH(TAB_Expense[[#This Row],[담보명]],$V$7:$V$13, 0), 6)</f>
        <v>0</v>
      </c>
      <c r="P30" s="6">
        <f>INDEX($W$7:$AF$13, MATCH(TAB_Expense[[#This Row],[담보명]],$V$7:$V$13, 0), 7)</f>
        <v>0.12039999999999999</v>
      </c>
      <c r="Q30" s="6"/>
      <c r="R30" s="6"/>
      <c r="S30" s="6">
        <f>INDEX($W$7:$AF$13, MATCH(TAB_Expense[[#This Row],[담보명]],$V$7:$V$13, 0), 9)</f>
        <v>2.5000000000000001E-2</v>
      </c>
      <c r="T30" s="7">
        <f>INDEX($W$7:$AF$13, MATCH(TAB_Expense[[#This Row],[담보명]],$V$7:$V$13, 0), 10)</f>
        <v>1.9599999999999999E-2</v>
      </c>
    </row>
    <row r="31" spans="2:20">
      <c r="B31" s="5" t="s">
        <v>276</v>
      </c>
      <c r="C31" s="6" t="str">
        <f>VLOOKUP(TAB_Expense[[#This Row],[담보코드]], TAB_INFO_COV, 2, FALSE)</f>
        <v>대중교통이용중교통상해사망(갱신형_5년)</v>
      </c>
      <c r="D31" s="6"/>
      <c r="E31" s="6"/>
      <c r="F31" s="6">
        <v>2</v>
      </c>
      <c r="G31" s="6"/>
      <c r="H31" s="6"/>
      <c r="I31" s="6"/>
      <c r="J31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31" s="6">
        <f>VLOOKUP(TAB_Expense[[#This Row],[담보코드]], TAB_INFO_COV, 3, FALSE)</f>
        <v>10000000</v>
      </c>
      <c r="L31" s="6">
        <v>5</v>
      </c>
      <c r="M31" s="6" cm="1">
        <f t="array" ref="M31">INDEX($W$7:$AF$13, MATCH(TAB_Expense[[#This Row],[담보명]],$V$7:$V$13, 0), TAB_Expense[[#This Row],[보험기간]])</f>
        <v>0.32200000000000001</v>
      </c>
      <c r="N31" s="6"/>
      <c r="O31" s="6">
        <f>INDEX($W$7:$AF$13, MATCH(TAB_Expense[[#This Row],[담보명]],$V$7:$V$13, 0), 6)</f>
        <v>0</v>
      </c>
      <c r="P31" s="6">
        <f>INDEX($W$7:$AF$13, MATCH(TAB_Expense[[#This Row],[담보명]],$V$7:$V$13, 0), 7)</f>
        <v>0.12039999999999999</v>
      </c>
      <c r="Q31" s="6"/>
      <c r="R31" s="6"/>
      <c r="S31" s="6">
        <f>INDEX($W$7:$AF$13, MATCH(TAB_Expense[[#This Row],[담보명]],$V$7:$V$13, 0), 9)</f>
        <v>2.5000000000000001E-2</v>
      </c>
      <c r="T31" s="7">
        <f>INDEX($W$7:$AF$13, MATCH(TAB_Expense[[#This Row],[담보명]],$V$7:$V$13, 0), 10)</f>
        <v>1.9599999999999999E-2</v>
      </c>
    </row>
    <row r="32" spans="2:20">
      <c r="B32" s="5" t="s">
        <v>277</v>
      </c>
      <c r="C32" s="6" t="str">
        <f>VLOOKUP(TAB_Expense[[#This Row],[담보코드]], TAB_INFO_COV, 2, FALSE)</f>
        <v>암진단비(유사암제외)(갱신형_5년)</v>
      </c>
      <c r="D32" s="6"/>
      <c r="E32" s="6"/>
      <c r="F32" s="6">
        <v>2</v>
      </c>
      <c r="G32" s="6"/>
      <c r="H32" s="6"/>
      <c r="I32" s="6"/>
      <c r="J32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2" s="6">
        <f>VLOOKUP(TAB_Expense[[#This Row],[담보코드]], TAB_INFO_COV, 3, FALSE)</f>
        <v>1000000</v>
      </c>
      <c r="L32" s="6">
        <v>1</v>
      </c>
      <c r="M32" s="6" cm="1">
        <f t="array" ref="M32">INDEX($W$7:$AF$13, MATCH(TAB_Expense[[#This Row],[담보명]],$V$7:$V$13, 0), TAB_Expense[[#This Row],[보험기간]])</f>
        <v>0.27300000000000002</v>
      </c>
      <c r="N32" s="6"/>
      <c r="O32" s="6">
        <f>INDEX($W$7:$AF$13, MATCH(TAB_Expense[[#This Row],[담보명]],$V$7:$V$13, 0), 6)</f>
        <v>2.4300000000000002</v>
      </c>
      <c r="P32" s="6">
        <f>INDEX($W$7:$AF$13, MATCH(TAB_Expense[[#This Row],[담보명]],$V$7:$V$13, 0), 7)</f>
        <v>0.12039999999999999</v>
      </c>
      <c r="Q32" s="6"/>
      <c r="R32" s="6"/>
      <c r="S32" s="6">
        <f>INDEX($W$7:$AF$13, MATCH(TAB_Expense[[#This Row],[담보명]],$V$7:$V$13, 0), 9)</f>
        <v>2.5000000000000001E-2</v>
      </c>
      <c r="T32" s="7">
        <f>INDEX($W$7:$AF$13, MATCH(TAB_Expense[[#This Row],[담보명]],$V$7:$V$13, 0), 10)</f>
        <v>1.9599999999999999E-2</v>
      </c>
    </row>
    <row r="33" spans="2:20">
      <c r="B33" s="5" t="s">
        <v>277</v>
      </c>
      <c r="C33" s="6" t="str">
        <f>VLOOKUP(TAB_Expense[[#This Row],[담보코드]], TAB_INFO_COV, 2, FALSE)</f>
        <v>암진단비(유사암제외)(갱신형_5년)</v>
      </c>
      <c r="D33" s="6"/>
      <c r="E33" s="6"/>
      <c r="F33" s="6">
        <v>2</v>
      </c>
      <c r="G33" s="6"/>
      <c r="H33" s="6"/>
      <c r="I33" s="6"/>
      <c r="J33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3" s="6">
        <f>VLOOKUP(TAB_Expense[[#This Row],[담보코드]], TAB_INFO_COV, 3, FALSE)</f>
        <v>1000000</v>
      </c>
      <c r="L33" s="6">
        <v>2</v>
      </c>
      <c r="M33" s="6" cm="1">
        <f t="array" ref="M33">INDEX($W$7:$AF$13, MATCH(TAB_Expense[[#This Row],[담보명]],$V$7:$V$13, 0), TAB_Expense[[#This Row],[보험기간]])</f>
        <v>0.36499999999999999</v>
      </c>
      <c r="N33" s="6"/>
      <c r="O33" s="6">
        <f>INDEX($W$7:$AF$13, MATCH(TAB_Expense[[#This Row],[담보명]],$V$7:$V$13, 0), 6)</f>
        <v>2.4300000000000002</v>
      </c>
      <c r="P33" s="6">
        <f>INDEX($W$7:$AF$13, MATCH(TAB_Expense[[#This Row],[담보명]],$V$7:$V$13, 0), 7)</f>
        <v>0.12039999999999999</v>
      </c>
      <c r="Q33" s="6"/>
      <c r="R33" s="6"/>
      <c r="S33" s="6">
        <f>INDEX($W$7:$AF$13, MATCH(TAB_Expense[[#This Row],[담보명]],$V$7:$V$13, 0), 9)</f>
        <v>2.5000000000000001E-2</v>
      </c>
      <c r="T33" s="7">
        <f>INDEX($W$7:$AF$13, MATCH(TAB_Expense[[#This Row],[담보명]],$V$7:$V$13, 0), 10)</f>
        <v>1.9599999999999999E-2</v>
      </c>
    </row>
    <row r="34" spans="2:20">
      <c r="B34" s="5" t="s">
        <v>277</v>
      </c>
      <c r="C34" s="6" t="str">
        <f>VLOOKUP(TAB_Expense[[#This Row],[담보코드]], TAB_INFO_COV, 2, FALSE)</f>
        <v>암진단비(유사암제외)(갱신형_5년)</v>
      </c>
      <c r="D34" s="6"/>
      <c r="E34" s="6"/>
      <c r="F34" s="6">
        <v>2</v>
      </c>
      <c r="G34" s="6"/>
      <c r="H34" s="6"/>
      <c r="I34" s="6"/>
      <c r="J34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4" s="6">
        <f>VLOOKUP(TAB_Expense[[#This Row],[담보코드]], TAB_INFO_COV, 3, FALSE)</f>
        <v>1000000</v>
      </c>
      <c r="L34" s="6">
        <v>3</v>
      </c>
      <c r="M34" s="6" cm="1">
        <f t="array" ref="M34">INDEX($W$7:$AF$13, MATCH(TAB_Expense[[#This Row],[담보명]],$V$7:$V$13, 0), TAB_Expense[[#This Row],[보험기간]])</f>
        <v>0.42</v>
      </c>
      <c r="N34" s="6"/>
      <c r="O34" s="6">
        <f>INDEX($W$7:$AF$13, MATCH(TAB_Expense[[#This Row],[담보명]],$V$7:$V$13, 0), 6)</f>
        <v>2.4300000000000002</v>
      </c>
      <c r="P34" s="6">
        <f>INDEX($W$7:$AF$13, MATCH(TAB_Expense[[#This Row],[담보명]],$V$7:$V$13, 0), 7)</f>
        <v>0.12039999999999999</v>
      </c>
      <c r="Q34" s="6"/>
      <c r="R34" s="6"/>
      <c r="S34" s="6">
        <f>INDEX($W$7:$AF$13, MATCH(TAB_Expense[[#This Row],[담보명]],$V$7:$V$13, 0), 9)</f>
        <v>2.5000000000000001E-2</v>
      </c>
      <c r="T34" s="7">
        <f>INDEX($W$7:$AF$13, MATCH(TAB_Expense[[#This Row],[담보명]],$V$7:$V$13, 0), 10)</f>
        <v>1.9599999999999999E-2</v>
      </c>
    </row>
    <row r="35" spans="2:20">
      <c r="B35" s="5" t="s">
        <v>277</v>
      </c>
      <c r="C35" s="6" t="str">
        <f>VLOOKUP(TAB_Expense[[#This Row],[담보코드]], TAB_INFO_COV, 2, FALSE)</f>
        <v>암진단비(유사암제외)(갱신형_5년)</v>
      </c>
      <c r="D35" s="6"/>
      <c r="E35" s="6"/>
      <c r="F35" s="6">
        <v>2</v>
      </c>
      <c r="G35" s="6"/>
      <c r="H35" s="6"/>
      <c r="I35" s="6"/>
      <c r="J35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5" s="6">
        <f>VLOOKUP(TAB_Expense[[#This Row],[담보코드]], TAB_INFO_COV, 3, FALSE)</f>
        <v>1000000</v>
      </c>
      <c r="L35" s="6">
        <v>4</v>
      </c>
      <c r="M35" s="6" cm="1">
        <f t="array" ref="M35">INDEX($W$7:$AF$13, MATCH(TAB_Expense[[#This Row],[담보명]],$V$7:$V$13, 0), TAB_Expense[[#This Row],[보험기간]])</f>
        <v>0.42</v>
      </c>
      <c r="N35" s="6"/>
      <c r="O35" s="6">
        <f>INDEX($W$7:$AF$13, MATCH(TAB_Expense[[#This Row],[담보명]],$V$7:$V$13, 0), 6)</f>
        <v>2.4300000000000002</v>
      </c>
      <c r="P35" s="6">
        <f>INDEX($W$7:$AF$13, MATCH(TAB_Expense[[#This Row],[담보명]],$V$7:$V$13, 0), 7)</f>
        <v>0.12039999999999999</v>
      </c>
      <c r="Q35" s="6"/>
      <c r="R35" s="6"/>
      <c r="S35" s="6">
        <f>INDEX($W$7:$AF$13, MATCH(TAB_Expense[[#This Row],[담보명]],$V$7:$V$13, 0), 9)</f>
        <v>2.5000000000000001E-2</v>
      </c>
      <c r="T35" s="7">
        <f>INDEX($W$7:$AF$13, MATCH(TAB_Expense[[#This Row],[담보명]],$V$7:$V$13, 0), 10)</f>
        <v>1.9599999999999999E-2</v>
      </c>
    </row>
    <row r="36" spans="2:20">
      <c r="B36" s="5" t="s">
        <v>277</v>
      </c>
      <c r="C36" s="6" t="str">
        <f>VLOOKUP(TAB_Expense[[#This Row],[담보코드]], TAB_INFO_COV, 2, FALSE)</f>
        <v>암진단비(유사암제외)(갱신형_5년)</v>
      </c>
      <c r="D36" s="6"/>
      <c r="E36" s="6"/>
      <c r="F36" s="6">
        <v>2</v>
      </c>
      <c r="G36" s="6"/>
      <c r="H36" s="6"/>
      <c r="I36" s="6"/>
      <c r="J36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6" s="6">
        <f>VLOOKUP(TAB_Expense[[#This Row],[담보코드]], TAB_INFO_COV, 3, FALSE)</f>
        <v>1000000</v>
      </c>
      <c r="L36" s="6">
        <v>5</v>
      </c>
      <c r="M36" s="6" cm="1">
        <f t="array" ref="M36">INDEX($W$7:$AF$13, MATCH(TAB_Expense[[#This Row],[담보명]],$V$7:$V$13, 0), TAB_Expense[[#This Row],[보험기간]])</f>
        <v>0.42</v>
      </c>
      <c r="N36" s="6"/>
      <c r="O36" s="6">
        <f>INDEX($W$7:$AF$13, MATCH(TAB_Expense[[#This Row],[담보명]],$V$7:$V$13, 0), 6)</f>
        <v>2.4300000000000002</v>
      </c>
      <c r="P36" s="6">
        <f>INDEX($W$7:$AF$13, MATCH(TAB_Expense[[#This Row],[담보명]],$V$7:$V$13, 0), 7)</f>
        <v>0.12039999999999999</v>
      </c>
      <c r="Q36" s="6"/>
      <c r="R36" s="6"/>
      <c r="S36" s="6">
        <f>INDEX($W$7:$AF$13, MATCH(TAB_Expense[[#This Row],[담보명]],$V$7:$V$13, 0), 9)</f>
        <v>2.5000000000000001E-2</v>
      </c>
      <c r="T36" s="7">
        <f>INDEX($W$7:$AF$13, MATCH(TAB_Expense[[#This Row],[담보명]],$V$7:$V$13, 0), 10)</f>
        <v>1.9599999999999999E-2</v>
      </c>
    </row>
    <row r="37" spans="2:20">
      <c r="B37" s="5" t="s">
        <v>278</v>
      </c>
      <c r="C37" s="6" t="str">
        <f>VLOOKUP(TAB_Expense[[#This Row],[담보코드]], TAB_INFO_COV, 2, FALSE)</f>
        <v>유사암진단비(갱신형_5년)</v>
      </c>
      <c r="D37" s="6"/>
      <c r="E37" s="6"/>
      <c r="F37" s="6">
        <v>2</v>
      </c>
      <c r="G37" s="6"/>
      <c r="H37" s="6"/>
      <c r="I37" s="6"/>
      <c r="J37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37" s="6">
        <f>VLOOKUP(TAB_Expense[[#This Row],[담보코드]], TAB_INFO_COV, 3, FALSE)</f>
        <v>100000</v>
      </c>
      <c r="L37" s="6">
        <v>1</v>
      </c>
      <c r="M37" s="6" cm="1">
        <f t="array" ref="M37">INDEX($W$7:$AF$13, MATCH(TAB_Expense[[#This Row],[담보명]],$V$7:$V$13, 0), TAB_Expense[[#This Row],[보험기간]])</f>
        <v>0.36799999999999999</v>
      </c>
      <c r="N37" s="6"/>
      <c r="O37" s="6">
        <f>INDEX($W$7:$AF$13, MATCH(TAB_Expense[[#This Row],[담보명]],$V$7:$V$13, 0), 6)</f>
        <v>0.3</v>
      </c>
      <c r="P37" s="6">
        <f>INDEX($W$7:$AF$13, MATCH(TAB_Expense[[#This Row],[담보명]],$V$7:$V$13, 0), 7)</f>
        <v>0.12039999999999999</v>
      </c>
      <c r="Q37" s="6"/>
      <c r="R37" s="6"/>
      <c r="S37" s="6">
        <f>INDEX($W$7:$AF$13, MATCH(TAB_Expense[[#This Row],[담보명]],$V$7:$V$13, 0), 9)</f>
        <v>2.5000000000000001E-2</v>
      </c>
      <c r="T37" s="7">
        <f>INDEX($W$7:$AF$13, MATCH(TAB_Expense[[#This Row],[담보명]],$V$7:$V$13, 0), 10)</f>
        <v>1.9599999999999999E-2</v>
      </c>
    </row>
    <row r="38" spans="2:20">
      <c r="B38" s="5" t="s">
        <v>278</v>
      </c>
      <c r="C38" s="6" t="str">
        <f>VLOOKUP(TAB_Expense[[#This Row],[담보코드]], TAB_INFO_COV, 2, FALSE)</f>
        <v>유사암진단비(갱신형_5년)</v>
      </c>
      <c r="D38" s="6"/>
      <c r="E38" s="6"/>
      <c r="F38" s="6">
        <v>2</v>
      </c>
      <c r="G38" s="6"/>
      <c r="H38" s="6"/>
      <c r="I38" s="6"/>
      <c r="J38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38" s="6">
        <f>VLOOKUP(TAB_Expense[[#This Row],[담보코드]], TAB_INFO_COV, 3, FALSE)</f>
        <v>100000</v>
      </c>
      <c r="L38" s="6">
        <v>2</v>
      </c>
      <c r="M38" s="6" cm="1">
        <f t="array" ref="M38">INDEX($W$7:$AF$13, MATCH(TAB_Expense[[#This Row],[담보명]],$V$7:$V$13, 0), TAB_Expense[[#This Row],[보험기간]])</f>
        <v>0.42199999999999999</v>
      </c>
      <c r="N38" s="6"/>
      <c r="O38" s="6">
        <f>INDEX($W$7:$AF$13, MATCH(TAB_Expense[[#This Row],[담보명]],$V$7:$V$13, 0), 6)</f>
        <v>0.3</v>
      </c>
      <c r="P38" s="6">
        <f>INDEX($W$7:$AF$13, MATCH(TAB_Expense[[#This Row],[담보명]],$V$7:$V$13, 0), 7)</f>
        <v>0.12039999999999999</v>
      </c>
      <c r="Q38" s="35"/>
      <c r="R38" s="6"/>
      <c r="S38" s="6">
        <f>INDEX($W$7:$AF$13, MATCH(TAB_Expense[[#This Row],[담보명]],$V$7:$V$13, 0), 9)</f>
        <v>2.5000000000000001E-2</v>
      </c>
      <c r="T38" s="7">
        <f>INDEX($W$7:$AF$13, MATCH(TAB_Expense[[#This Row],[담보명]],$V$7:$V$13, 0), 10)</f>
        <v>1.9599999999999999E-2</v>
      </c>
    </row>
    <row r="39" spans="2:20">
      <c r="B39" s="5" t="s">
        <v>278</v>
      </c>
      <c r="C39" s="6" t="str">
        <f>VLOOKUP(TAB_Expense[[#This Row],[담보코드]], TAB_INFO_COV, 2, FALSE)</f>
        <v>유사암진단비(갱신형_5년)</v>
      </c>
      <c r="D39" s="6"/>
      <c r="E39" s="6"/>
      <c r="F39" s="6">
        <v>2</v>
      </c>
      <c r="G39" s="6"/>
      <c r="H39" s="6"/>
      <c r="I39" s="6"/>
      <c r="J39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39" s="6">
        <f>VLOOKUP(TAB_Expense[[#This Row],[담보코드]], TAB_INFO_COV, 3, FALSE)</f>
        <v>100000</v>
      </c>
      <c r="L39" s="6">
        <v>3</v>
      </c>
      <c r="M39" s="6" cm="1">
        <f t="array" ref="M39">INDEX($W$7:$AF$13, MATCH(TAB_Expense[[#This Row],[담보명]],$V$7:$V$13, 0), TAB_Expense[[#This Row],[보험기간]])</f>
        <v>0.42199999999999999</v>
      </c>
      <c r="N39" s="6"/>
      <c r="O39" s="6">
        <f>INDEX($W$7:$AF$13, MATCH(TAB_Expense[[#This Row],[담보명]],$V$7:$V$13, 0), 6)</f>
        <v>0.3</v>
      </c>
      <c r="P39" s="6">
        <f>INDEX($W$7:$AF$13, MATCH(TAB_Expense[[#This Row],[담보명]],$V$7:$V$13, 0), 7)</f>
        <v>0.12039999999999999</v>
      </c>
      <c r="Q39" s="35"/>
      <c r="R39" s="6"/>
      <c r="S39" s="6">
        <f>INDEX($W$7:$AF$13, MATCH(TAB_Expense[[#This Row],[담보명]],$V$7:$V$13, 0), 9)</f>
        <v>2.5000000000000001E-2</v>
      </c>
      <c r="T39" s="7">
        <f>INDEX($W$7:$AF$13, MATCH(TAB_Expense[[#This Row],[담보명]],$V$7:$V$13, 0), 10)</f>
        <v>1.9599999999999999E-2</v>
      </c>
    </row>
    <row r="40" spans="2:20">
      <c r="B40" s="5" t="s">
        <v>278</v>
      </c>
      <c r="C40" s="6" t="str">
        <f>VLOOKUP(TAB_Expense[[#This Row],[담보코드]], TAB_INFO_COV, 2, FALSE)</f>
        <v>유사암진단비(갱신형_5년)</v>
      </c>
      <c r="D40" s="6"/>
      <c r="E40" s="6"/>
      <c r="F40" s="6">
        <v>2</v>
      </c>
      <c r="G40" s="6"/>
      <c r="H40" s="6"/>
      <c r="I40" s="6"/>
      <c r="J40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40" s="6">
        <f>VLOOKUP(TAB_Expense[[#This Row],[담보코드]], TAB_INFO_COV, 3, FALSE)</f>
        <v>100000</v>
      </c>
      <c r="L40" s="6">
        <v>4</v>
      </c>
      <c r="M40" s="6" cm="1">
        <f t="array" ref="M40">INDEX($W$7:$AF$13, MATCH(TAB_Expense[[#This Row],[담보명]],$V$7:$V$13, 0), TAB_Expense[[#This Row],[보험기간]])</f>
        <v>0.42199999999999999</v>
      </c>
      <c r="N40" s="6"/>
      <c r="O40" s="6">
        <f>INDEX($W$7:$AF$13, MATCH(TAB_Expense[[#This Row],[담보명]],$V$7:$V$13, 0), 6)</f>
        <v>0.3</v>
      </c>
      <c r="P40" s="6">
        <f>INDEX($W$7:$AF$13, MATCH(TAB_Expense[[#This Row],[담보명]],$V$7:$V$13, 0), 7)</f>
        <v>0.12039999999999999</v>
      </c>
      <c r="Q40" s="35"/>
      <c r="R40" s="6"/>
      <c r="S40" s="6">
        <f>INDEX($W$7:$AF$13, MATCH(TAB_Expense[[#This Row],[담보명]],$V$7:$V$13, 0), 9)</f>
        <v>2.5000000000000001E-2</v>
      </c>
      <c r="T40" s="7">
        <f>INDEX($W$7:$AF$13, MATCH(TAB_Expense[[#This Row],[담보명]],$V$7:$V$13, 0), 10)</f>
        <v>1.9599999999999999E-2</v>
      </c>
    </row>
    <row r="41" spans="2:20">
      <c r="B41" s="8" t="s">
        <v>278</v>
      </c>
      <c r="C41" s="9" t="str">
        <f>VLOOKUP(TAB_Expense[[#This Row],[담보코드]], TAB_INFO_COV, 2, FALSE)</f>
        <v>유사암진단비(갱신형_5년)</v>
      </c>
      <c r="D41" s="9"/>
      <c r="E41" s="9"/>
      <c r="F41" s="9">
        <v>2</v>
      </c>
      <c r="G41" s="9"/>
      <c r="H41" s="9"/>
      <c r="I41" s="9"/>
      <c r="J41" s="22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41" s="6">
        <f>VLOOKUP(TAB_Expense[[#This Row],[담보코드]], TAB_INFO_COV, 3, FALSE)</f>
        <v>100000</v>
      </c>
      <c r="L41" s="9">
        <v>5</v>
      </c>
      <c r="M41" s="9" cm="1">
        <f t="array" ref="M41">INDEX($W$7:$AF$13, MATCH(TAB_Expense[[#This Row],[담보명]],$V$7:$V$13, 0), TAB_Expense[[#This Row],[보험기간]])</f>
        <v>0.42199999999999999</v>
      </c>
      <c r="N41" s="9"/>
      <c r="O41" s="9">
        <f>INDEX($W$7:$AF$13, MATCH(TAB_Expense[[#This Row],[담보명]],$V$7:$V$13, 0), 6)</f>
        <v>0.3</v>
      </c>
      <c r="P41" s="9">
        <f>INDEX($W$7:$AF$13, MATCH(TAB_Expense[[#This Row],[담보명]],$V$7:$V$13, 0), 7)</f>
        <v>0.12039999999999999</v>
      </c>
      <c r="Q41" s="22"/>
      <c r="R41" s="9"/>
      <c r="S41" s="9">
        <f>INDEX($W$7:$AF$13, MATCH(TAB_Expense[[#This Row],[담보명]],$V$7:$V$13, 0), 9)</f>
        <v>2.5000000000000001E-2</v>
      </c>
      <c r="T41" s="10">
        <f>INDEX($W$7:$AF$13, MATCH(TAB_Expense[[#This Row],[담보명]],$V$7:$V$13, 0), 10)</f>
        <v>1.9599999999999999E-2</v>
      </c>
    </row>
  </sheetData>
  <phoneticPr fontId="1" type="noConversion"/>
  <pageMargins left="0.7" right="0.7" top="0.75" bottom="0.75" header="0.3" footer="0.3"/>
  <pageSetup paperSize="9" scale="53" orientation="portrait" horizontalDpi="4294967292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72D0-C987-46CF-8E2A-91E597BC9388}">
  <sheetPr codeName="Sheet7">
    <pageSetUpPr fitToPage="1"/>
  </sheetPr>
  <dimension ref="B1:AB12"/>
  <sheetViews>
    <sheetView showGridLines="0" view="pageBreakPreview" zoomScale="60" zoomScaleNormal="100" workbookViewId="0">
      <pane xSplit="10" ySplit="5" topLeftCell="K6" activePane="bottomRight" state="frozen"/>
      <selection pane="topRight" activeCell="J1" sqref="J1"/>
      <selection pane="bottomLeft" activeCell="A4" sqref="A4"/>
      <selection pane="bottomRight" activeCell="M33" sqref="M33"/>
    </sheetView>
  </sheetViews>
  <sheetFormatPr defaultRowHeight="17.399999999999999"/>
  <cols>
    <col min="1" max="1" width="2.5" customWidth="1"/>
    <col min="2" max="2" width="9.3984375" customWidth="1"/>
    <col min="3" max="3" width="40.296875" customWidth="1"/>
    <col min="4" max="5" width="0" hidden="1" customWidth="1"/>
    <col min="6" max="6" width="10.09765625" customWidth="1"/>
    <col min="7" max="9" width="0" hidden="1" customWidth="1"/>
    <col min="10" max="10" width="14.3984375" bestFit="1" customWidth="1"/>
    <col min="12" max="14" width="9.3984375" customWidth="1"/>
    <col min="19" max="19" width="9.3984375" customWidth="1"/>
    <col min="20" max="20" width="11.09765625" customWidth="1"/>
    <col min="21" max="21" width="12.796875" customWidth="1"/>
    <col min="22" max="22" width="11.09765625" customWidth="1"/>
    <col min="23" max="24" width="9.3984375" customWidth="1"/>
    <col min="25" max="25" width="11.09765625" customWidth="1"/>
    <col min="26" max="26" width="12.796875" customWidth="1"/>
    <col min="27" max="27" width="22" customWidth="1"/>
    <col min="28" max="28" width="9" customWidth="1"/>
  </cols>
  <sheetData>
    <row r="1" spans="2:28">
      <c r="B1" s="2">
        <v>1</v>
      </c>
      <c r="C1" s="2">
        <f>B1+1</f>
        <v>2</v>
      </c>
      <c r="D1" s="2">
        <f t="shared" ref="D1:AB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</row>
    <row r="2" spans="2:28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28">
      <c r="B3" s="4" t="s">
        <v>433</v>
      </c>
    </row>
    <row r="4" spans="2:28">
      <c r="K4" s="7" t="s">
        <v>434</v>
      </c>
      <c r="L4" s="24"/>
      <c r="M4" s="24"/>
      <c r="N4" s="5"/>
      <c r="O4" s="7" t="s">
        <v>435</v>
      </c>
      <c r="P4" s="24"/>
      <c r="Q4" s="24"/>
      <c r="R4" s="24"/>
      <c r="S4" s="24"/>
      <c r="T4" s="24"/>
      <c r="U4" s="24"/>
      <c r="V4" s="24"/>
      <c r="W4" s="24"/>
      <c r="X4" s="5"/>
    </row>
    <row r="5" spans="2:28">
      <c r="B5" s="67" t="s">
        <v>163</v>
      </c>
      <c r="C5" s="68" t="s">
        <v>164</v>
      </c>
      <c r="D5" s="68" t="s">
        <v>165</v>
      </c>
      <c r="E5" s="68" t="s">
        <v>166</v>
      </c>
      <c r="F5" s="68" t="s">
        <v>190</v>
      </c>
      <c r="G5" s="68" t="s">
        <v>191</v>
      </c>
      <c r="H5" s="68" t="s">
        <v>167</v>
      </c>
      <c r="I5" s="68" t="s">
        <v>168</v>
      </c>
      <c r="J5" s="69" t="s">
        <v>348</v>
      </c>
      <c r="K5" s="70" t="s">
        <v>349</v>
      </c>
      <c r="L5" s="70" t="s">
        <v>344</v>
      </c>
      <c r="M5" s="70" t="s">
        <v>345</v>
      </c>
      <c r="N5" s="70" t="s">
        <v>346</v>
      </c>
      <c r="O5" s="71" t="s">
        <v>350</v>
      </c>
      <c r="P5" s="71" t="s">
        <v>351</v>
      </c>
      <c r="Q5" s="71" t="s">
        <v>188</v>
      </c>
      <c r="R5" s="72" t="s">
        <v>199</v>
      </c>
      <c r="S5" s="72" t="s">
        <v>174</v>
      </c>
      <c r="T5" s="72" t="s">
        <v>347</v>
      </c>
      <c r="U5" s="72" t="s">
        <v>176</v>
      </c>
      <c r="V5" s="72" t="s">
        <v>177</v>
      </c>
      <c r="W5" s="72" t="s">
        <v>178</v>
      </c>
      <c r="X5" s="73" t="s">
        <v>352</v>
      </c>
      <c r="Y5" s="74" t="s">
        <v>353</v>
      </c>
      <c r="Z5" s="74" t="s">
        <v>354</v>
      </c>
      <c r="AA5" s="74" t="s">
        <v>355</v>
      </c>
      <c r="AB5" s="75" t="s">
        <v>356</v>
      </c>
    </row>
    <row r="6" spans="2:28">
      <c r="B6" s="76" t="s">
        <v>266</v>
      </c>
      <c r="C6" s="77" t="str">
        <f>VLOOKUP(TAB_Srate[[#This Row],[담보코드]], TAB_INFO_COV, 2, FALSE)</f>
        <v>질병후유장해(80%미만)(감액없음)(갱신형_5년)</v>
      </c>
      <c r="D6" s="77"/>
      <c r="E6" s="77"/>
      <c r="F6" s="77">
        <v>2</v>
      </c>
      <c r="G6" s="77"/>
      <c r="H6" s="77"/>
      <c r="I6" s="77"/>
      <c r="J6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LB5488002000</v>
      </c>
      <c r="K6" s="77"/>
      <c r="L6" s="77"/>
      <c r="M6" s="77"/>
      <c r="N6" s="77"/>
      <c r="O6" s="77">
        <v>40</v>
      </c>
      <c r="P6" s="77">
        <v>5</v>
      </c>
      <c r="Q6" s="77">
        <v>5</v>
      </c>
      <c r="R6" s="77">
        <v>1</v>
      </c>
      <c r="S6" s="77"/>
      <c r="T6" s="77"/>
      <c r="U6" s="77"/>
      <c r="V6" s="77"/>
      <c r="W6" s="77"/>
      <c r="X6" s="77">
        <v>12</v>
      </c>
      <c r="Y6" s="77"/>
      <c r="Z6" s="77"/>
      <c r="AA6" s="77" t="e">
        <f>TAB_Srate[[#This Row],[위험보험료]]/TAB_Srate[[#This Row],[정기보험순보]]</f>
        <v>#DIV/0!</v>
      </c>
      <c r="AB6" s="78" t="e">
        <f>_xlfn.MINIFS(TAB_Srate[위험보험료/정기보험순보],TAB_Srate[담보키], TAB_Srate[[#This Row],[담보키]])</f>
        <v>#DIV/0!</v>
      </c>
    </row>
    <row r="7" spans="2:28">
      <c r="B7" s="76" t="s">
        <v>268</v>
      </c>
      <c r="C7" s="77" t="str">
        <f>VLOOKUP(TAB_Srate[[#This Row],[담보코드]], TAB_INFO_COV, 2, FALSE)</f>
        <v>뇌졸중진단비(갱신형_5년)</v>
      </c>
      <c r="D7" s="77"/>
      <c r="E7" s="77"/>
      <c r="F7" s="77">
        <v>2</v>
      </c>
      <c r="G7" s="77"/>
      <c r="H7" s="77"/>
      <c r="I7" s="77"/>
      <c r="J7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LB0918002000</v>
      </c>
      <c r="K7" s="77"/>
      <c r="L7" s="77"/>
      <c r="M7" s="77"/>
      <c r="N7" s="77"/>
      <c r="O7" s="77">
        <v>40</v>
      </c>
      <c r="P7" s="77">
        <v>5</v>
      </c>
      <c r="Q7" s="77">
        <v>5</v>
      </c>
      <c r="R7" s="77">
        <v>1</v>
      </c>
      <c r="S7" s="77"/>
      <c r="T7" s="77"/>
      <c r="U7" s="77"/>
      <c r="V7" s="77"/>
      <c r="W7" s="77"/>
      <c r="X7" s="77">
        <v>12</v>
      </c>
      <c r="Y7" s="77"/>
      <c r="Z7" s="77"/>
      <c r="AA7" s="77" t="e">
        <f>TAB_Srate[[#This Row],[위험보험료]]/TAB_Srate[[#This Row],[정기보험순보]]</f>
        <v>#DIV/0!</v>
      </c>
      <c r="AB7" s="78" t="e">
        <f>_xlfn.MINIFS(TAB_Srate[위험보험료/정기보험순보],TAB_Srate[담보키], TAB_Srate[[#This Row],[담보키]])</f>
        <v>#DIV/0!</v>
      </c>
    </row>
    <row r="8" spans="2:28">
      <c r="B8" s="76" t="s">
        <v>270</v>
      </c>
      <c r="C8" s="77" t="str">
        <f>VLOOKUP(TAB_Srate[[#This Row],[담보코드]], TAB_INFO_COV, 2, FALSE)</f>
        <v>3대질병진단비(갱신형_5년)</v>
      </c>
      <c r="D8" s="77"/>
      <c r="E8" s="77"/>
      <c r="F8" s="77">
        <v>2</v>
      </c>
      <c r="G8" s="77"/>
      <c r="H8" s="77"/>
      <c r="I8" s="77"/>
      <c r="J8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LB7098002000</v>
      </c>
      <c r="K8" s="77"/>
      <c r="L8" s="77"/>
      <c r="M8" s="77"/>
      <c r="N8" s="77"/>
      <c r="O8" s="77">
        <v>40</v>
      </c>
      <c r="P8" s="77">
        <v>5</v>
      </c>
      <c r="Q8" s="77">
        <v>5</v>
      </c>
      <c r="R8" s="77">
        <v>1</v>
      </c>
      <c r="S8" s="77"/>
      <c r="T8" s="77"/>
      <c r="U8" s="77"/>
      <c r="V8" s="77"/>
      <c r="W8" s="77"/>
      <c r="X8" s="77">
        <v>12</v>
      </c>
      <c r="Y8" s="77">
        <v>2.332509022872317E-4</v>
      </c>
      <c r="Z8" s="77">
        <v>9.3067224589639931E-5</v>
      </c>
      <c r="AA8" s="77">
        <f>TAB_Srate[[#This Row],[위험보험료]]/TAB_Srate[[#This Row],[정기보험순보]]</f>
        <v>2.5062625786435748</v>
      </c>
      <c r="AB8" s="78">
        <f>_xlfn.MINIFS(TAB_Srate[위험보험료/정기보험순보],TAB_Srate[담보키], TAB_Srate[[#This Row],[담보키]])</f>
        <v>2.5062625786435748</v>
      </c>
    </row>
    <row r="9" spans="2:28">
      <c r="B9" s="76" t="s">
        <v>273</v>
      </c>
      <c r="C9" s="77" t="str">
        <f>VLOOKUP(TAB_Srate[[#This Row],[담보코드]], TAB_INFO_COV, 2, FALSE)</f>
        <v>응급실내원비(갱신형_5년)</v>
      </c>
      <c r="D9" s="77"/>
      <c r="E9" s="77"/>
      <c r="F9" s="77">
        <v>2</v>
      </c>
      <c r="G9" s="77"/>
      <c r="H9" s="77"/>
      <c r="I9" s="77"/>
      <c r="J9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LC0738002000</v>
      </c>
      <c r="K9" s="77"/>
      <c r="L9" s="77"/>
      <c r="M9" s="77"/>
      <c r="N9" s="77"/>
      <c r="O9" s="77">
        <v>40</v>
      </c>
      <c r="P9" s="77">
        <v>5</v>
      </c>
      <c r="Q9" s="77">
        <v>5</v>
      </c>
      <c r="R9" s="77">
        <v>1</v>
      </c>
      <c r="S9" s="77"/>
      <c r="T9" s="77"/>
      <c r="U9" s="77"/>
      <c r="V9" s="77"/>
      <c r="W9" s="77"/>
      <c r="X9" s="77">
        <v>12</v>
      </c>
      <c r="Y9" s="77">
        <v>1.626783997013229E-2</v>
      </c>
      <c r="Z9" s="77">
        <v>9.3067224589639931E-5</v>
      </c>
      <c r="AA9" s="77">
        <f>TAB_Srate[[#This Row],[위험보험료]]/TAB_Srate[[#This Row],[정기보험순보]]</f>
        <v>174.79665953145008</v>
      </c>
      <c r="AB9" s="78">
        <f>_xlfn.MINIFS(TAB_Srate[위험보험료/정기보험순보],TAB_Srate[담보키], TAB_Srate[[#This Row],[담보키]])</f>
        <v>174.79665953145008</v>
      </c>
    </row>
    <row r="10" spans="2:28">
      <c r="B10" s="76" t="s">
        <v>276</v>
      </c>
      <c r="C10" s="77" t="str">
        <f>VLOOKUP(TAB_Srate[[#This Row],[담보코드]], TAB_INFO_COV, 2, FALSE)</f>
        <v>대중교통이용중교통상해사망(갱신형_5년)</v>
      </c>
      <c r="D10" s="77"/>
      <c r="E10" s="77"/>
      <c r="F10" s="77">
        <v>2</v>
      </c>
      <c r="G10" s="77"/>
      <c r="H10" s="77"/>
      <c r="I10" s="77"/>
      <c r="J10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LA1568002000</v>
      </c>
      <c r="K10" s="77"/>
      <c r="L10" s="77"/>
      <c r="M10" s="77"/>
      <c r="N10" s="77"/>
      <c r="O10" s="77">
        <v>40</v>
      </c>
      <c r="P10" s="77">
        <v>5</v>
      </c>
      <c r="Q10" s="77">
        <v>5</v>
      </c>
      <c r="R10" s="77">
        <v>1</v>
      </c>
      <c r="S10" s="77"/>
      <c r="T10" s="77"/>
      <c r="U10" s="77"/>
      <c r="V10" s="77"/>
      <c r="W10" s="77"/>
      <c r="X10" s="77">
        <v>12</v>
      </c>
      <c r="Y10" s="77">
        <v>3.3296597504746297E-7</v>
      </c>
      <c r="Z10" s="77">
        <v>9.3067224589639931E-5</v>
      </c>
      <c r="AA10" s="77">
        <f>TAB_Srate[[#This Row],[위험보험료]]/TAB_Srate[[#This Row],[정기보험순보]]</f>
        <v>3.5776931837776982E-3</v>
      </c>
      <c r="AB10" s="78">
        <f>_xlfn.MINIFS(TAB_Srate[위험보험료/정기보험순보],TAB_Srate[담보키], TAB_Srate[[#This Row],[담보키]])</f>
        <v>3.5776931837776982E-3</v>
      </c>
    </row>
    <row r="11" spans="2:28">
      <c r="B11" s="76" t="s">
        <v>277</v>
      </c>
      <c r="C11" s="77" t="str">
        <f>VLOOKUP(TAB_Srate[[#This Row],[담보코드]], TAB_INFO_COV, 2, FALSE)</f>
        <v>암진단비(유사암제외)(갱신형_5년)</v>
      </c>
      <c r="D11" s="77"/>
      <c r="E11" s="77"/>
      <c r="F11" s="77">
        <v>2</v>
      </c>
      <c r="G11" s="77"/>
      <c r="H11" s="77"/>
      <c r="I11" s="77"/>
      <c r="J11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LB7068002000</v>
      </c>
      <c r="K11" s="77"/>
      <c r="L11" s="77"/>
      <c r="M11" s="77"/>
      <c r="N11" s="77"/>
      <c r="O11" s="77">
        <v>40</v>
      </c>
      <c r="P11" s="77">
        <v>5</v>
      </c>
      <c r="Q11" s="77">
        <v>5</v>
      </c>
      <c r="R11" s="77">
        <v>1</v>
      </c>
      <c r="S11" s="77"/>
      <c r="T11" s="77"/>
      <c r="U11" s="77"/>
      <c r="V11" s="77"/>
      <c r="W11" s="77"/>
      <c r="X11" s="77">
        <v>12</v>
      </c>
      <c r="Y11" s="77">
        <v>1.1423532372804739E-4</v>
      </c>
      <c r="Z11" s="77">
        <v>9.3067224589639931E-5</v>
      </c>
      <c r="AA11" s="77">
        <f>TAB_Srate[[#This Row],[위험보험료]]/TAB_Srate[[#This Row],[정기보험순보]]</f>
        <v>1.2274495584427674</v>
      </c>
      <c r="AB11" s="78">
        <f>_xlfn.MINIFS(TAB_Srate[위험보험료/정기보험순보],TAB_Srate[담보키], TAB_Srate[[#This Row],[담보키]])</f>
        <v>1.2274495584427674</v>
      </c>
    </row>
    <row r="12" spans="2:28">
      <c r="B12" s="76" t="s">
        <v>278</v>
      </c>
      <c r="C12" s="77" t="str">
        <f>VLOOKUP(TAB_Srate[[#This Row],[담보코드]], TAB_INFO_COV, 2, FALSE)</f>
        <v>유사암진단비(갱신형_5년)</v>
      </c>
      <c r="D12" s="77"/>
      <c r="E12" s="77"/>
      <c r="F12" s="77">
        <v>2</v>
      </c>
      <c r="G12" s="77"/>
      <c r="H12" s="77"/>
      <c r="I12" s="77"/>
      <c r="J12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LB4648002000</v>
      </c>
      <c r="K12" s="77"/>
      <c r="L12" s="77"/>
      <c r="M12" s="77"/>
      <c r="N12" s="77"/>
      <c r="O12" s="77">
        <v>40</v>
      </c>
      <c r="P12" s="77">
        <v>5</v>
      </c>
      <c r="Q12" s="77">
        <v>5</v>
      </c>
      <c r="R12" s="77">
        <v>1</v>
      </c>
      <c r="S12" s="77"/>
      <c r="T12" s="77"/>
      <c r="U12" s="77"/>
      <c r="V12" s="77"/>
      <c r="W12" s="77"/>
      <c r="X12" s="77">
        <v>12</v>
      </c>
      <c r="Y12" s="77">
        <v>3.2296674995337989E-5</v>
      </c>
      <c r="Z12" s="77">
        <v>9.3067224589639931E-5</v>
      </c>
      <c r="AA12" s="77">
        <f>TAB_Srate[[#This Row],[위험보험료]]/TAB_Srate[[#This Row],[정기보험순보]]</f>
        <v>0.34702522974917632</v>
      </c>
      <c r="AB12" s="78">
        <f>_xlfn.MINIFS(TAB_Srate[위험보험료/정기보험순보],TAB_Srate[담보키], TAB_Srate[[#This Row],[담보키]])</f>
        <v>0.34702522974917632</v>
      </c>
    </row>
  </sheetData>
  <phoneticPr fontId="1" type="noConversion"/>
  <pageMargins left="0.7" right="0.7" top="0.75" bottom="0.75" header="0.3" footer="0.3"/>
  <pageSetup paperSize="9" scale="29" orientation="portrait" horizontalDpi="4294967292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E82DE-1E6A-497D-8F50-C0B9F2217B7A}">
  <sheetPr codeName="Sheet6">
    <pageSetUpPr fitToPage="1"/>
  </sheetPr>
  <dimension ref="A2:AZ25"/>
  <sheetViews>
    <sheetView showGridLines="0" view="pageBreakPreview" zoomScale="60" zoomScaleNormal="100" workbookViewId="0">
      <pane xSplit="6" ySplit="5" topLeftCell="U6" activePane="bottomRight" state="frozen"/>
      <selection pane="topRight" activeCell="G1" sqref="G1"/>
      <selection pane="bottomLeft" activeCell="A5" sqref="A5"/>
      <selection pane="bottomRight" activeCell="AB13" sqref="AB13"/>
    </sheetView>
  </sheetViews>
  <sheetFormatPr defaultRowHeight="17.399999999999999"/>
  <cols>
    <col min="1" max="1" width="1.09765625" customWidth="1"/>
    <col min="2" max="2" width="12.296875" bestFit="1" customWidth="1"/>
    <col min="3" max="3" width="14.296875" bestFit="1" customWidth="1"/>
    <col min="4" max="4" width="38.59765625" customWidth="1"/>
    <col min="5" max="5" width="1.796875" customWidth="1"/>
    <col min="16" max="22" width="13.296875" bestFit="1" customWidth="1"/>
    <col min="23" max="23" width="15.3984375" customWidth="1"/>
    <col min="24" max="24" width="9.3984375" bestFit="1" customWidth="1"/>
    <col min="25" max="25" width="13.59765625" bestFit="1" customWidth="1"/>
    <col min="26" max="26" width="11.59765625" bestFit="1" customWidth="1"/>
    <col min="27" max="27" width="9.59765625" bestFit="1" customWidth="1"/>
    <col min="28" max="28" width="12.296875" bestFit="1" customWidth="1"/>
  </cols>
  <sheetData>
    <row r="2" spans="1:52">
      <c r="B2" s="4" t="s">
        <v>196</v>
      </c>
      <c r="E2" s="4" t="s">
        <v>208</v>
      </c>
      <c r="F2" s="4"/>
      <c r="I2" s="6" t="s">
        <v>392</v>
      </c>
      <c r="J2" s="6">
        <v>0.40500000000000003</v>
      </c>
      <c r="L2" s="6" t="s">
        <v>393</v>
      </c>
      <c r="M2" s="6">
        <v>0</v>
      </c>
      <c r="O2" s="6" t="s">
        <v>394</v>
      </c>
      <c r="P2" s="6">
        <v>4.4299999999999999E-3</v>
      </c>
      <c r="R2" s="6" t="s">
        <v>395</v>
      </c>
      <c r="S2" s="6">
        <v>0.12039999999999999</v>
      </c>
      <c r="U2" s="6" t="s">
        <v>396</v>
      </c>
      <c r="V2" s="6">
        <v>0</v>
      </c>
      <c r="X2" s="6" t="s">
        <v>397</v>
      </c>
      <c r="Y2" s="6">
        <v>0</v>
      </c>
      <c r="AA2" s="6" t="s">
        <v>398</v>
      </c>
      <c r="AB2" s="6">
        <v>2.5000000000000001E-2</v>
      </c>
      <c r="AD2" s="6" t="s">
        <v>399</v>
      </c>
      <c r="AE2" s="6">
        <v>1.9599999999999999E-2</v>
      </c>
    </row>
    <row r="3" spans="1:52">
      <c r="B3" s="4"/>
    </row>
    <row r="4" spans="1:52">
      <c r="F4" s="34"/>
      <c r="G4" s="34"/>
      <c r="H4" s="34" t="s">
        <v>450</v>
      </c>
      <c r="I4" s="34" t="s">
        <v>450</v>
      </c>
      <c r="J4" s="34" t="s">
        <v>450</v>
      </c>
      <c r="K4" s="34" t="s">
        <v>450</v>
      </c>
      <c r="L4" s="34"/>
      <c r="M4" s="34"/>
      <c r="N4" s="34"/>
      <c r="O4" s="34"/>
      <c r="P4" s="34"/>
      <c r="Q4" s="34"/>
      <c r="R4" s="34"/>
      <c r="S4" s="34" t="s">
        <v>412</v>
      </c>
      <c r="T4" s="34"/>
      <c r="U4" s="34"/>
      <c r="V4" s="34"/>
      <c r="W4" s="34" t="s">
        <v>417</v>
      </c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</row>
    <row r="5" spans="1:52">
      <c r="B5" s="6" t="s">
        <v>130</v>
      </c>
      <c r="C5" s="6" t="s">
        <v>270</v>
      </c>
      <c r="D5" t="str">
        <f>VLOOKUP(담보코드, Remark!$J$3:$K$44, 2, FALSE)</f>
        <v>3대질병진단비(갱신형_5년)</v>
      </c>
      <c r="F5" s="33" t="s">
        <v>390</v>
      </c>
      <c r="G5" s="33" t="s">
        <v>391</v>
      </c>
      <c r="H5" s="33" t="s">
        <v>400</v>
      </c>
      <c r="I5" s="33" t="s">
        <v>401</v>
      </c>
      <c r="J5" s="33" t="s">
        <v>402</v>
      </c>
      <c r="K5" s="33" t="s">
        <v>403</v>
      </c>
      <c r="L5" s="33" t="s">
        <v>404</v>
      </c>
      <c r="M5" s="33" t="s">
        <v>405</v>
      </c>
      <c r="N5" s="33" t="s">
        <v>406</v>
      </c>
      <c r="O5" s="33" t="s">
        <v>407</v>
      </c>
      <c r="P5" s="33" t="s">
        <v>408</v>
      </c>
      <c r="Q5" s="33" t="s">
        <v>409</v>
      </c>
      <c r="R5" s="33" t="s">
        <v>410</v>
      </c>
      <c r="S5" s="33" t="s">
        <v>411</v>
      </c>
      <c r="T5" s="33" t="s">
        <v>413</v>
      </c>
      <c r="U5" s="33" t="s">
        <v>414</v>
      </c>
      <c r="V5" s="33" t="s">
        <v>415</v>
      </c>
      <c r="W5" s="33" t="s">
        <v>416</v>
      </c>
      <c r="X5" s="33" t="s">
        <v>418</v>
      </c>
      <c r="Y5" s="33" t="s">
        <v>419</v>
      </c>
      <c r="Z5" s="33" t="s">
        <v>420</v>
      </c>
      <c r="AA5" s="33" t="s">
        <v>421</v>
      </c>
      <c r="AB5" s="33" t="s">
        <v>422</v>
      </c>
      <c r="AC5" s="33" t="s">
        <v>423</v>
      </c>
      <c r="AD5" s="33" t="s">
        <v>424</v>
      </c>
      <c r="AE5" s="33" t="s">
        <v>425</v>
      </c>
      <c r="AF5" s="33" t="s">
        <v>426</v>
      </c>
      <c r="AG5" s="33" t="s">
        <v>427</v>
      </c>
      <c r="AH5" s="33" t="s">
        <v>428</v>
      </c>
      <c r="AI5" s="33" t="s">
        <v>429</v>
      </c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</row>
    <row r="6" spans="1:52">
      <c r="A6" s="25"/>
      <c r="B6" s="6" t="s">
        <v>165</v>
      </c>
      <c r="C6" s="6"/>
      <c r="F6" s="6">
        <v>0</v>
      </c>
      <c r="G6" s="6">
        <v>40</v>
      </c>
      <c r="H6" s="6">
        <v>1.9809842648809139E-3</v>
      </c>
      <c r="I6" s="6">
        <v>1.9809842648809139E-3</v>
      </c>
      <c r="J6" s="6">
        <v>1.9809842648809139E-3</v>
      </c>
      <c r="K6" s="6">
        <v>1.9809842648809139E-3</v>
      </c>
      <c r="L6" s="6">
        <v>100000</v>
      </c>
      <c r="M6" s="6">
        <v>100000</v>
      </c>
      <c r="N6" s="6">
        <v>100000</v>
      </c>
      <c r="O6" s="6">
        <v>100000</v>
      </c>
      <c r="P6" s="6">
        <v>100000</v>
      </c>
      <c r="Q6" s="6">
        <v>561071.63604074216</v>
      </c>
      <c r="R6" s="6">
        <v>561071.63604074216</v>
      </c>
      <c r="S6" s="6">
        <v>195.66767889200091</v>
      </c>
      <c r="T6" s="6">
        <v>1637.1714537664102</v>
      </c>
      <c r="U6" s="6">
        <v>1310.0314781015065</v>
      </c>
      <c r="V6" s="6">
        <v>2.3325090228723164E-4</v>
      </c>
      <c r="W6" s="6">
        <v>233</v>
      </c>
      <c r="X6" s="6">
        <v>2.7642184246515393E-3</v>
      </c>
      <c r="Y6" s="6">
        <v>2764</v>
      </c>
      <c r="Z6" s="6">
        <v>4.1702127230919505E-4</v>
      </c>
      <c r="AA6" s="6">
        <v>417</v>
      </c>
      <c r="AB6" s="6">
        <v>4.9349591355443805E-3</v>
      </c>
      <c r="AC6" s="6">
        <v>4935</v>
      </c>
      <c r="AD6" s="6">
        <v>-1.5876189252139739E-19</v>
      </c>
      <c r="AE6" s="6">
        <v>0</v>
      </c>
      <c r="AF6" s="6">
        <v>10691.05460616</v>
      </c>
      <c r="AG6" s="6">
        <v>0</v>
      </c>
      <c r="AH6" s="6">
        <v>0</v>
      </c>
      <c r="AI6" s="6">
        <v>0</v>
      </c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</row>
    <row r="7" spans="1:52">
      <c r="A7" s="25"/>
      <c r="B7" s="6" t="s">
        <v>166</v>
      </c>
      <c r="C7" s="6"/>
      <c r="F7" s="6">
        <v>1</v>
      </c>
      <c r="G7" s="6">
        <v>41</v>
      </c>
      <c r="H7" s="6">
        <v>2.5729173899883273E-3</v>
      </c>
      <c r="I7" s="6">
        <v>2.5729173899883273E-3</v>
      </c>
      <c r="J7" s="6">
        <v>2.5729173899883273E-3</v>
      </c>
      <c r="K7" s="6">
        <v>2.5729173899883273E-3</v>
      </c>
      <c r="L7" s="6">
        <v>99801.901573511903</v>
      </c>
      <c r="M7" s="6">
        <v>99801.901573511903</v>
      </c>
      <c r="N7" s="6">
        <v>99801.901573511903</v>
      </c>
      <c r="O7" s="6">
        <v>97367.70885220675</v>
      </c>
      <c r="P7" s="6">
        <v>97367.70885220675</v>
      </c>
      <c r="Q7" s="6">
        <v>461071.63604074216</v>
      </c>
      <c r="R7" s="6">
        <v>461071.63604074216</v>
      </c>
      <c r="S7" s="6">
        <v>247.4451012769841</v>
      </c>
      <c r="T7" s="6">
        <v>1441.5037748744094</v>
      </c>
      <c r="U7" s="6">
        <v>1114.3637992095057</v>
      </c>
      <c r="V7" s="6"/>
      <c r="W7" s="6"/>
      <c r="X7" s="6"/>
      <c r="Y7" s="6"/>
      <c r="Z7" s="6"/>
      <c r="AA7" s="6"/>
      <c r="AB7" s="6"/>
      <c r="AC7" s="6"/>
      <c r="AD7" s="6">
        <v>8.293731517882263E-4</v>
      </c>
      <c r="AE7" s="6">
        <v>829</v>
      </c>
      <c r="AF7" s="6"/>
      <c r="AG7" s="6"/>
      <c r="AH7" s="6">
        <v>0</v>
      </c>
      <c r="AI7" s="6">
        <v>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</row>
    <row r="8" spans="1:52">
      <c r="B8" s="6" t="s">
        <v>192</v>
      </c>
      <c r="C8" s="6">
        <v>2</v>
      </c>
      <c r="D8" t="str">
        <f>IF(갱신구분=1,"신규","갱신")</f>
        <v>갱신</v>
      </c>
      <c r="F8" s="6">
        <v>2</v>
      </c>
      <c r="G8" s="6">
        <v>42</v>
      </c>
      <c r="H8" s="6">
        <v>2.8813792031699981E-3</v>
      </c>
      <c r="I8" s="6">
        <v>2.8813792031699981E-3</v>
      </c>
      <c r="J8" s="6">
        <v>2.8813792031699981E-3</v>
      </c>
      <c r="K8" s="6">
        <v>2.8813792031699981E-3</v>
      </c>
      <c r="L8" s="6">
        <v>99545.11952539951</v>
      </c>
      <c r="M8" s="6">
        <v>99545.11952539951</v>
      </c>
      <c r="N8" s="6">
        <v>99545.11952539951</v>
      </c>
      <c r="O8" s="6">
        <v>94748.477835002515</v>
      </c>
      <c r="P8" s="6">
        <v>94748.477835002515</v>
      </c>
      <c r="Q8" s="6">
        <v>363703.9271885354</v>
      </c>
      <c r="R8" s="6">
        <v>363703.9271885354</v>
      </c>
      <c r="S8" s="6">
        <v>269.65639622653697</v>
      </c>
      <c r="T8" s="6">
        <v>1194.0586735974252</v>
      </c>
      <c r="U8" s="6">
        <v>866.91869793252158</v>
      </c>
      <c r="V8" s="6"/>
      <c r="W8" s="6"/>
      <c r="X8" s="6"/>
      <c r="Y8" s="6"/>
      <c r="Z8" s="6"/>
      <c r="AA8" s="6"/>
      <c r="AB8" s="6"/>
      <c r="AC8" s="6"/>
      <c r="AD8" s="6">
        <v>1.0813332246873977E-3</v>
      </c>
      <c r="AE8" s="6">
        <v>1081</v>
      </c>
      <c r="AF8" s="6"/>
      <c r="AG8" s="6"/>
      <c r="AH8" s="6">
        <v>0</v>
      </c>
      <c r="AI8" s="6">
        <v>0</v>
      </c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</row>
    <row r="9" spans="1:52">
      <c r="B9" s="6" t="s">
        <v>193</v>
      </c>
      <c r="C9" s="6"/>
      <c r="F9" s="6">
        <v>3</v>
      </c>
      <c r="G9" s="6">
        <v>43</v>
      </c>
      <c r="H9" s="6">
        <v>3.1778215409224986E-3</v>
      </c>
      <c r="I9" s="6">
        <v>3.1778215409224986E-3</v>
      </c>
      <c r="J9" s="6">
        <v>3.1778215409224986E-3</v>
      </c>
      <c r="K9" s="6">
        <v>3.1778215409224986E-3</v>
      </c>
      <c r="L9" s="6">
        <v>99258.292288221957</v>
      </c>
      <c r="M9" s="6">
        <v>99258.292288221957</v>
      </c>
      <c r="N9" s="6">
        <v>99258.292288221957</v>
      </c>
      <c r="O9" s="6">
        <v>92171.191747743171</v>
      </c>
      <c r="P9" s="6">
        <v>92171.191747743171</v>
      </c>
      <c r="Q9" s="6">
        <v>268955.44935353287</v>
      </c>
      <c r="R9" s="6">
        <v>268955.44935353287</v>
      </c>
      <c r="S9" s="6">
        <v>289.30955329100902</v>
      </c>
      <c r="T9" s="6">
        <v>924.40227737088821</v>
      </c>
      <c r="U9" s="6">
        <v>597.26230170598456</v>
      </c>
      <c r="V9" s="6"/>
      <c r="W9" s="6"/>
      <c r="X9" s="6"/>
      <c r="Y9" s="6"/>
      <c r="Z9" s="6"/>
      <c r="AA9" s="6"/>
      <c r="AB9" s="6"/>
      <c r="AC9" s="6"/>
      <c r="AD9" s="6">
        <v>1.027476885005444E-3</v>
      </c>
      <c r="AE9" s="6">
        <v>1027</v>
      </c>
      <c r="AF9" s="6"/>
      <c r="AG9" s="6"/>
      <c r="AH9" s="6">
        <v>0</v>
      </c>
      <c r="AI9" s="6">
        <v>0</v>
      </c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</row>
    <row r="10" spans="1:52">
      <c r="B10" s="6" t="s">
        <v>194</v>
      </c>
      <c r="C10" s="6"/>
      <c r="F10" s="6">
        <v>4</v>
      </c>
      <c r="G10" s="6">
        <v>44</v>
      </c>
      <c r="H10" s="6">
        <v>3.4782195162006424E-3</v>
      </c>
      <c r="I10" s="6">
        <v>3.4782195162006424E-3</v>
      </c>
      <c r="J10" s="6">
        <v>3.4782195162006424E-3</v>
      </c>
      <c r="K10" s="6">
        <v>3.4782195162006424E-3</v>
      </c>
      <c r="L10" s="6">
        <v>98942.867148873265</v>
      </c>
      <c r="M10" s="6">
        <v>98942.867148873265</v>
      </c>
      <c r="N10" s="6">
        <v>98942.867148873265</v>
      </c>
      <c r="O10" s="6">
        <v>89637.354291858253</v>
      </c>
      <c r="P10" s="6">
        <v>89637.354291858253</v>
      </c>
      <c r="Q10" s="6">
        <v>176784.25760578969</v>
      </c>
      <c r="R10" s="6">
        <v>176784.25760578969</v>
      </c>
      <c r="S10" s="6">
        <v>307.95274841497559</v>
      </c>
      <c r="T10" s="6">
        <v>635.09272407987919</v>
      </c>
      <c r="U10" s="6">
        <v>307.95274841497559</v>
      </c>
      <c r="V10" s="6"/>
      <c r="W10" s="6"/>
      <c r="X10" s="6"/>
      <c r="Y10" s="6"/>
      <c r="Z10" s="6"/>
      <c r="AA10" s="6"/>
      <c r="AB10" s="6"/>
      <c r="AC10" s="6"/>
      <c r="AD10" s="6">
        <v>6.7132193514405194E-4</v>
      </c>
      <c r="AE10" s="6">
        <v>671</v>
      </c>
      <c r="AF10" s="6"/>
      <c r="AG10" s="6"/>
      <c r="AH10" s="6">
        <v>0</v>
      </c>
      <c r="AI10" s="6">
        <v>0</v>
      </c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>
      <c r="B11" s="6" t="s">
        <v>195</v>
      </c>
      <c r="C11" s="6"/>
      <c r="F11" s="6">
        <v>5</v>
      </c>
      <c r="G11" s="6">
        <v>45</v>
      </c>
      <c r="H11" s="6">
        <v>3.8005249701602573E-3</v>
      </c>
      <c r="I11" s="6">
        <v>3.8005249701602573E-3</v>
      </c>
      <c r="J11" s="6">
        <v>3.8005249701602573E-3</v>
      </c>
      <c r="K11" s="6">
        <v>3.8005249701602573E-3</v>
      </c>
      <c r="L11" s="6">
        <v>98598.722137367207</v>
      </c>
      <c r="M11" s="6">
        <v>98598.722137367207</v>
      </c>
      <c r="N11" s="6">
        <v>98598.722137367207</v>
      </c>
      <c r="O11" s="6">
        <v>87146.903313931442</v>
      </c>
      <c r="P11" s="6">
        <v>87146.903313931442</v>
      </c>
      <c r="Q11" s="6">
        <v>87146.903313931442</v>
      </c>
      <c r="R11" s="6">
        <v>87146.903313931442</v>
      </c>
      <c r="S11" s="6">
        <v>327.1399756649036</v>
      </c>
      <c r="T11" s="6">
        <v>327.1399756649036</v>
      </c>
      <c r="U11" s="6">
        <v>0</v>
      </c>
      <c r="V11" s="6"/>
      <c r="W11" s="6"/>
      <c r="X11" s="6"/>
      <c r="Y11" s="6"/>
      <c r="Z11" s="6"/>
      <c r="AA11" s="6"/>
      <c r="AB11" s="6"/>
      <c r="AC11" s="6"/>
      <c r="AD11" s="6">
        <v>0</v>
      </c>
      <c r="AE11" s="6">
        <v>0</v>
      </c>
      <c r="AF11" s="6"/>
      <c r="AG11" s="6"/>
      <c r="AH11" s="6">
        <v>0</v>
      </c>
      <c r="AI11" s="6">
        <v>0</v>
      </c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" thickBot="1">
      <c r="B12" s="28" t="s">
        <v>151</v>
      </c>
      <c r="C12" s="29" t="str">
        <f>담보코드 &amp; VALUE(형) &amp; VALUE(종) &amp; VALUE(갱신구분) &amp; VALUE(구분자1) &amp; VALUE(구분자2) &amp; VALUE(구분자3)</f>
        <v>LB7098002000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0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</row>
    <row r="13" spans="1:52" ht="18" thickTop="1">
      <c r="B13" s="14" t="s">
        <v>198</v>
      </c>
      <c r="C13" s="14">
        <v>1</v>
      </c>
      <c r="D13" t="str">
        <f>IF(sex=1,"男", "女")</f>
        <v>男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</row>
    <row r="14" spans="1:52">
      <c r="B14" s="6" t="s">
        <v>200</v>
      </c>
      <c r="C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</row>
    <row r="15" spans="1:52">
      <c r="B15" s="6" t="s">
        <v>201</v>
      </c>
      <c r="C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</row>
    <row r="16" spans="1:52">
      <c r="B16" s="6" t="s">
        <v>202</v>
      </c>
      <c r="C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</row>
    <row r="17" spans="2:52">
      <c r="B17" s="6" t="s">
        <v>203</v>
      </c>
      <c r="C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</row>
    <row r="18" spans="2:52">
      <c r="B18" s="6" t="s">
        <v>128</v>
      </c>
      <c r="C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</row>
    <row r="19" spans="2:52">
      <c r="B19" s="27" t="s">
        <v>187</v>
      </c>
      <c r="C19" s="6">
        <v>40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</row>
    <row r="20" spans="2:52">
      <c r="B20" s="27" t="s">
        <v>197</v>
      </c>
      <c r="C20" s="6">
        <v>5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</row>
    <row r="21" spans="2:52" ht="18" thickBot="1">
      <c r="B21" s="30" t="s">
        <v>189</v>
      </c>
      <c r="C21" s="9">
        <v>5</v>
      </c>
      <c r="D21" t="str">
        <f>IF(n=m, "전기납","")</f>
        <v>전기납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</row>
    <row r="22" spans="2:52" ht="18" thickTop="1">
      <c r="B22" s="31" t="s">
        <v>207</v>
      </c>
      <c r="C22" s="32">
        <v>2.5000000000000001E-2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</row>
    <row r="23" spans="2:52">
      <c r="B23" s="27" t="s">
        <v>206</v>
      </c>
      <c r="C23" s="26">
        <f>1/(1+i)</f>
        <v>0.97560975609756106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</row>
    <row r="24" spans="2:52"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</row>
    <row r="25" spans="2:52"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</row>
  </sheetData>
  <phoneticPr fontId="1" type="noConversion"/>
  <pageMargins left="0.7" right="0.7" top="0.75" bottom="0.75" header="0.3" footer="0.3"/>
  <pageSetup paperSize="9" scale="14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Z_Setting">
                <anchor moveWithCells="1" sizeWithCells="1">
                  <from>
                    <xdr:col>2</xdr:col>
                    <xdr:colOff>15240</xdr:colOff>
                    <xdr:row>0</xdr:row>
                    <xdr:rowOff>60960</xdr:rowOff>
                  </from>
                  <to>
                    <xdr:col>3</xdr:col>
                    <xdr:colOff>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Z_Print">
                <anchor moveWithCells="1" sizeWithCells="1">
                  <from>
                    <xdr:col>2</xdr:col>
                    <xdr:colOff>15240</xdr:colOff>
                    <xdr:row>1</xdr:row>
                    <xdr:rowOff>114300</xdr:rowOff>
                  </from>
                  <to>
                    <xdr:col>3</xdr:col>
                    <xdr:colOff>7620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Z_Clear">
                <anchor moveWithCells="1" sizeWithCells="1">
                  <from>
                    <xdr:col>2</xdr:col>
                    <xdr:colOff>7620</xdr:colOff>
                    <xdr:row>2</xdr:row>
                    <xdr:rowOff>144780</xdr:rowOff>
                  </from>
                  <to>
                    <xdr:col>2</xdr:col>
                    <xdr:colOff>1211580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9467-57CC-409A-A620-89A697565432}">
  <sheetPr codeName="Sheet5">
    <pageSetUpPr fitToPage="1"/>
  </sheetPr>
  <dimension ref="A1:L44"/>
  <sheetViews>
    <sheetView showGridLines="0" view="pageBreakPreview" zoomScale="60" zoomScaleNormal="100" workbookViewId="0">
      <pane ySplit="4" topLeftCell="A5" activePane="bottomLeft" state="frozen"/>
      <selection pane="bottomLeft" activeCell="I25" sqref="I25"/>
    </sheetView>
  </sheetViews>
  <sheetFormatPr defaultRowHeight="17.399999999999999"/>
  <cols>
    <col min="1" max="1" width="10.3984375" bestFit="1" customWidth="1"/>
    <col min="2" max="2" width="30.09765625" bestFit="1" customWidth="1"/>
    <col min="3" max="3" width="6.796875" bestFit="1" customWidth="1"/>
    <col min="4" max="4" width="8.59765625" bestFit="1" customWidth="1"/>
    <col min="5" max="5" width="10.3984375" bestFit="1" customWidth="1"/>
    <col min="6" max="6" width="12.3984375" bestFit="1" customWidth="1"/>
    <col min="7" max="7" width="10.3984375" bestFit="1" customWidth="1"/>
    <col min="8" max="8" width="8.59765625" bestFit="1" customWidth="1"/>
    <col min="10" max="10" width="8.59765625" bestFit="1" customWidth="1"/>
    <col min="11" max="11" width="56" bestFit="1" customWidth="1"/>
    <col min="12" max="12" width="12.59765625" bestFit="1" customWidth="1"/>
  </cols>
  <sheetData>
    <row r="1" spans="1:12">
      <c r="A1" s="4" t="s">
        <v>369</v>
      </c>
      <c r="J1" s="4" t="s">
        <v>368</v>
      </c>
    </row>
    <row r="3" spans="1:12">
      <c r="C3" s="7" t="s">
        <v>179</v>
      </c>
      <c r="D3" s="24"/>
      <c r="E3" s="24"/>
      <c r="F3" s="24"/>
      <c r="G3" s="24"/>
      <c r="H3" s="5"/>
      <c r="J3" s="6" t="s">
        <v>130</v>
      </c>
      <c r="K3" s="6" t="s">
        <v>126</v>
      </c>
      <c r="L3" s="6" t="s">
        <v>162</v>
      </c>
    </row>
    <row r="4" spans="1:12">
      <c r="A4" s="23" t="s">
        <v>0</v>
      </c>
      <c r="B4" s="23" t="s">
        <v>127</v>
      </c>
      <c r="C4" s="23" t="s">
        <v>122</v>
      </c>
      <c r="D4" s="23" t="s">
        <v>174</v>
      </c>
      <c r="E4" s="23" t="s">
        <v>175</v>
      </c>
      <c r="F4" s="23" t="s">
        <v>176</v>
      </c>
      <c r="G4" s="23" t="s">
        <v>177</v>
      </c>
      <c r="H4" s="23" t="s">
        <v>128</v>
      </c>
      <c r="J4" s="6" t="s">
        <v>239</v>
      </c>
      <c r="K4" s="6" t="s">
        <v>288</v>
      </c>
      <c r="L4" s="58">
        <v>1000000</v>
      </c>
    </row>
    <row r="5" spans="1:12">
      <c r="A5" s="23" t="s">
        <v>287</v>
      </c>
      <c r="B5" s="23" t="s">
        <v>330</v>
      </c>
      <c r="C5" s="23" t="s">
        <v>180</v>
      </c>
      <c r="D5" s="23"/>
      <c r="E5" s="23"/>
      <c r="F5" s="23"/>
      <c r="G5" s="23"/>
      <c r="H5" s="23"/>
      <c r="J5" s="6" t="s">
        <v>240</v>
      </c>
      <c r="K5" s="6" t="s">
        <v>289</v>
      </c>
      <c r="L5" s="58">
        <v>100000</v>
      </c>
    </row>
    <row r="6" spans="1:12">
      <c r="A6" s="23" t="s">
        <v>279</v>
      </c>
      <c r="B6" s="38" t="s">
        <v>331</v>
      </c>
      <c r="C6" s="23" t="s">
        <v>180</v>
      </c>
      <c r="D6" s="23"/>
      <c r="E6" s="23"/>
      <c r="F6" s="23"/>
      <c r="G6" s="23"/>
      <c r="H6" s="23"/>
      <c r="J6" s="6" t="s">
        <v>241</v>
      </c>
      <c r="K6" s="6" t="s">
        <v>290</v>
      </c>
      <c r="L6" s="58">
        <v>1000000</v>
      </c>
    </row>
    <row r="7" spans="1:12">
      <c r="A7" s="39" t="s">
        <v>281</v>
      </c>
      <c r="B7" s="38" t="s">
        <v>332</v>
      </c>
      <c r="C7" s="23" t="s">
        <v>180</v>
      </c>
      <c r="D7" s="23"/>
      <c r="E7" s="23"/>
      <c r="F7" s="23"/>
      <c r="G7" s="23"/>
      <c r="H7" s="23"/>
      <c r="J7" s="6" t="s">
        <v>242</v>
      </c>
      <c r="K7" s="6" t="s">
        <v>291</v>
      </c>
      <c r="L7" s="58">
        <v>1000000</v>
      </c>
    </row>
    <row r="8" spans="1:12">
      <c r="A8" s="23" t="s">
        <v>282</v>
      </c>
      <c r="B8" s="38" t="s">
        <v>333</v>
      </c>
      <c r="C8" s="23" t="s">
        <v>180</v>
      </c>
      <c r="D8" s="23"/>
      <c r="E8" s="23"/>
      <c r="F8" s="23"/>
      <c r="G8" s="23"/>
      <c r="H8" s="23"/>
      <c r="J8" s="6" t="s">
        <v>243</v>
      </c>
      <c r="K8" s="6" t="s">
        <v>292</v>
      </c>
      <c r="L8" s="58">
        <v>1000000</v>
      </c>
    </row>
    <row r="9" spans="1:12">
      <c r="A9" s="23" t="s">
        <v>283</v>
      </c>
      <c r="B9" s="38" t="s">
        <v>334</v>
      </c>
      <c r="C9" s="23" t="s">
        <v>180</v>
      </c>
      <c r="D9" s="23"/>
      <c r="E9" s="23"/>
      <c r="F9" s="23"/>
      <c r="G9" s="23"/>
      <c r="H9" s="23"/>
      <c r="J9" s="6" t="s">
        <v>244</v>
      </c>
      <c r="K9" s="6" t="s">
        <v>293</v>
      </c>
      <c r="L9" s="58">
        <v>100000</v>
      </c>
    </row>
    <row r="10" spans="1:12">
      <c r="A10" s="23" t="s">
        <v>284</v>
      </c>
      <c r="B10" s="38" t="s">
        <v>335</v>
      </c>
      <c r="C10" s="23" t="s">
        <v>180</v>
      </c>
      <c r="D10" s="23"/>
      <c r="E10" s="23"/>
      <c r="F10" s="23"/>
      <c r="G10" s="23"/>
      <c r="H10" s="23"/>
      <c r="J10" s="6" t="s">
        <v>245</v>
      </c>
      <c r="K10" s="6" t="s">
        <v>294</v>
      </c>
      <c r="L10" s="58">
        <v>1000000</v>
      </c>
    </row>
    <row r="11" spans="1:12">
      <c r="A11" s="23" t="s">
        <v>285</v>
      </c>
      <c r="B11" s="23" t="s">
        <v>336</v>
      </c>
      <c r="C11" s="23" t="s">
        <v>180</v>
      </c>
      <c r="D11" s="23"/>
      <c r="E11" s="23"/>
      <c r="F11" s="23"/>
      <c r="G11" s="23"/>
      <c r="H11" s="23"/>
      <c r="J11" s="6" t="s">
        <v>246</v>
      </c>
      <c r="K11" s="6" t="s">
        <v>295</v>
      </c>
      <c r="L11" s="58">
        <v>100000</v>
      </c>
    </row>
    <row r="12" spans="1:12">
      <c r="A12" s="23" t="s">
        <v>286</v>
      </c>
      <c r="B12" s="38" t="s">
        <v>337</v>
      </c>
      <c r="C12" s="23" t="s">
        <v>180</v>
      </c>
      <c r="D12" s="23"/>
      <c r="E12" s="23"/>
      <c r="F12" s="23"/>
      <c r="G12" s="23"/>
      <c r="H12" s="23"/>
      <c r="J12" s="6" t="s">
        <v>247</v>
      </c>
      <c r="K12" s="6" t="s">
        <v>296</v>
      </c>
      <c r="L12" s="58">
        <v>1000000</v>
      </c>
    </row>
    <row r="13" spans="1:12">
      <c r="A13" s="23" t="s">
        <v>338</v>
      </c>
      <c r="B13" s="23" t="s">
        <v>340</v>
      </c>
      <c r="C13" s="39" t="s">
        <v>180</v>
      </c>
      <c r="D13" s="23"/>
      <c r="E13" s="23"/>
      <c r="F13" s="23"/>
      <c r="G13" s="23"/>
      <c r="H13" s="23"/>
      <c r="J13" s="6" t="s">
        <v>248</v>
      </c>
      <c r="K13" s="6" t="s">
        <v>297</v>
      </c>
      <c r="L13" s="58">
        <v>1000000</v>
      </c>
    </row>
    <row r="14" spans="1:12">
      <c r="A14" s="23" t="s">
        <v>342</v>
      </c>
      <c r="B14" s="23" t="s">
        <v>341</v>
      </c>
      <c r="C14" s="39" t="s">
        <v>180</v>
      </c>
      <c r="D14" s="23"/>
      <c r="E14" s="23"/>
      <c r="F14" s="23"/>
      <c r="G14" s="23"/>
      <c r="H14" s="23"/>
      <c r="J14" s="6" t="s">
        <v>249</v>
      </c>
      <c r="K14" s="6" t="s">
        <v>298</v>
      </c>
      <c r="L14" s="58">
        <v>100000</v>
      </c>
    </row>
    <row r="15" spans="1:12">
      <c r="A15" s="6" t="s">
        <v>280</v>
      </c>
      <c r="B15" s="6" t="s">
        <v>367</v>
      </c>
      <c r="C15" s="39" t="s">
        <v>180</v>
      </c>
      <c r="D15" s="6"/>
      <c r="E15" s="6"/>
      <c r="F15" s="6"/>
      <c r="G15" s="6"/>
      <c r="H15" s="6"/>
      <c r="J15" s="6" t="s">
        <v>250</v>
      </c>
      <c r="K15" s="6" t="s">
        <v>299</v>
      </c>
      <c r="L15" s="58">
        <v>1000000</v>
      </c>
    </row>
    <row r="16" spans="1:12">
      <c r="A16" s="6" t="s">
        <v>436</v>
      </c>
      <c r="B16" s="6" t="s">
        <v>437</v>
      </c>
      <c r="C16" s="39" t="s">
        <v>180</v>
      </c>
      <c r="D16" s="6"/>
      <c r="E16" s="6"/>
      <c r="F16" s="6"/>
      <c r="G16" s="6"/>
      <c r="H16" s="6"/>
      <c r="J16" s="6" t="s">
        <v>251</v>
      </c>
      <c r="K16" s="6" t="s">
        <v>300</v>
      </c>
      <c r="L16" s="58">
        <v>1000000</v>
      </c>
    </row>
    <row r="17" spans="1:12">
      <c r="A17" s="6"/>
      <c r="B17" s="6"/>
      <c r="C17" s="6"/>
      <c r="D17" s="6"/>
      <c r="E17" s="6"/>
      <c r="F17" s="6"/>
      <c r="G17" s="6"/>
      <c r="H17" s="6"/>
      <c r="J17" s="6" t="s">
        <v>252</v>
      </c>
      <c r="K17" s="6" t="s">
        <v>301</v>
      </c>
      <c r="L17" s="58">
        <v>1000000</v>
      </c>
    </row>
    <row r="18" spans="1:12">
      <c r="A18" s="6"/>
      <c r="B18" s="6"/>
      <c r="C18" s="6"/>
      <c r="D18" s="6"/>
      <c r="E18" s="6"/>
      <c r="F18" s="6"/>
      <c r="G18" s="6"/>
      <c r="H18" s="6"/>
      <c r="J18" s="6" t="s">
        <v>253</v>
      </c>
      <c r="K18" s="6" t="s">
        <v>302</v>
      </c>
      <c r="L18" s="58">
        <v>1000000</v>
      </c>
    </row>
    <row r="19" spans="1:12">
      <c r="A19" s="6"/>
      <c r="B19" s="6"/>
      <c r="C19" s="6"/>
      <c r="D19" s="6"/>
      <c r="E19" s="6"/>
      <c r="F19" s="6"/>
      <c r="G19" s="6"/>
      <c r="H19" s="6"/>
      <c r="J19" s="6" t="s">
        <v>254</v>
      </c>
      <c r="K19" s="6" t="s">
        <v>303</v>
      </c>
      <c r="L19" s="58">
        <v>1000000</v>
      </c>
    </row>
    <row r="20" spans="1:12">
      <c r="A20" s="6"/>
      <c r="B20" s="6"/>
      <c r="C20" s="6"/>
      <c r="D20" s="6"/>
      <c r="E20" s="6"/>
      <c r="F20" s="6"/>
      <c r="G20" s="6"/>
      <c r="H20" s="6"/>
      <c r="J20" s="6" t="s">
        <v>255</v>
      </c>
      <c r="K20" s="6" t="s">
        <v>304</v>
      </c>
      <c r="L20" s="58">
        <v>100000</v>
      </c>
    </row>
    <row r="21" spans="1:12">
      <c r="A21" s="6"/>
      <c r="B21" s="6"/>
      <c r="C21" s="6"/>
      <c r="D21" s="6"/>
      <c r="E21" s="6"/>
      <c r="F21" s="6"/>
      <c r="G21" s="6"/>
      <c r="H21" s="6"/>
      <c r="J21" s="6" t="s">
        <v>256</v>
      </c>
      <c r="K21" s="6" t="s">
        <v>305</v>
      </c>
      <c r="L21" s="58">
        <v>1000000</v>
      </c>
    </row>
    <row r="22" spans="1:12">
      <c r="A22" s="6"/>
      <c r="B22" s="6"/>
      <c r="C22" s="6"/>
      <c r="D22" s="6"/>
      <c r="E22" s="6"/>
      <c r="F22" s="6"/>
      <c r="G22" s="6"/>
      <c r="H22" s="6"/>
      <c r="J22" s="6" t="s">
        <v>257</v>
      </c>
      <c r="K22" s="6" t="s">
        <v>306</v>
      </c>
      <c r="L22" s="58">
        <v>1000000</v>
      </c>
    </row>
    <row r="23" spans="1:12">
      <c r="J23" s="6" t="s">
        <v>258</v>
      </c>
      <c r="K23" s="6" t="s">
        <v>307</v>
      </c>
      <c r="L23" s="58">
        <v>1000000</v>
      </c>
    </row>
    <row r="24" spans="1:12">
      <c r="J24" s="6" t="s">
        <v>259</v>
      </c>
      <c r="K24" s="6" t="s">
        <v>308</v>
      </c>
      <c r="L24" s="58">
        <v>100000</v>
      </c>
    </row>
    <row r="25" spans="1:12">
      <c r="J25" s="6" t="s">
        <v>260</v>
      </c>
      <c r="K25" s="6" t="s">
        <v>309</v>
      </c>
      <c r="L25" s="58">
        <v>1000000</v>
      </c>
    </row>
    <row r="26" spans="1:12">
      <c r="J26" s="6" t="s">
        <v>261</v>
      </c>
      <c r="K26" s="6" t="s">
        <v>310</v>
      </c>
      <c r="L26" s="58">
        <v>100000</v>
      </c>
    </row>
    <row r="27" spans="1:12">
      <c r="J27" s="6" t="s">
        <v>262</v>
      </c>
      <c r="K27" s="6" t="s">
        <v>311</v>
      </c>
      <c r="L27" s="58">
        <v>1000000</v>
      </c>
    </row>
    <row r="28" spans="1:12">
      <c r="J28" s="6" t="s">
        <v>263</v>
      </c>
      <c r="K28" s="6" t="s">
        <v>312</v>
      </c>
      <c r="L28" s="58">
        <v>1000000</v>
      </c>
    </row>
    <row r="29" spans="1:12">
      <c r="J29" s="6" t="s">
        <v>264</v>
      </c>
      <c r="K29" s="6" t="s">
        <v>313</v>
      </c>
      <c r="L29" s="58">
        <v>100000</v>
      </c>
    </row>
    <row r="30" spans="1:12">
      <c r="J30" s="6" t="s">
        <v>265</v>
      </c>
      <c r="K30" s="6" t="s">
        <v>314</v>
      </c>
      <c r="L30" s="58">
        <v>1000000</v>
      </c>
    </row>
    <row r="31" spans="1:12">
      <c r="J31" s="6" t="s">
        <v>266</v>
      </c>
      <c r="K31" s="6" t="s">
        <v>315</v>
      </c>
      <c r="L31" s="58">
        <v>1000000</v>
      </c>
    </row>
    <row r="32" spans="1:12">
      <c r="J32" s="6" t="s">
        <v>267</v>
      </c>
      <c r="K32" s="6" t="s">
        <v>316</v>
      </c>
      <c r="L32" s="58">
        <v>1000000</v>
      </c>
    </row>
    <row r="33" spans="10:12">
      <c r="J33" s="6" t="s">
        <v>268</v>
      </c>
      <c r="K33" s="6" t="s">
        <v>317</v>
      </c>
      <c r="L33" s="58">
        <v>1000000</v>
      </c>
    </row>
    <row r="34" spans="10:12">
      <c r="J34" s="6" t="s">
        <v>269</v>
      </c>
      <c r="K34" s="6" t="s">
        <v>318</v>
      </c>
      <c r="L34" s="58">
        <v>1000000</v>
      </c>
    </row>
    <row r="35" spans="10:12">
      <c r="J35" s="6" t="s">
        <v>270</v>
      </c>
      <c r="K35" s="6" t="s">
        <v>319</v>
      </c>
      <c r="L35" s="58">
        <v>1000000</v>
      </c>
    </row>
    <row r="36" spans="10:12">
      <c r="J36" s="6" t="s">
        <v>271</v>
      </c>
      <c r="K36" s="6" t="s">
        <v>320</v>
      </c>
      <c r="L36" s="58">
        <v>10000</v>
      </c>
    </row>
    <row r="37" spans="10:12">
      <c r="J37" s="6" t="s">
        <v>272</v>
      </c>
      <c r="K37" s="6" t="s">
        <v>321</v>
      </c>
      <c r="L37" s="58">
        <v>10000</v>
      </c>
    </row>
    <row r="38" spans="10:12">
      <c r="J38" s="6" t="s">
        <v>273</v>
      </c>
      <c r="K38" s="6" t="s">
        <v>322</v>
      </c>
      <c r="L38" s="58">
        <v>10000</v>
      </c>
    </row>
    <row r="39" spans="10:12">
      <c r="J39" s="6" t="s">
        <v>274</v>
      </c>
      <c r="K39" s="6" t="s">
        <v>323</v>
      </c>
      <c r="L39" s="58">
        <v>1000000</v>
      </c>
    </row>
    <row r="40" spans="10:12">
      <c r="J40" s="6" t="s">
        <v>275</v>
      </c>
      <c r="K40" s="6" t="s">
        <v>324</v>
      </c>
      <c r="L40" s="58">
        <v>1000000</v>
      </c>
    </row>
    <row r="41" spans="10:12">
      <c r="J41" s="6" t="s">
        <v>276</v>
      </c>
      <c r="K41" s="6" t="s">
        <v>325</v>
      </c>
      <c r="L41" s="58">
        <v>10000000</v>
      </c>
    </row>
    <row r="42" spans="10:12">
      <c r="J42" s="6" t="s">
        <v>277</v>
      </c>
      <c r="K42" s="6" t="s">
        <v>326</v>
      </c>
      <c r="L42" s="58">
        <v>1000000</v>
      </c>
    </row>
    <row r="43" spans="10:12">
      <c r="J43" s="6" t="s">
        <v>278</v>
      </c>
      <c r="K43" s="6" t="s">
        <v>327</v>
      </c>
      <c r="L43" s="58">
        <v>100000</v>
      </c>
    </row>
    <row r="44" spans="10:12">
      <c r="J44" s="6" t="s">
        <v>439</v>
      </c>
      <c r="K44" s="6" t="s">
        <v>328</v>
      </c>
      <c r="L44" s="58" t="e">
        <v>#N/A</v>
      </c>
    </row>
  </sheetData>
  <phoneticPr fontId="1" type="noConversion"/>
  <pageMargins left="0.7" right="0.7" top="0.75" bottom="0.75" header="0.3" footer="0.3"/>
  <pageSetup paperSize="9" scale="41" orientation="portrait" horizont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1377E-6F91-4445-8C80-F2757EABDE01}">
  <sheetPr codeName="Sheet9"/>
  <dimension ref="A1:AO1684"/>
  <sheetViews>
    <sheetView workbookViewId="0">
      <pane xSplit="2" ySplit="4" topLeftCell="C1668" activePane="bottomRight" state="frozen"/>
      <selection pane="topRight" activeCell="C1" sqref="C1"/>
      <selection pane="bottomLeft" activeCell="A5" sqref="A5"/>
      <selection pane="bottomRight" activeCell="H1676" sqref="H1676"/>
    </sheetView>
  </sheetViews>
  <sheetFormatPr defaultRowHeight="17.399999999999999"/>
  <sheetData>
    <row r="1" spans="1:41">
      <c r="B1">
        <v>1</v>
      </c>
      <c r="C1">
        <f>B1+1</f>
        <v>2</v>
      </c>
      <c r="D1">
        <f t="shared" ref="D1:AF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</row>
    <row r="3" spans="1:41">
      <c r="B3" s="10" t="s">
        <v>441</v>
      </c>
      <c r="C3" s="61"/>
      <c r="D3" s="61" t="s">
        <v>432</v>
      </c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8"/>
      <c r="X3" s="7" t="s">
        <v>442</v>
      </c>
      <c r="Y3" s="24"/>
      <c r="Z3" s="24"/>
      <c r="AA3" s="24"/>
      <c r="AB3" s="24"/>
      <c r="AC3" s="24"/>
      <c r="AD3" s="24"/>
      <c r="AE3" s="24"/>
      <c r="AF3" s="5"/>
      <c r="AH3" s="7" t="s">
        <v>447</v>
      </c>
      <c r="AI3" s="24"/>
      <c r="AJ3" s="24"/>
      <c r="AK3" s="24"/>
      <c r="AL3" s="24"/>
      <c r="AM3" s="24"/>
      <c r="AN3" s="24"/>
      <c r="AO3" s="5"/>
    </row>
    <row r="4" spans="1:41">
      <c r="A4" s="81" t="s">
        <v>443</v>
      </c>
      <c r="B4" s="80" t="s">
        <v>163</v>
      </c>
      <c r="C4" s="34" t="s">
        <v>204</v>
      </c>
      <c r="D4" s="34" t="s">
        <v>370</v>
      </c>
      <c r="E4" s="34" t="s">
        <v>430</v>
      </c>
      <c r="F4" s="34" t="s">
        <v>371</v>
      </c>
      <c r="G4" s="34" t="s">
        <v>199</v>
      </c>
      <c r="H4" s="34" t="s">
        <v>372</v>
      </c>
      <c r="I4" s="34" t="s">
        <v>174</v>
      </c>
      <c r="J4" s="34" t="s">
        <v>175</v>
      </c>
      <c r="K4" s="34" t="s">
        <v>373</v>
      </c>
      <c r="L4" s="34" t="s">
        <v>374</v>
      </c>
      <c r="M4" s="34" t="s">
        <v>375</v>
      </c>
      <c r="N4" s="34" t="s">
        <v>376</v>
      </c>
      <c r="O4" s="34" t="s">
        <v>377</v>
      </c>
      <c r="P4" s="34" t="s">
        <v>378</v>
      </c>
      <c r="Q4" s="34" t="s">
        <v>379</v>
      </c>
      <c r="R4" s="34" t="s">
        <v>380</v>
      </c>
      <c r="S4" s="34" t="s">
        <v>381</v>
      </c>
      <c r="T4" s="34" t="s">
        <v>382</v>
      </c>
      <c r="U4" s="34" t="s">
        <v>383</v>
      </c>
      <c r="V4" s="13" t="s">
        <v>384</v>
      </c>
      <c r="X4" t="s">
        <v>444</v>
      </c>
      <c r="Y4" t="s">
        <v>445</v>
      </c>
      <c r="Z4" t="s">
        <v>446</v>
      </c>
      <c r="AA4" s="34" t="s">
        <v>377</v>
      </c>
      <c r="AB4" s="34" t="s">
        <v>378</v>
      </c>
      <c r="AC4" s="34" t="s">
        <v>379</v>
      </c>
      <c r="AD4" s="34" t="s">
        <v>380</v>
      </c>
      <c r="AE4" s="34" t="s">
        <v>381</v>
      </c>
      <c r="AF4" s="34" t="s">
        <v>382</v>
      </c>
      <c r="AH4" s="6" t="s">
        <v>445</v>
      </c>
      <c r="AI4" s="6" t="s">
        <v>446</v>
      </c>
      <c r="AJ4" s="6" t="s">
        <v>377</v>
      </c>
      <c r="AK4" s="6" t="s">
        <v>378</v>
      </c>
      <c r="AL4" s="6" t="s">
        <v>379</v>
      </c>
      <c r="AM4" s="6" t="s">
        <v>380</v>
      </c>
      <c r="AN4" s="6" t="s">
        <v>381</v>
      </c>
      <c r="AO4" s="6" t="s">
        <v>382</v>
      </c>
    </row>
    <row r="5" spans="1:41">
      <c r="A5">
        <v>1</v>
      </c>
      <c r="B5" t="s">
        <v>273</v>
      </c>
      <c r="C5">
        <v>5</v>
      </c>
      <c r="D5">
        <v>5</v>
      </c>
      <c r="E5" t="s">
        <v>385</v>
      </c>
      <c r="F5">
        <v>412</v>
      </c>
      <c r="G5">
        <v>1</v>
      </c>
      <c r="H5">
        <v>30</v>
      </c>
      <c r="I5" t="s">
        <v>386</v>
      </c>
      <c r="J5" t="s">
        <v>386</v>
      </c>
      <c r="K5">
        <v>10000</v>
      </c>
      <c r="L5">
        <v>162</v>
      </c>
      <c r="M5">
        <v>162</v>
      </c>
      <c r="N5">
        <v>256</v>
      </c>
      <c r="O5">
        <v>0</v>
      </c>
      <c r="P5">
        <v>48</v>
      </c>
      <c r="Q5">
        <v>72</v>
      </c>
      <c r="R5">
        <v>70</v>
      </c>
      <c r="S5">
        <v>45</v>
      </c>
      <c r="T5">
        <v>0</v>
      </c>
      <c r="U5">
        <v>2859</v>
      </c>
      <c r="V5">
        <v>18228.849816670001</v>
      </c>
      <c r="AH5">
        <f>IF(L5=Y5, "",L5-Y5)</f>
        <v>162</v>
      </c>
      <c r="AI5">
        <f>IF(N5=Z5, "", N5-Z5)</f>
        <v>256</v>
      </c>
      <c r="AJ5" t="str">
        <f>IF(O5=AA5, "", O5-AA5)</f>
        <v/>
      </c>
      <c r="AK5">
        <f>IF(P5=AB5, "", P5-AB5)</f>
        <v>48</v>
      </c>
      <c r="AL5">
        <f t="shared" ref="AL5:AL68" si="1">IF(Q5=AC5, "", Q5-AC5)</f>
        <v>72</v>
      </c>
      <c r="AM5">
        <f t="shared" ref="AM5:AM68" si="2">IF(R5=AD5, "", R5-AD5)</f>
        <v>70</v>
      </c>
      <c r="AN5">
        <f t="shared" ref="AN5:AN68" si="3">IF(S5=AE5, "", S5-AE5)</f>
        <v>45</v>
      </c>
      <c r="AO5" t="str">
        <f t="shared" ref="AO5:AO68" si="4">IF(T5=AF5, "", T5-AF5)</f>
        <v/>
      </c>
    </row>
    <row r="6" spans="1:41">
      <c r="A6">
        <f>A5+1</f>
        <v>2</v>
      </c>
      <c r="B6" t="s">
        <v>273</v>
      </c>
      <c r="C6">
        <v>5</v>
      </c>
      <c r="D6">
        <v>5</v>
      </c>
      <c r="E6" t="s">
        <v>385</v>
      </c>
      <c r="F6">
        <v>412</v>
      </c>
      <c r="G6">
        <v>1</v>
      </c>
      <c r="H6">
        <v>31</v>
      </c>
      <c r="I6" t="s">
        <v>386</v>
      </c>
      <c r="J6" t="s">
        <v>386</v>
      </c>
      <c r="K6">
        <v>10000</v>
      </c>
      <c r="L6">
        <v>164</v>
      </c>
      <c r="M6">
        <v>164</v>
      </c>
      <c r="N6">
        <v>259</v>
      </c>
      <c r="O6">
        <v>0</v>
      </c>
      <c r="P6">
        <v>44</v>
      </c>
      <c r="Q6">
        <v>63</v>
      </c>
      <c r="R6">
        <v>58</v>
      </c>
      <c r="S6">
        <v>35</v>
      </c>
      <c r="T6">
        <v>0</v>
      </c>
      <c r="U6">
        <v>2889</v>
      </c>
      <c r="V6">
        <v>18233.967387969999</v>
      </c>
      <c r="AH6">
        <f t="shared" ref="AH6:AH69" si="5">IF(L6=Y6, "",L6-Y6)</f>
        <v>164</v>
      </c>
      <c r="AI6">
        <f t="shared" ref="AI6:AI69" si="6">IF(N6=Z6, "", N6-Z6)</f>
        <v>259</v>
      </c>
      <c r="AJ6" t="str">
        <f t="shared" ref="AJ6:AJ69" si="7">IF(O6=AA6, "", O6-AA6)</f>
        <v/>
      </c>
      <c r="AK6">
        <f t="shared" ref="AK6:AK69" si="8">IF(P6=AB6, "", P6-AB6)</f>
        <v>44</v>
      </c>
      <c r="AL6">
        <f t="shared" si="1"/>
        <v>63</v>
      </c>
      <c r="AM6">
        <f t="shared" si="2"/>
        <v>58</v>
      </c>
      <c r="AN6">
        <f t="shared" si="3"/>
        <v>35</v>
      </c>
      <c r="AO6" t="str">
        <f t="shared" si="4"/>
        <v/>
      </c>
    </row>
    <row r="7" spans="1:41">
      <c r="A7">
        <f t="shared" ref="A7:A70" si="9">A6+1</f>
        <v>3</v>
      </c>
      <c r="B7" t="s">
        <v>273</v>
      </c>
      <c r="C7">
        <v>5</v>
      </c>
      <c r="D7">
        <v>5</v>
      </c>
      <c r="E7" t="s">
        <v>385</v>
      </c>
      <c r="F7">
        <v>412</v>
      </c>
      <c r="G7">
        <v>1</v>
      </c>
      <c r="H7">
        <v>32</v>
      </c>
      <c r="I7" t="s">
        <v>386</v>
      </c>
      <c r="J7" t="s">
        <v>386</v>
      </c>
      <c r="K7">
        <v>10000</v>
      </c>
      <c r="L7">
        <v>165</v>
      </c>
      <c r="M7">
        <v>165</v>
      </c>
      <c r="N7">
        <v>261</v>
      </c>
      <c r="O7">
        <v>0</v>
      </c>
      <c r="P7">
        <v>34</v>
      </c>
      <c r="Q7">
        <v>46</v>
      </c>
      <c r="R7">
        <v>38</v>
      </c>
      <c r="S7">
        <v>20</v>
      </c>
      <c r="T7">
        <v>0</v>
      </c>
      <c r="U7">
        <v>2913</v>
      </c>
      <c r="V7">
        <v>18237.99560916</v>
      </c>
      <c r="AH7">
        <f t="shared" si="5"/>
        <v>165</v>
      </c>
      <c r="AI7">
        <f t="shared" si="6"/>
        <v>261</v>
      </c>
      <c r="AJ7" t="str">
        <f t="shared" si="7"/>
        <v/>
      </c>
      <c r="AK7">
        <f t="shared" si="8"/>
        <v>34</v>
      </c>
      <c r="AL7">
        <f t="shared" si="1"/>
        <v>46</v>
      </c>
      <c r="AM7">
        <f t="shared" si="2"/>
        <v>38</v>
      </c>
      <c r="AN7">
        <f t="shared" si="3"/>
        <v>20</v>
      </c>
      <c r="AO7" t="str">
        <f t="shared" si="4"/>
        <v/>
      </c>
    </row>
    <row r="8" spans="1:41">
      <c r="A8">
        <f t="shared" si="9"/>
        <v>4</v>
      </c>
      <c r="B8" t="s">
        <v>273</v>
      </c>
      <c r="C8">
        <v>5</v>
      </c>
      <c r="D8">
        <v>5</v>
      </c>
      <c r="E8" t="s">
        <v>385</v>
      </c>
      <c r="F8">
        <v>412</v>
      </c>
      <c r="G8">
        <v>1</v>
      </c>
      <c r="H8">
        <v>33</v>
      </c>
      <c r="I8" t="s">
        <v>386</v>
      </c>
      <c r="J8" t="s">
        <v>386</v>
      </c>
      <c r="K8">
        <v>10000</v>
      </c>
      <c r="L8">
        <v>166</v>
      </c>
      <c r="M8">
        <v>166</v>
      </c>
      <c r="N8">
        <v>262</v>
      </c>
      <c r="O8">
        <v>0</v>
      </c>
      <c r="P8">
        <v>21</v>
      </c>
      <c r="Q8">
        <v>24</v>
      </c>
      <c r="R8">
        <v>16</v>
      </c>
      <c r="S8">
        <v>7</v>
      </c>
      <c r="T8">
        <v>0</v>
      </c>
      <c r="U8">
        <v>2929</v>
      </c>
      <c r="V8">
        <v>18240.619115630001</v>
      </c>
      <c r="AH8">
        <f t="shared" si="5"/>
        <v>166</v>
      </c>
      <c r="AI8">
        <f t="shared" si="6"/>
        <v>262</v>
      </c>
      <c r="AJ8" t="str">
        <f t="shared" si="7"/>
        <v/>
      </c>
      <c r="AK8">
        <f t="shared" si="8"/>
        <v>21</v>
      </c>
      <c r="AL8">
        <f t="shared" si="1"/>
        <v>24</v>
      </c>
      <c r="AM8">
        <f t="shared" si="2"/>
        <v>16</v>
      </c>
      <c r="AN8">
        <f t="shared" si="3"/>
        <v>7</v>
      </c>
      <c r="AO8" t="str">
        <f t="shared" si="4"/>
        <v/>
      </c>
    </row>
    <row r="9" spans="1:41">
      <c r="A9">
        <f t="shared" si="9"/>
        <v>5</v>
      </c>
      <c r="B9" t="s">
        <v>273</v>
      </c>
      <c r="C9">
        <v>5</v>
      </c>
      <c r="D9">
        <v>5</v>
      </c>
      <c r="E9" t="s">
        <v>385</v>
      </c>
      <c r="F9">
        <v>412</v>
      </c>
      <c r="G9">
        <v>1</v>
      </c>
      <c r="H9">
        <v>34</v>
      </c>
      <c r="I9" t="s">
        <v>386</v>
      </c>
      <c r="J9" t="s">
        <v>386</v>
      </c>
      <c r="K9">
        <v>10000</v>
      </c>
      <c r="L9">
        <v>167</v>
      </c>
      <c r="M9">
        <v>167</v>
      </c>
      <c r="N9">
        <v>263</v>
      </c>
      <c r="O9">
        <v>0</v>
      </c>
      <c r="P9">
        <v>7</v>
      </c>
      <c r="Q9">
        <v>4</v>
      </c>
      <c r="R9">
        <v>-1</v>
      </c>
      <c r="S9">
        <v>-3</v>
      </c>
      <c r="T9">
        <v>0</v>
      </c>
      <c r="U9">
        <v>2935</v>
      </c>
      <c r="V9">
        <v>18241.812049470002</v>
      </c>
      <c r="AH9">
        <f t="shared" si="5"/>
        <v>167</v>
      </c>
      <c r="AI9">
        <f t="shared" si="6"/>
        <v>263</v>
      </c>
      <c r="AJ9" t="str">
        <f t="shared" si="7"/>
        <v/>
      </c>
      <c r="AK9">
        <f t="shared" si="8"/>
        <v>7</v>
      </c>
      <c r="AL9">
        <f t="shared" si="1"/>
        <v>4</v>
      </c>
      <c r="AM9">
        <f t="shared" si="2"/>
        <v>-1</v>
      </c>
      <c r="AN9">
        <f t="shared" si="3"/>
        <v>-3</v>
      </c>
      <c r="AO9" t="str">
        <f t="shared" si="4"/>
        <v/>
      </c>
    </row>
    <row r="10" spans="1:41">
      <c r="A10">
        <f t="shared" si="9"/>
        <v>6</v>
      </c>
      <c r="B10" t="s">
        <v>273</v>
      </c>
      <c r="C10">
        <v>5</v>
      </c>
      <c r="D10">
        <v>5</v>
      </c>
      <c r="E10" t="s">
        <v>385</v>
      </c>
      <c r="F10">
        <v>412</v>
      </c>
      <c r="G10">
        <v>1</v>
      </c>
      <c r="H10">
        <v>35</v>
      </c>
      <c r="I10" t="s">
        <v>386</v>
      </c>
      <c r="J10" t="s">
        <v>386</v>
      </c>
      <c r="K10">
        <v>10000</v>
      </c>
      <c r="L10">
        <v>167</v>
      </c>
      <c r="M10">
        <v>167</v>
      </c>
      <c r="N10">
        <v>263</v>
      </c>
      <c r="O10">
        <v>0</v>
      </c>
      <c r="P10">
        <v>-3</v>
      </c>
      <c r="Q10">
        <v>-8</v>
      </c>
      <c r="R10">
        <v>-10</v>
      </c>
      <c r="S10">
        <v>-7</v>
      </c>
      <c r="T10">
        <v>0</v>
      </c>
      <c r="U10">
        <v>2936</v>
      </c>
      <c r="V10">
        <v>18241.854828129999</v>
      </c>
      <c r="AH10">
        <f t="shared" si="5"/>
        <v>167</v>
      </c>
      <c r="AI10">
        <f t="shared" si="6"/>
        <v>263</v>
      </c>
      <c r="AJ10" t="str">
        <f t="shared" si="7"/>
        <v/>
      </c>
      <c r="AK10">
        <f t="shared" si="8"/>
        <v>-3</v>
      </c>
      <c r="AL10">
        <f t="shared" si="1"/>
        <v>-8</v>
      </c>
      <c r="AM10">
        <f t="shared" si="2"/>
        <v>-10</v>
      </c>
      <c r="AN10">
        <f t="shared" si="3"/>
        <v>-7</v>
      </c>
      <c r="AO10" t="str">
        <f t="shared" si="4"/>
        <v/>
      </c>
    </row>
    <row r="11" spans="1:41">
      <c r="A11">
        <f t="shared" si="9"/>
        <v>7</v>
      </c>
      <c r="B11" t="s">
        <v>273</v>
      </c>
      <c r="C11">
        <v>5</v>
      </c>
      <c r="D11">
        <v>5</v>
      </c>
      <c r="E11" t="s">
        <v>385</v>
      </c>
      <c r="F11">
        <v>412</v>
      </c>
      <c r="G11">
        <v>1</v>
      </c>
      <c r="H11">
        <v>36</v>
      </c>
      <c r="I11" t="s">
        <v>386</v>
      </c>
      <c r="J11" t="s">
        <v>386</v>
      </c>
      <c r="K11">
        <v>10000</v>
      </c>
      <c r="L11">
        <v>166</v>
      </c>
      <c r="M11">
        <v>166</v>
      </c>
      <c r="N11">
        <v>262</v>
      </c>
      <c r="O11">
        <v>0</v>
      </c>
      <c r="P11">
        <v>-8</v>
      </c>
      <c r="Q11">
        <v>-12</v>
      </c>
      <c r="R11">
        <v>-12</v>
      </c>
      <c r="S11">
        <v>-8</v>
      </c>
      <c r="T11">
        <v>0</v>
      </c>
      <c r="U11">
        <v>2931</v>
      </c>
      <c r="V11">
        <v>18241.185569059999</v>
      </c>
      <c r="AH11">
        <f t="shared" si="5"/>
        <v>166</v>
      </c>
      <c r="AI11">
        <f t="shared" si="6"/>
        <v>262</v>
      </c>
      <c r="AJ11" t="str">
        <f t="shared" si="7"/>
        <v/>
      </c>
      <c r="AK11">
        <f t="shared" si="8"/>
        <v>-8</v>
      </c>
      <c r="AL11">
        <f t="shared" si="1"/>
        <v>-12</v>
      </c>
      <c r="AM11">
        <f t="shared" si="2"/>
        <v>-12</v>
      </c>
      <c r="AN11">
        <f t="shared" si="3"/>
        <v>-8</v>
      </c>
      <c r="AO11" t="str">
        <f t="shared" si="4"/>
        <v/>
      </c>
    </row>
    <row r="12" spans="1:41">
      <c r="A12">
        <f t="shared" si="9"/>
        <v>8</v>
      </c>
      <c r="B12" t="s">
        <v>273</v>
      </c>
      <c r="C12">
        <v>5</v>
      </c>
      <c r="D12">
        <v>5</v>
      </c>
      <c r="E12" t="s">
        <v>385</v>
      </c>
      <c r="F12">
        <v>412</v>
      </c>
      <c r="G12">
        <v>1</v>
      </c>
      <c r="H12">
        <v>37</v>
      </c>
      <c r="I12" t="s">
        <v>386</v>
      </c>
      <c r="J12" t="s">
        <v>386</v>
      </c>
      <c r="K12">
        <v>10000</v>
      </c>
      <c r="L12">
        <v>166</v>
      </c>
      <c r="M12">
        <v>166</v>
      </c>
      <c r="N12">
        <v>262</v>
      </c>
      <c r="O12">
        <v>0</v>
      </c>
      <c r="P12">
        <v>-9</v>
      </c>
      <c r="Q12">
        <v>-12</v>
      </c>
      <c r="R12">
        <v>-12</v>
      </c>
      <c r="S12">
        <v>-8</v>
      </c>
      <c r="T12">
        <v>0</v>
      </c>
      <c r="U12">
        <v>2926</v>
      </c>
      <c r="V12">
        <v>18240.180934579999</v>
      </c>
      <c r="AH12">
        <f t="shared" si="5"/>
        <v>166</v>
      </c>
      <c r="AI12">
        <f t="shared" si="6"/>
        <v>262</v>
      </c>
      <c r="AJ12" t="str">
        <f t="shared" si="7"/>
        <v/>
      </c>
      <c r="AK12">
        <f t="shared" si="8"/>
        <v>-9</v>
      </c>
      <c r="AL12">
        <f t="shared" si="1"/>
        <v>-12</v>
      </c>
      <c r="AM12">
        <f t="shared" si="2"/>
        <v>-12</v>
      </c>
      <c r="AN12">
        <f t="shared" si="3"/>
        <v>-8</v>
      </c>
      <c r="AO12" t="str">
        <f t="shared" si="4"/>
        <v/>
      </c>
    </row>
    <row r="13" spans="1:41">
      <c r="A13">
        <f t="shared" si="9"/>
        <v>9</v>
      </c>
      <c r="B13" t="s">
        <v>273</v>
      </c>
      <c r="C13">
        <v>5</v>
      </c>
      <c r="D13">
        <v>5</v>
      </c>
      <c r="E13" t="s">
        <v>385</v>
      </c>
      <c r="F13">
        <v>412</v>
      </c>
      <c r="G13">
        <v>1</v>
      </c>
      <c r="H13">
        <v>38</v>
      </c>
      <c r="I13" t="s">
        <v>386</v>
      </c>
      <c r="J13" t="s">
        <v>386</v>
      </c>
      <c r="K13">
        <v>10000</v>
      </c>
      <c r="L13">
        <v>166</v>
      </c>
      <c r="M13">
        <v>166</v>
      </c>
      <c r="N13">
        <v>261</v>
      </c>
      <c r="O13">
        <v>0</v>
      </c>
      <c r="P13">
        <v>-8</v>
      </c>
      <c r="Q13">
        <v>-13</v>
      </c>
      <c r="R13">
        <v>-13</v>
      </c>
      <c r="S13">
        <v>-10</v>
      </c>
      <c r="T13">
        <v>0</v>
      </c>
      <c r="U13">
        <v>2919</v>
      </c>
      <c r="V13">
        <v>18239.060403240001</v>
      </c>
      <c r="AH13">
        <f t="shared" si="5"/>
        <v>166</v>
      </c>
      <c r="AI13">
        <f t="shared" si="6"/>
        <v>261</v>
      </c>
      <c r="AJ13" t="str">
        <f t="shared" si="7"/>
        <v/>
      </c>
      <c r="AK13">
        <f t="shared" si="8"/>
        <v>-8</v>
      </c>
      <c r="AL13">
        <f t="shared" si="1"/>
        <v>-13</v>
      </c>
      <c r="AM13">
        <f t="shared" si="2"/>
        <v>-13</v>
      </c>
      <c r="AN13">
        <f t="shared" si="3"/>
        <v>-10</v>
      </c>
      <c r="AO13" t="str">
        <f t="shared" si="4"/>
        <v/>
      </c>
    </row>
    <row r="14" spans="1:41">
      <c r="A14">
        <f t="shared" si="9"/>
        <v>10</v>
      </c>
      <c r="B14" t="s">
        <v>273</v>
      </c>
      <c r="C14">
        <v>5</v>
      </c>
      <c r="D14">
        <v>5</v>
      </c>
      <c r="E14" t="s">
        <v>385</v>
      </c>
      <c r="F14">
        <v>412</v>
      </c>
      <c r="G14">
        <v>1</v>
      </c>
      <c r="H14">
        <v>39</v>
      </c>
      <c r="I14" t="s">
        <v>386</v>
      </c>
      <c r="J14" t="s">
        <v>386</v>
      </c>
      <c r="K14">
        <v>10000</v>
      </c>
      <c r="L14">
        <v>165</v>
      </c>
      <c r="M14">
        <v>165</v>
      </c>
      <c r="N14">
        <v>261</v>
      </c>
      <c r="O14">
        <v>0</v>
      </c>
      <c r="P14">
        <v>-8</v>
      </c>
      <c r="Q14">
        <v>-13</v>
      </c>
      <c r="R14">
        <v>-14</v>
      </c>
      <c r="S14">
        <v>-9</v>
      </c>
      <c r="T14">
        <v>0</v>
      </c>
      <c r="U14">
        <v>2914</v>
      </c>
      <c r="V14">
        <v>18238.020129150002</v>
      </c>
      <c r="AH14">
        <f t="shared" si="5"/>
        <v>165</v>
      </c>
      <c r="AI14">
        <f t="shared" si="6"/>
        <v>261</v>
      </c>
      <c r="AJ14" t="str">
        <f t="shared" si="7"/>
        <v/>
      </c>
      <c r="AK14">
        <f t="shared" si="8"/>
        <v>-8</v>
      </c>
      <c r="AL14">
        <f t="shared" si="1"/>
        <v>-13</v>
      </c>
      <c r="AM14">
        <f t="shared" si="2"/>
        <v>-14</v>
      </c>
      <c r="AN14">
        <f t="shared" si="3"/>
        <v>-9</v>
      </c>
      <c r="AO14" t="str">
        <f t="shared" si="4"/>
        <v/>
      </c>
    </row>
    <row r="15" spans="1:41">
      <c r="A15">
        <f t="shared" si="9"/>
        <v>11</v>
      </c>
      <c r="B15" t="s">
        <v>273</v>
      </c>
      <c r="C15">
        <v>5</v>
      </c>
      <c r="D15">
        <v>5</v>
      </c>
      <c r="E15" t="s">
        <v>385</v>
      </c>
      <c r="F15">
        <v>412</v>
      </c>
      <c r="G15">
        <v>1</v>
      </c>
      <c r="H15">
        <v>40</v>
      </c>
      <c r="I15" t="s">
        <v>386</v>
      </c>
      <c r="J15" t="s">
        <v>386</v>
      </c>
      <c r="K15">
        <v>10000</v>
      </c>
      <c r="L15">
        <v>165</v>
      </c>
      <c r="M15">
        <v>165</v>
      </c>
      <c r="N15">
        <v>260</v>
      </c>
      <c r="O15">
        <v>0</v>
      </c>
      <c r="P15">
        <v>-7</v>
      </c>
      <c r="Q15">
        <v>-10</v>
      </c>
      <c r="R15">
        <v>-7</v>
      </c>
      <c r="S15">
        <v>-1</v>
      </c>
      <c r="T15">
        <v>0</v>
      </c>
      <c r="U15">
        <v>2910</v>
      </c>
      <c r="V15">
        <v>18237.445836639999</v>
      </c>
      <c r="AH15">
        <f t="shared" si="5"/>
        <v>165</v>
      </c>
      <c r="AI15">
        <f t="shared" si="6"/>
        <v>260</v>
      </c>
      <c r="AJ15" t="str">
        <f t="shared" si="7"/>
        <v/>
      </c>
      <c r="AK15">
        <f t="shared" si="8"/>
        <v>-7</v>
      </c>
      <c r="AL15">
        <f t="shared" si="1"/>
        <v>-10</v>
      </c>
      <c r="AM15">
        <f t="shared" si="2"/>
        <v>-7</v>
      </c>
      <c r="AN15">
        <f t="shared" si="3"/>
        <v>-1</v>
      </c>
      <c r="AO15" t="str">
        <f t="shared" si="4"/>
        <v/>
      </c>
    </row>
    <row r="16" spans="1:41">
      <c r="A16">
        <f t="shared" si="9"/>
        <v>12</v>
      </c>
      <c r="B16" t="s">
        <v>273</v>
      </c>
      <c r="C16">
        <v>5</v>
      </c>
      <c r="D16">
        <v>5</v>
      </c>
      <c r="E16" t="s">
        <v>385</v>
      </c>
      <c r="F16">
        <v>412</v>
      </c>
      <c r="G16">
        <v>1</v>
      </c>
      <c r="H16">
        <v>41</v>
      </c>
      <c r="I16" t="s">
        <v>386</v>
      </c>
      <c r="J16" t="s">
        <v>386</v>
      </c>
      <c r="K16">
        <v>10000</v>
      </c>
      <c r="L16">
        <v>165</v>
      </c>
      <c r="M16">
        <v>165</v>
      </c>
      <c r="N16">
        <v>261</v>
      </c>
      <c r="O16">
        <v>0</v>
      </c>
      <c r="P16">
        <v>0</v>
      </c>
      <c r="Q16">
        <v>5</v>
      </c>
      <c r="R16">
        <v>14</v>
      </c>
      <c r="S16">
        <v>17</v>
      </c>
      <c r="T16">
        <v>0</v>
      </c>
      <c r="U16">
        <v>2913</v>
      </c>
      <c r="V16">
        <v>18237.973284079999</v>
      </c>
      <c r="AH16">
        <f t="shared" si="5"/>
        <v>165</v>
      </c>
      <c r="AI16">
        <f t="shared" si="6"/>
        <v>261</v>
      </c>
      <c r="AJ16" t="str">
        <f t="shared" si="7"/>
        <v/>
      </c>
      <c r="AK16" t="str">
        <f t="shared" si="8"/>
        <v/>
      </c>
      <c r="AL16">
        <f t="shared" si="1"/>
        <v>5</v>
      </c>
      <c r="AM16">
        <f t="shared" si="2"/>
        <v>14</v>
      </c>
      <c r="AN16">
        <f t="shared" si="3"/>
        <v>17</v>
      </c>
      <c r="AO16" t="str">
        <f t="shared" si="4"/>
        <v/>
      </c>
    </row>
    <row r="17" spans="1:41">
      <c r="A17">
        <f t="shared" si="9"/>
        <v>13</v>
      </c>
      <c r="B17" t="s">
        <v>273</v>
      </c>
      <c r="C17">
        <v>5</v>
      </c>
      <c r="D17">
        <v>5</v>
      </c>
      <c r="E17" t="s">
        <v>385</v>
      </c>
      <c r="F17">
        <v>412</v>
      </c>
      <c r="G17">
        <v>1</v>
      </c>
      <c r="H17">
        <v>42</v>
      </c>
      <c r="I17" t="s">
        <v>386</v>
      </c>
      <c r="J17" t="s">
        <v>386</v>
      </c>
      <c r="K17">
        <v>10000</v>
      </c>
      <c r="L17">
        <v>166</v>
      </c>
      <c r="M17">
        <v>166</v>
      </c>
      <c r="N17">
        <v>262</v>
      </c>
      <c r="O17">
        <v>0</v>
      </c>
      <c r="P17">
        <v>15</v>
      </c>
      <c r="Q17">
        <v>34</v>
      </c>
      <c r="R17">
        <v>47</v>
      </c>
      <c r="S17">
        <v>41</v>
      </c>
      <c r="T17">
        <v>0</v>
      </c>
      <c r="U17">
        <v>2927</v>
      </c>
      <c r="V17">
        <v>18240.334975670001</v>
      </c>
      <c r="AH17">
        <f t="shared" si="5"/>
        <v>166</v>
      </c>
      <c r="AI17">
        <f t="shared" si="6"/>
        <v>262</v>
      </c>
      <c r="AJ17" t="str">
        <f t="shared" si="7"/>
        <v/>
      </c>
      <c r="AK17">
        <f t="shared" si="8"/>
        <v>15</v>
      </c>
      <c r="AL17">
        <f t="shared" si="1"/>
        <v>34</v>
      </c>
      <c r="AM17">
        <f t="shared" si="2"/>
        <v>47</v>
      </c>
      <c r="AN17">
        <f t="shared" si="3"/>
        <v>41</v>
      </c>
      <c r="AO17" t="str">
        <f t="shared" si="4"/>
        <v/>
      </c>
    </row>
    <row r="18" spans="1:41">
      <c r="A18">
        <f t="shared" si="9"/>
        <v>14</v>
      </c>
      <c r="B18" t="s">
        <v>273</v>
      </c>
      <c r="C18">
        <v>5</v>
      </c>
      <c r="D18">
        <v>5</v>
      </c>
      <c r="E18" t="s">
        <v>385</v>
      </c>
      <c r="F18">
        <v>412</v>
      </c>
      <c r="G18">
        <v>1</v>
      </c>
      <c r="H18">
        <v>43</v>
      </c>
      <c r="I18" t="s">
        <v>386</v>
      </c>
      <c r="J18" t="s">
        <v>386</v>
      </c>
      <c r="K18">
        <v>10000</v>
      </c>
      <c r="L18">
        <v>168</v>
      </c>
      <c r="M18">
        <v>168</v>
      </c>
      <c r="N18">
        <v>264</v>
      </c>
      <c r="O18">
        <v>0</v>
      </c>
      <c r="P18">
        <v>38</v>
      </c>
      <c r="Q18">
        <v>70</v>
      </c>
      <c r="R18">
        <v>84</v>
      </c>
      <c r="S18">
        <v>64</v>
      </c>
      <c r="T18">
        <v>0</v>
      </c>
      <c r="U18">
        <v>2955</v>
      </c>
      <c r="V18">
        <v>18245.060879879999</v>
      </c>
      <c r="AH18">
        <f t="shared" si="5"/>
        <v>168</v>
      </c>
      <c r="AI18">
        <f t="shared" si="6"/>
        <v>264</v>
      </c>
      <c r="AJ18" t="str">
        <f t="shared" si="7"/>
        <v/>
      </c>
      <c r="AK18">
        <f t="shared" si="8"/>
        <v>38</v>
      </c>
      <c r="AL18">
        <f t="shared" si="1"/>
        <v>70</v>
      </c>
      <c r="AM18">
        <f t="shared" si="2"/>
        <v>84</v>
      </c>
      <c r="AN18">
        <f t="shared" si="3"/>
        <v>64</v>
      </c>
      <c r="AO18" t="str">
        <f t="shared" si="4"/>
        <v/>
      </c>
    </row>
    <row r="19" spans="1:41">
      <c r="A19">
        <f t="shared" si="9"/>
        <v>15</v>
      </c>
      <c r="B19" t="s">
        <v>273</v>
      </c>
      <c r="C19">
        <v>5</v>
      </c>
      <c r="D19">
        <v>5</v>
      </c>
      <c r="E19" t="s">
        <v>385</v>
      </c>
      <c r="F19">
        <v>412</v>
      </c>
      <c r="G19">
        <v>1</v>
      </c>
      <c r="H19">
        <v>44</v>
      </c>
      <c r="I19" t="s">
        <v>386</v>
      </c>
      <c r="J19" t="s">
        <v>386</v>
      </c>
      <c r="K19">
        <v>10000</v>
      </c>
      <c r="L19">
        <v>170</v>
      </c>
      <c r="M19">
        <v>170</v>
      </c>
      <c r="N19">
        <v>268</v>
      </c>
      <c r="O19">
        <v>0</v>
      </c>
      <c r="P19">
        <v>61</v>
      </c>
      <c r="Q19">
        <v>104</v>
      </c>
      <c r="R19">
        <v>113</v>
      </c>
      <c r="S19">
        <v>80</v>
      </c>
      <c r="T19">
        <v>0</v>
      </c>
      <c r="U19">
        <v>2998</v>
      </c>
      <c r="V19">
        <v>18252.194421799999</v>
      </c>
      <c r="AH19">
        <f t="shared" si="5"/>
        <v>170</v>
      </c>
      <c r="AI19">
        <f t="shared" si="6"/>
        <v>268</v>
      </c>
      <c r="AJ19" t="str">
        <f t="shared" si="7"/>
        <v/>
      </c>
      <c r="AK19">
        <f t="shared" si="8"/>
        <v>61</v>
      </c>
      <c r="AL19">
        <f t="shared" si="1"/>
        <v>104</v>
      </c>
      <c r="AM19">
        <f t="shared" si="2"/>
        <v>113</v>
      </c>
      <c r="AN19">
        <f t="shared" si="3"/>
        <v>80</v>
      </c>
      <c r="AO19" t="str">
        <f t="shared" si="4"/>
        <v/>
      </c>
    </row>
    <row r="20" spans="1:41">
      <c r="A20">
        <f t="shared" si="9"/>
        <v>16</v>
      </c>
      <c r="B20" t="s">
        <v>273</v>
      </c>
      <c r="C20">
        <v>5</v>
      </c>
      <c r="D20">
        <v>5</v>
      </c>
      <c r="E20" t="s">
        <v>385</v>
      </c>
      <c r="F20">
        <v>412</v>
      </c>
      <c r="G20">
        <v>1</v>
      </c>
      <c r="H20">
        <v>45</v>
      </c>
      <c r="I20" t="s">
        <v>386</v>
      </c>
      <c r="J20" t="s">
        <v>386</v>
      </c>
      <c r="K20">
        <v>10000</v>
      </c>
      <c r="L20">
        <v>173</v>
      </c>
      <c r="M20">
        <v>173</v>
      </c>
      <c r="N20">
        <v>273</v>
      </c>
      <c r="O20">
        <v>0</v>
      </c>
      <c r="P20">
        <v>78</v>
      </c>
      <c r="Q20">
        <v>124</v>
      </c>
      <c r="R20">
        <v>129</v>
      </c>
      <c r="S20">
        <v>87</v>
      </c>
      <c r="T20">
        <v>0</v>
      </c>
      <c r="U20">
        <v>3052</v>
      </c>
      <c r="V20">
        <v>18261.263651689998</v>
      </c>
      <c r="AH20">
        <f t="shared" si="5"/>
        <v>173</v>
      </c>
      <c r="AI20">
        <f t="shared" si="6"/>
        <v>273</v>
      </c>
      <c r="AJ20" t="str">
        <f t="shared" si="7"/>
        <v/>
      </c>
      <c r="AK20">
        <f t="shared" si="8"/>
        <v>78</v>
      </c>
      <c r="AL20">
        <f t="shared" si="1"/>
        <v>124</v>
      </c>
      <c r="AM20">
        <f t="shared" si="2"/>
        <v>129</v>
      </c>
      <c r="AN20">
        <f t="shared" si="3"/>
        <v>87</v>
      </c>
      <c r="AO20" t="str">
        <f t="shared" si="4"/>
        <v/>
      </c>
    </row>
    <row r="21" spans="1:41">
      <c r="A21">
        <f t="shared" si="9"/>
        <v>17</v>
      </c>
      <c r="B21" t="s">
        <v>273</v>
      </c>
      <c r="C21">
        <v>5</v>
      </c>
      <c r="D21">
        <v>5</v>
      </c>
      <c r="E21" t="s">
        <v>385</v>
      </c>
      <c r="F21">
        <v>412</v>
      </c>
      <c r="G21">
        <v>1</v>
      </c>
      <c r="H21">
        <v>46</v>
      </c>
      <c r="I21" t="s">
        <v>386</v>
      </c>
      <c r="J21" t="s">
        <v>386</v>
      </c>
      <c r="K21">
        <v>10000</v>
      </c>
      <c r="L21">
        <v>177</v>
      </c>
      <c r="M21">
        <v>177</v>
      </c>
      <c r="N21">
        <v>279</v>
      </c>
      <c r="O21">
        <v>0</v>
      </c>
      <c r="P21">
        <v>86</v>
      </c>
      <c r="Q21">
        <v>132</v>
      </c>
      <c r="R21">
        <v>132</v>
      </c>
      <c r="S21">
        <v>88</v>
      </c>
      <c r="T21">
        <v>0</v>
      </c>
      <c r="U21">
        <v>3112</v>
      </c>
      <c r="V21">
        <v>18271.531933179998</v>
      </c>
      <c r="AH21">
        <f t="shared" si="5"/>
        <v>177</v>
      </c>
      <c r="AI21">
        <f t="shared" si="6"/>
        <v>279</v>
      </c>
      <c r="AJ21" t="str">
        <f t="shared" si="7"/>
        <v/>
      </c>
      <c r="AK21">
        <f t="shared" si="8"/>
        <v>86</v>
      </c>
      <c r="AL21">
        <f t="shared" si="1"/>
        <v>132</v>
      </c>
      <c r="AM21">
        <f t="shared" si="2"/>
        <v>132</v>
      </c>
      <c r="AN21">
        <f t="shared" si="3"/>
        <v>88</v>
      </c>
      <c r="AO21" t="str">
        <f t="shared" si="4"/>
        <v/>
      </c>
    </row>
    <row r="22" spans="1:41">
      <c r="A22">
        <f t="shared" si="9"/>
        <v>18</v>
      </c>
      <c r="B22" t="s">
        <v>273</v>
      </c>
      <c r="C22">
        <v>5</v>
      </c>
      <c r="D22">
        <v>5</v>
      </c>
      <c r="E22" t="s">
        <v>385</v>
      </c>
      <c r="F22">
        <v>412</v>
      </c>
      <c r="G22">
        <v>1</v>
      </c>
      <c r="H22">
        <v>47</v>
      </c>
      <c r="I22" t="s">
        <v>386</v>
      </c>
      <c r="J22" t="s">
        <v>386</v>
      </c>
      <c r="K22">
        <v>10000</v>
      </c>
      <c r="L22">
        <v>180</v>
      </c>
      <c r="M22">
        <v>180</v>
      </c>
      <c r="N22">
        <v>284</v>
      </c>
      <c r="O22">
        <v>0</v>
      </c>
      <c r="P22">
        <v>87</v>
      </c>
      <c r="Q22">
        <v>131</v>
      </c>
      <c r="R22">
        <v>131</v>
      </c>
      <c r="S22">
        <v>88</v>
      </c>
      <c r="T22">
        <v>0</v>
      </c>
      <c r="U22">
        <v>3176</v>
      </c>
      <c r="V22">
        <v>18282.265415919999</v>
      </c>
      <c r="AH22">
        <f t="shared" si="5"/>
        <v>180</v>
      </c>
      <c r="AI22">
        <f t="shared" si="6"/>
        <v>284</v>
      </c>
      <c r="AJ22" t="str">
        <f t="shared" si="7"/>
        <v/>
      </c>
      <c r="AK22">
        <f t="shared" si="8"/>
        <v>87</v>
      </c>
      <c r="AL22">
        <f t="shared" si="1"/>
        <v>131</v>
      </c>
      <c r="AM22">
        <f t="shared" si="2"/>
        <v>131</v>
      </c>
      <c r="AN22">
        <f t="shared" si="3"/>
        <v>88</v>
      </c>
      <c r="AO22" t="str">
        <f t="shared" si="4"/>
        <v/>
      </c>
    </row>
    <row r="23" spans="1:41">
      <c r="A23">
        <f t="shared" si="9"/>
        <v>19</v>
      </c>
      <c r="B23" t="s">
        <v>273</v>
      </c>
      <c r="C23">
        <v>5</v>
      </c>
      <c r="D23">
        <v>5</v>
      </c>
      <c r="E23" t="s">
        <v>385</v>
      </c>
      <c r="F23">
        <v>412</v>
      </c>
      <c r="G23">
        <v>1</v>
      </c>
      <c r="H23">
        <v>48</v>
      </c>
      <c r="I23" t="s">
        <v>386</v>
      </c>
      <c r="J23" t="s">
        <v>386</v>
      </c>
      <c r="K23">
        <v>10000</v>
      </c>
      <c r="L23">
        <v>184</v>
      </c>
      <c r="M23">
        <v>184</v>
      </c>
      <c r="N23">
        <v>290</v>
      </c>
      <c r="O23">
        <v>0</v>
      </c>
      <c r="P23">
        <v>85</v>
      </c>
      <c r="Q23">
        <v>128</v>
      </c>
      <c r="R23">
        <v>129</v>
      </c>
      <c r="S23">
        <v>86</v>
      </c>
      <c r="T23">
        <v>0</v>
      </c>
      <c r="U23">
        <v>3240</v>
      </c>
      <c r="V23">
        <v>18292.967956100001</v>
      </c>
      <c r="AH23">
        <f t="shared" si="5"/>
        <v>184</v>
      </c>
      <c r="AI23">
        <f t="shared" si="6"/>
        <v>290</v>
      </c>
      <c r="AJ23" t="str">
        <f t="shared" si="7"/>
        <v/>
      </c>
      <c r="AK23">
        <f t="shared" si="8"/>
        <v>85</v>
      </c>
      <c r="AL23">
        <f t="shared" si="1"/>
        <v>128</v>
      </c>
      <c r="AM23">
        <f t="shared" si="2"/>
        <v>129</v>
      </c>
      <c r="AN23">
        <f t="shared" si="3"/>
        <v>86</v>
      </c>
      <c r="AO23" t="str">
        <f t="shared" si="4"/>
        <v/>
      </c>
    </row>
    <row r="24" spans="1:41">
      <c r="A24">
        <f t="shared" si="9"/>
        <v>20</v>
      </c>
      <c r="B24" t="s">
        <v>273</v>
      </c>
      <c r="C24">
        <v>5</v>
      </c>
      <c r="D24">
        <v>5</v>
      </c>
      <c r="E24" t="s">
        <v>385</v>
      </c>
      <c r="F24">
        <v>412</v>
      </c>
      <c r="G24">
        <v>1</v>
      </c>
      <c r="H24">
        <v>49</v>
      </c>
      <c r="I24" t="s">
        <v>386</v>
      </c>
      <c r="J24" t="s">
        <v>386</v>
      </c>
      <c r="K24">
        <v>10000</v>
      </c>
      <c r="L24">
        <v>187</v>
      </c>
      <c r="M24">
        <v>187</v>
      </c>
      <c r="N24">
        <v>296</v>
      </c>
      <c r="O24">
        <v>0</v>
      </c>
      <c r="P24">
        <v>84</v>
      </c>
      <c r="Q24">
        <v>127</v>
      </c>
      <c r="R24">
        <v>128</v>
      </c>
      <c r="S24">
        <v>86</v>
      </c>
      <c r="T24">
        <v>0</v>
      </c>
      <c r="U24">
        <v>3302</v>
      </c>
      <c r="V24">
        <v>18303.569544919999</v>
      </c>
      <c r="AH24">
        <f t="shared" si="5"/>
        <v>187</v>
      </c>
      <c r="AI24">
        <f t="shared" si="6"/>
        <v>296</v>
      </c>
      <c r="AJ24" t="str">
        <f t="shared" si="7"/>
        <v/>
      </c>
      <c r="AK24">
        <f t="shared" si="8"/>
        <v>84</v>
      </c>
      <c r="AL24">
        <f t="shared" si="1"/>
        <v>127</v>
      </c>
      <c r="AM24">
        <f t="shared" si="2"/>
        <v>128</v>
      </c>
      <c r="AN24">
        <f t="shared" si="3"/>
        <v>86</v>
      </c>
      <c r="AO24" t="str">
        <f t="shared" si="4"/>
        <v/>
      </c>
    </row>
    <row r="25" spans="1:41">
      <c r="A25">
        <f t="shared" si="9"/>
        <v>21</v>
      </c>
      <c r="B25" t="s">
        <v>273</v>
      </c>
      <c r="C25">
        <v>5</v>
      </c>
      <c r="D25">
        <v>5</v>
      </c>
      <c r="E25" t="s">
        <v>385</v>
      </c>
      <c r="F25">
        <v>412</v>
      </c>
      <c r="G25">
        <v>1</v>
      </c>
      <c r="H25">
        <v>50</v>
      </c>
      <c r="I25" t="s">
        <v>386</v>
      </c>
      <c r="J25" t="s">
        <v>386</v>
      </c>
      <c r="K25">
        <v>10000</v>
      </c>
      <c r="L25">
        <v>191</v>
      </c>
      <c r="M25">
        <v>191</v>
      </c>
      <c r="N25">
        <v>301</v>
      </c>
      <c r="O25">
        <v>0</v>
      </c>
      <c r="P25">
        <v>85</v>
      </c>
      <c r="Q25">
        <v>129</v>
      </c>
      <c r="R25">
        <v>132</v>
      </c>
      <c r="S25">
        <v>91</v>
      </c>
      <c r="T25">
        <v>0</v>
      </c>
      <c r="U25">
        <v>3366</v>
      </c>
      <c r="V25">
        <v>18314.36298066</v>
      </c>
      <c r="AH25">
        <f t="shared" si="5"/>
        <v>191</v>
      </c>
      <c r="AI25">
        <f t="shared" si="6"/>
        <v>301</v>
      </c>
      <c r="AJ25" t="str">
        <f t="shared" si="7"/>
        <v/>
      </c>
      <c r="AK25">
        <f t="shared" si="8"/>
        <v>85</v>
      </c>
      <c r="AL25">
        <f t="shared" si="1"/>
        <v>129</v>
      </c>
      <c r="AM25">
        <f t="shared" si="2"/>
        <v>132</v>
      </c>
      <c r="AN25">
        <f t="shared" si="3"/>
        <v>91</v>
      </c>
      <c r="AO25" t="str">
        <f t="shared" si="4"/>
        <v/>
      </c>
    </row>
    <row r="26" spans="1:41">
      <c r="A26">
        <f t="shared" si="9"/>
        <v>22</v>
      </c>
      <c r="B26" t="s">
        <v>273</v>
      </c>
      <c r="C26">
        <v>5</v>
      </c>
      <c r="D26">
        <v>5</v>
      </c>
      <c r="E26" t="s">
        <v>385</v>
      </c>
      <c r="F26">
        <v>412</v>
      </c>
      <c r="G26">
        <v>1</v>
      </c>
      <c r="H26">
        <v>51</v>
      </c>
      <c r="I26" t="s">
        <v>386</v>
      </c>
      <c r="J26" t="s">
        <v>386</v>
      </c>
      <c r="K26">
        <v>10000</v>
      </c>
      <c r="L26">
        <v>195</v>
      </c>
      <c r="M26">
        <v>195</v>
      </c>
      <c r="N26">
        <v>307</v>
      </c>
      <c r="O26">
        <v>0</v>
      </c>
      <c r="P26">
        <v>89</v>
      </c>
      <c r="Q26">
        <v>137</v>
      </c>
      <c r="R26">
        <v>143</v>
      </c>
      <c r="S26">
        <v>100</v>
      </c>
      <c r="T26">
        <v>0</v>
      </c>
      <c r="U26">
        <v>3434</v>
      </c>
      <c r="V26">
        <v>18325.763875469998</v>
      </c>
      <c r="AH26">
        <f t="shared" si="5"/>
        <v>195</v>
      </c>
      <c r="AI26">
        <f t="shared" si="6"/>
        <v>307</v>
      </c>
      <c r="AJ26" t="str">
        <f t="shared" si="7"/>
        <v/>
      </c>
      <c r="AK26">
        <f t="shared" si="8"/>
        <v>89</v>
      </c>
      <c r="AL26">
        <f t="shared" si="1"/>
        <v>137</v>
      </c>
      <c r="AM26">
        <f t="shared" si="2"/>
        <v>143</v>
      </c>
      <c r="AN26">
        <f t="shared" si="3"/>
        <v>100</v>
      </c>
      <c r="AO26" t="str">
        <f t="shared" si="4"/>
        <v/>
      </c>
    </row>
    <row r="27" spans="1:41">
      <c r="A27">
        <f t="shared" si="9"/>
        <v>23</v>
      </c>
      <c r="B27" t="s">
        <v>273</v>
      </c>
      <c r="C27">
        <v>5</v>
      </c>
      <c r="D27">
        <v>5</v>
      </c>
      <c r="E27" t="s">
        <v>385</v>
      </c>
      <c r="F27">
        <v>412</v>
      </c>
      <c r="G27">
        <v>1</v>
      </c>
      <c r="H27">
        <v>52</v>
      </c>
      <c r="I27" t="s">
        <v>386</v>
      </c>
      <c r="J27" t="s">
        <v>386</v>
      </c>
      <c r="K27">
        <v>10000</v>
      </c>
      <c r="L27">
        <v>199</v>
      </c>
      <c r="M27">
        <v>199</v>
      </c>
      <c r="N27">
        <v>314</v>
      </c>
      <c r="O27">
        <v>0</v>
      </c>
      <c r="P27">
        <v>97</v>
      </c>
      <c r="Q27">
        <v>153</v>
      </c>
      <c r="R27">
        <v>161</v>
      </c>
      <c r="S27">
        <v>113</v>
      </c>
      <c r="T27">
        <v>0</v>
      </c>
      <c r="U27">
        <v>3508</v>
      </c>
      <c r="V27">
        <v>18338.17484521</v>
      </c>
      <c r="AH27">
        <f t="shared" si="5"/>
        <v>199</v>
      </c>
      <c r="AI27">
        <f t="shared" si="6"/>
        <v>314</v>
      </c>
      <c r="AJ27" t="str">
        <f t="shared" si="7"/>
        <v/>
      </c>
      <c r="AK27">
        <f t="shared" si="8"/>
        <v>97</v>
      </c>
      <c r="AL27">
        <f t="shared" si="1"/>
        <v>153</v>
      </c>
      <c r="AM27">
        <f t="shared" si="2"/>
        <v>161</v>
      </c>
      <c r="AN27">
        <f t="shared" si="3"/>
        <v>113</v>
      </c>
      <c r="AO27" t="str">
        <f t="shared" si="4"/>
        <v/>
      </c>
    </row>
    <row r="28" spans="1:41">
      <c r="A28">
        <f t="shared" si="9"/>
        <v>24</v>
      </c>
      <c r="B28" t="s">
        <v>273</v>
      </c>
      <c r="C28">
        <v>5</v>
      </c>
      <c r="D28">
        <v>5</v>
      </c>
      <c r="E28" t="s">
        <v>385</v>
      </c>
      <c r="F28">
        <v>412</v>
      </c>
      <c r="G28">
        <v>1</v>
      </c>
      <c r="H28">
        <v>53</v>
      </c>
      <c r="I28" t="s">
        <v>386</v>
      </c>
      <c r="J28" t="s">
        <v>386</v>
      </c>
      <c r="K28">
        <v>10000</v>
      </c>
      <c r="L28">
        <v>204</v>
      </c>
      <c r="M28">
        <v>204</v>
      </c>
      <c r="N28">
        <v>321</v>
      </c>
      <c r="O28">
        <v>0</v>
      </c>
      <c r="P28">
        <v>110</v>
      </c>
      <c r="Q28">
        <v>173</v>
      </c>
      <c r="R28">
        <v>182</v>
      </c>
      <c r="S28">
        <v>126</v>
      </c>
      <c r="T28">
        <v>0</v>
      </c>
      <c r="U28">
        <v>3589</v>
      </c>
      <c r="V28">
        <v>18351.88876333</v>
      </c>
      <c r="AH28">
        <f t="shared" si="5"/>
        <v>204</v>
      </c>
      <c r="AI28">
        <f t="shared" si="6"/>
        <v>321</v>
      </c>
      <c r="AJ28" t="str">
        <f t="shared" si="7"/>
        <v/>
      </c>
      <c r="AK28">
        <f t="shared" si="8"/>
        <v>110</v>
      </c>
      <c r="AL28">
        <f t="shared" si="1"/>
        <v>173</v>
      </c>
      <c r="AM28">
        <f t="shared" si="2"/>
        <v>182</v>
      </c>
      <c r="AN28">
        <f t="shared" si="3"/>
        <v>126</v>
      </c>
      <c r="AO28" t="str">
        <f t="shared" si="4"/>
        <v/>
      </c>
    </row>
    <row r="29" spans="1:41">
      <c r="A29">
        <f t="shared" si="9"/>
        <v>25</v>
      </c>
      <c r="B29" t="s">
        <v>273</v>
      </c>
      <c r="C29">
        <v>5</v>
      </c>
      <c r="D29">
        <v>5</v>
      </c>
      <c r="E29" t="s">
        <v>385</v>
      </c>
      <c r="F29">
        <v>412</v>
      </c>
      <c r="G29">
        <v>1</v>
      </c>
      <c r="H29">
        <v>54</v>
      </c>
      <c r="I29" t="s">
        <v>386</v>
      </c>
      <c r="J29" t="s">
        <v>386</v>
      </c>
      <c r="K29">
        <v>10000</v>
      </c>
      <c r="L29">
        <v>209</v>
      </c>
      <c r="M29">
        <v>209</v>
      </c>
      <c r="N29">
        <v>329</v>
      </c>
      <c r="O29">
        <v>0</v>
      </c>
      <c r="P29">
        <v>122</v>
      </c>
      <c r="Q29">
        <v>191</v>
      </c>
      <c r="R29">
        <v>198</v>
      </c>
      <c r="S29">
        <v>135</v>
      </c>
      <c r="T29">
        <v>0</v>
      </c>
      <c r="U29">
        <v>3679</v>
      </c>
      <c r="V29">
        <v>18366.929560920002</v>
      </c>
      <c r="AH29">
        <f t="shared" si="5"/>
        <v>209</v>
      </c>
      <c r="AI29">
        <f t="shared" si="6"/>
        <v>329</v>
      </c>
      <c r="AJ29" t="str">
        <f t="shared" si="7"/>
        <v/>
      </c>
      <c r="AK29">
        <f t="shared" si="8"/>
        <v>122</v>
      </c>
      <c r="AL29">
        <f t="shared" si="1"/>
        <v>191</v>
      </c>
      <c r="AM29">
        <f t="shared" si="2"/>
        <v>198</v>
      </c>
      <c r="AN29">
        <f t="shared" si="3"/>
        <v>135</v>
      </c>
      <c r="AO29" t="str">
        <f t="shared" si="4"/>
        <v/>
      </c>
    </row>
    <row r="30" spans="1:41">
      <c r="A30">
        <f t="shared" si="9"/>
        <v>26</v>
      </c>
      <c r="B30" t="s">
        <v>273</v>
      </c>
      <c r="C30">
        <v>5</v>
      </c>
      <c r="D30">
        <v>5</v>
      </c>
      <c r="E30" t="s">
        <v>385</v>
      </c>
      <c r="F30">
        <v>412</v>
      </c>
      <c r="G30">
        <v>1</v>
      </c>
      <c r="H30">
        <v>55</v>
      </c>
      <c r="I30" t="s">
        <v>386</v>
      </c>
      <c r="J30" t="s">
        <v>386</v>
      </c>
      <c r="K30">
        <v>10000</v>
      </c>
      <c r="L30">
        <v>214</v>
      </c>
      <c r="M30">
        <v>214</v>
      </c>
      <c r="N30">
        <v>338</v>
      </c>
      <c r="O30">
        <v>0</v>
      </c>
      <c r="P30">
        <v>132</v>
      </c>
      <c r="Q30">
        <v>203</v>
      </c>
      <c r="R30">
        <v>206</v>
      </c>
      <c r="S30">
        <v>139</v>
      </c>
      <c r="T30">
        <v>0</v>
      </c>
      <c r="U30">
        <v>3774</v>
      </c>
      <c r="V30">
        <v>18383.03683637</v>
      </c>
      <c r="AH30">
        <f t="shared" si="5"/>
        <v>214</v>
      </c>
      <c r="AI30">
        <f t="shared" si="6"/>
        <v>338</v>
      </c>
      <c r="AJ30" t="str">
        <f t="shared" si="7"/>
        <v/>
      </c>
      <c r="AK30">
        <f t="shared" si="8"/>
        <v>132</v>
      </c>
      <c r="AL30">
        <f t="shared" si="1"/>
        <v>203</v>
      </c>
      <c r="AM30">
        <f t="shared" si="2"/>
        <v>206</v>
      </c>
      <c r="AN30">
        <f t="shared" si="3"/>
        <v>139</v>
      </c>
      <c r="AO30" t="str">
        <f t="shared" si="4"/>
        <v/>
      </c>
    </row>
    <row r="31" spans="1:41">
      <c r="A31">
        <f t="shared" si="9"/>
        <v>27</v>
      </c>
      <c r="B31" t="s">
        <v>273</v>
      </c>
      <c r="C31">
        <v>5</v>
      </c>
      <c r="D31">
        <v>5</v>
      </c>
      <c r="E31" t="s">
        <v>385</v>
      </c>
      <c r="F31">
        <v>412</v>
      </c>
      <c r="G31">
        <v>1</v>
      </c>
      <c r="H31">
        <v>56</v>
      </c>
      <c r="I31" t="s">
        <v>386</v>
      </c>
      <c r="J31" t="s">
        <v>386</v>
      </c>
      <c r="K31">
        <v>10000</v>
      </c>
      <c r="L31">
        <v>220</v>
      </c>
      <c r="M31">
        <v>220</v>
      </c>
      <c r="N31">
        <v>347</v>
      </c>
      <c r="O31">
        <v>0</v>
      </c>
      <c r="P31">
        <v>136</v>
      </c>
      <c r="Q31">
        <v>207</v>
      </c>
      <c r="R31">
        <v>208</v>
      </c>
      <c r="S31">
        <v>140</v>
      </c>
      <c r="T31">
        <v>0</v>
      </c>
      <c r="U31">
        <v>3874</v>
      </c>
      <c r="V31">
        <v>18399.805151600001</v>
      </c>
      <c r="AH31">
        <f t="shared" si="5"/>
        <v>220</v>
      </c>
      <c r="AI31">
        <f t="shared" si="6"/>
        <v>347</v>
      </c>
      <c r="AJ31" t="str">
        <f t="shared" si="7"/>
        <v/>
      </c>
      <c r="AK31">
        <f t="shared" si="8"/>
        <v>136</v>
      </c>
      <c r="AL31">
        <f t="shared" si="1"/>
        <v>207</v>
      </c>
      <c r="AM31">
        <f t="shared" si="2"/>
        <v>208</v>
      </c>
      <c r="AN31">
        <f t="shared" si="3"/>
        <v>140</v>
      </c>
      <c r="AO31" t="str">
        <f t="shared" si="4"/>
        <v/>
      </c>
    </row>
    <row r="32" spans="1:41">
      <c r="A32">
        <f t="shared" si="9"/>
        <v>28</v>
      </c>
      <c r="B32" t="s">
        <v>273</v>
      </c>
      <c r="C32">
        <v>5</v>
      </c>
      <c r="D32">
        <v>5</v>
      </c>
      <c r="E32" t="s">
        <v>385</v>
      </c>
      <c r="F32">
        <v>412</v>
      </c>
      <c r="G32">
        <v>1</v>
      </c>
      <c r="H32">
        <v>57</v>
      </c>
      <c r="I32" t="s">
        <v>386</v>
      </c>
      <c r="J32" t="s">
        <v>386</v>
      </c>
      <c r="K32">
        <v>10000</v>
      </c>
      <c r="L32">
        <v>226</v>
      </c>
      <c r="M32">
        <v>226</v>
      </c>
      <c r="N32">
        <v>356</v>
      </c>
      <c r="O32">
        <v>0</v>
      </c>
      <c r="P32">
        <v>137</v>
      </c>
      <c r="Q32">
        <v>206</v>
      </c>
      <c r="R32">
        <v>207</v>
      </c>
      <c r="S32">
        <v>139</v>
      </c>
      <c r="T32">
        <v>0</v>
      </c>
      <c r="U32">
        <v>3975</v>
      </c>
      <c r="V32">
        <v>18416.786047869999</v>
      </c>
      <c r="AH32">
        <f t="shared" si="5"/>
        <v>226</v>
      </c>
      <c r="AI32">
        <f t="shared" si="6"/>
        <v>356</v>
      </c>
      <c r="AJ32" t="str">
        <f t="shared" si="7"/>
        <v/>
      </c>
      <c r="AK32">
        <f t="shared" si="8"/>
        <v>137</v>
      </c>
      <c r="AL32">
        <f t="shared" si="1"/>
        <v>206</v>
      </c>
      <c r="AM32">
        <f t="shared" si="2"/>
        <v>207</v>
      </c>
      <c r="AN32">
        <f t="shared" si="3"/>
        <v>139</v>
      </c>
      <c r="AO32" t="str">
        <f t="shared" si="4"/>
        <v/>
      </c>
    </row>
    <row r="33" spans="1:41">
      <c r="A33">
        <f t="shared" si="9"/>
        <v>29</v>
      </c>
      <c r="B33" t="s">
        <v>273</v>
      </c>
      <c r="C33">
        <v>5</v>
      </c>
      <c r="D33">
        <v>5</v>
      </c>
      <c r="E33" t="s">
        <v>385</v>
      </c>
      <c r="F33">
        <v>412</v>
      </c>
      <c r="G33">
        <v>1</v>
      </c>
      <c r="H33">
        <v>58</v>
      </c>
      <c r="I33" t="s">
        <v>386</v>
      </c>
      <c r="J33" t="s">
        <v>386</v>
      </c>
      <c r="K33">
        <v>10000</v>
      </c>
      <c r="L33">
        <v>231</v>
      </c>
      <c r="M33">
        <v>231</v>
      </c>
      <c r="N33">
        <v>365</v>
      </c>
      <c r="O33">
        <v>0</v>
      </c>
      <c r="P33">
        <v>135</v>
      </c>
      <c r="Q33">
        <v>203</v>
      </c>
      <c r="R33">
        <v>204</v>
      </c>
      <c r="S33">
        <v>136</v>
      </c>
      <c r="T33">
        <v>0</v>
      </c>
      <c r="U33">
        <v>4075</v>
      </c>
      <c r="V33">
        <v>18433.65033344</v>
      </c>
      <c r="AH33">
        <f t="shared" si="5"/>
        <v>231</v>
      </c>
      <c r="AI33">
        <f t="shared" si="6"/>
        <v>365</v>
      </c>
      <c r="AJ33" t="str">
        <f t="shared" si="7"/>
        <v/>
      </c>
      <c r="AK33">
        <f t="shared" si="8"/>
        <v>135</v>
      </c>
      <c r="AL33">
        <f t="shared" si="1"/>
        <v>203</v>
      </c>
      <c r="AM33">
        <f t="shared" si="2"/>
        <v>204</v>
      </c>
      <c r="AN33">
        <f t="shared" si="3"/>
        <v>136</v>
      </c>
      <c r="AO33" t="str">
        <f t="shared" si="4"/>
        <v/>
      </c>
    </row>
    <row r="34" spans="1:41">
      <c r="A34">
        <f t="shared" si="9"/>
        <v>30</v>
      </c>
      <c r="B34" t="s">
        <v>273</v>
      </c>
      <c r="C34">
        <v>5</v>
      </c>
      <c r="D34">
        <v>5</v>
      </c>
      <c r="E34" t="s">
        <v>385</v>
      </c>
      <c r="F34">
        <v>412</v>
      </c>
      <c r="G34">
        <v>1</v>
      </c>
      <c r="H34">
        <v>59</v>
      </c>
      <c r="I34" t="s">
        <v>386</v>
      </c>
      <c r="J34" t="s">
        <v>386</v>
      </c>
      <c r="K34">
        <v>10000</v>
      </c>
      <c r="L34">
        <v>237</v>
      </c>
      <c r="M34">
        <v>237</v>
      </c>
      <c r="N34">
        <v>374</v>
      </c>
      <c r="O34">
        <v>0</v>
      </c>
      <c r="P34">
        <v>134</v>
      </c>
      <c r="Q34">
        <v>202</v>
      </c>
      <c r="R34">
        <v>203</v>
      </c>
      <c r="S34">
        <v>137</v>
      </c>
      <c r="T34">
        <v>0</v>
      </c>
      <c r="U34">
        <v>4175</v>
      </c>
      <c r="V34">
        <v>18450.47382969</v>
      </c>
      <c r="AH34">
        <f t="shared" si="5"/>
        <v>237</v>
      </c>
      <c r="AI34">
        <f t="shared" si="6"/>
        <v>374</v>
      </c>
      <c r="AJ34" t="str">
        <f t="shared" si="7"/>
        <v/>
      </c>
      <c r="AK34">
        <f t="shared" si="8"/>
        <v>134</v>
      </c>
      <c r="AL34">
        <f t="shared" si="1"/>
        <v>202</v>
      </c>
      <c r="AM34">
        <f t="shared" si="2"/>
        <v>203</v>
      </c>
      <c r="AN34">
        <f t="shared" si="3"/>
        <v>137</v>
      </c>
      <c r="AO34" t="str">
        <f t="shared" si="4"/>
        <v/>
      </c>
    </row>
    <row r="35" spans="1:41">
      <c r="A35">
        <f t="shared" si="9"/>
        <v>31</v>
      </c>
      <c r="B35" t="s">
        <v>273</v>
      </c>
      <c r="C35">
        <v>5</v>
      </c>
      <c r="D35">
        <v>5</v>
      </c>
      <c r="E35" t="s">
        <v>385</v>
      </c>
      <c r="F35">
        <v>412</v>
      </c>
      <c r="G35">
        <v>1</v>
      </c>
      <c r="H35">
        <v>60</v>
      </c>
      <c r="I35" t="s">
        <v>386</v>
      </c>
      <c r="J35" t="s">
        <v>386</v>
      </c>
      <c r="K35">
        <v>10000</v>
      </c>
      <c r="L35">
        <v>243</v>
      </c>
      <c r="M35">
        <v>243</v>
      </c>
      <c r="N35">
        <v>383</v>
      </c>
      <c r="O35">
        <v>0</v>
      </c>
      <c r="P35">
        <v>136</v>
      </c>
      <c r="Q35">
        <v>206</v>
      </c>
      <c r="R35">
        <v>212</v>
      </c>
      <c r="S35">
        <v>148</v>
      </c>
      <c r="T35">
        <v>0</v>
      </c>
      <c r="U35">
        <v>4278</v>
      </c>
      <c r="V35">
        <v>18467.833194039998</v>
      </c>
      <c r="AH35">
        <f t="shared" si="5"/>
        <v>243</v>
      </c>
      <c r="AI35">
        <f t="shared" si="6"/>
        <v>383</v>
      </c>
      <c r="AJ35" t="str">
        <f t="shared" si="7"/>
        <v/>
      </c>
      <c r="AK35">
        <f t="shared" si="8"/>
        <v>136</v>
      </c>
      <c r="AL35">
        <f t="shared" si="1"/>
        <v>206</v>
      </c>
      <c r="AM35">
        <f t="shared" si="2"/>
        <v>212</v>
      </c>
      <c r="AN35">
        <f t="shared" si="3"/>
        <v>148</v>
      </c>
      <c r="AO35" t="str">
        <f t="shared" si="4"/>
        <v/>
      </c>
    </row>
    <row r="36" spans="1:41">
      <c r="A36">
        <f t="shared" si="9"/>
        <v>32</v>
      </c>
      <c r="B36" t="s">
        <v>273</v>
      </c>
      <c r="C36">
        <v>5</v>
      </c>
      <c r="D36">
        <v>5</v>
      </c>
      <c r="E36" t="s">
        <v>385</v>
      </c>
      <c r="F36">
        <v>412</v>
      </c>
      <c r="G36">
        <v>1</v>
      </c>
      <c r="H36">
        <v>61</v>
      </c>
      <c r="I36" t="s">
        <v>386</v>
      </c>
      <c r="J36" t="s">
        <v>386</v>
      </c>
      <c r="K36">
        <v>10000</v>
      </c>
      <c r="L36">
        <v>249</v>
      </c>
      <c r="M36">
        <v>249</v>
      </c>
      <c r="N36">
        <v>393</v>
      </c>
      <c r="O36">
        <v>0</v>
      </c>
      <c r="P36">
        <v>144</v>
      </c>
      <c r="Q36">
        <v>225</v>
      </c>
      <c r="R36">
        <v>238</v>
      </c>
      <c r="S36">
        <v>170</v>
      </c>
      <c r="T36">
        <v>0</v>
      </c>
      <c r="U36">
        <v>4390</v>
      </c>
      <c r="V36">
        <v>18486.611779520001</v>
      </c>
      <c r="AH36">
        <f t="shared" si="5"/>
        <v>249</v>
      </c>
      <c r="AI36">
        <f t="shared" si="6"/>
        <v>393</v>
      </c>
      <c r="AJ36" t="str">
        <f t="shared" si="7"/>
        <v/>
      </c>
      <c r="AK36">
        <f t="shared" si="8"/>
        <v>144</v>
      </c>
      <c r="AL36">
        <f t="shared" si="1"/>
        <v>225</v>
      </c>
      <c r="AM36">
        <f t="shared" si="2"/>
        <v>238</v>
      </c>
      <c r="AN36">
        <f t="shared" si="3"/>
        <v>170</v>
      </c>
      <c r="AO36" t="str">
        <f t="shared" si="4"/>
        <v/>
      </c>
    </row>
    <row r="37" spans="1:41">
      <c r="A37">
        <f t="shared" si="9"/>
        <v>33</v>
      </c>
      <c r="B37" t="s">
        <v>273</v>
      </c>
      <c r="C37">
        <v>5</v>
      </c>
      <c r="D37">
        <v>5</v>
      </c>
      <c r="E37" t="s">
        <v>385</v>
      </c>
      <c r="F37">
        <v>412</v>
      </c>
      <c r="G37">
        <v>1</v>
      </c>
      <c r="H37">
        <v>62</v>
      </c>
      <c r="I37" t="s">
        <v>386</v>
      </c>
      <c r="J37" t="s">
        <v>386</v>
      </c>
      <c r="K37">
        <v>10000</v>
      </c>
      <c r="L37">
        <v>256</v>
      </c>
      <c r="M37">
        <v>256</v>
      </c>
      <c r="N37">
        <v>404</v>
      </c>
      <c r="O37">
        <v>0</v>
      </c>
      <c r="P37">
        <v>164</v>
      </c>
      <c r="Q37">
        <v>262</v>
      </c>
      <c r="R37">
        <v>281</v>
      </c>
      <c r="S37">
        <v>201</v>
      </c>
      <c r="T37">
        <v>0</v>
      </c>
      <c r="U37">
        <v>4515</v>
      </c>
      <c r="V37">
        <v>18507.75175919</v>
      </c>
      <c r="AH37">
        <f t="shared" si="5"/>
        <v>256</v>
      </c>
      <c r="AI37">
        <f t="shared" si="6"/>
        <v>404</v>
      </c>
      <c r="AJ37" t="str">
        <f t="shared" si="7"/>
        <v/>
      </c>
      <c r="AK37">
        <f t="shared" si="8"/>
        <v>164</v>
      </c>
      <c r="AL37">
        <f t="shared" si="1"/>
        <v>262</v>
      </c>
      <c r="AM37">
        <f t="shared" si="2"/>
        <v>281</v>
      </c>
      <c r="AN37">
        <f t="shared" si="3"/>
        <v>201</v>
      </c>
      <c r="AO37" t="str">
        <f t="shared" si="4"/>
        <v/>
      </c>
    </row>
    <row r="38" spans="1:41">
      <c r="A38">
        <f t="shared" si="9"/>
        <v>34</v>
      </c>
      <c r="B38" t="s">
        <v>273</v>
      </c>
      <c r="C38">
        <v>5</v>
      </c>
      <c r="D38">
        <v>5</v>
      </c>
      <c r="E38" t="s">
        <v>385</v>
      </c>
      <c r="F38">
        <v>412</v>
      </c>
      <c r="G38">
        <v>1</v>
      </c>
      <c r="H38">
        <v>63</v>
      </c>
      <c r="I38" t="s">
        <v>386</v>
      </c>
      <c r="J38" t="s">
        <v>386</v>
      </c>
      <c r="K38">
        <v>10000</v>
      </c>
      <c r="L38">
        <v>264</v>
      </c>
      <c r="M38">
        <v>264</v>
      </c>
      <c r="N38">
        <v>417</v>
      </c>
      <c r="O38">
        <v>0</v>
      </c>
      <c r="P38">
        <v>193</v>
      </c>
      <c r="Q38">
        <v>310</v>
      </c>
      <c r="R38">
        <v>329</v>
      </c>
      <c r="S38">
        <v>231</v>
      </c>
      <c r="T38">
        <v>0</v>
      </c>
      <c r="U38">
        <v>4658</v>
      </c>
      <c r="V38">
        <v>18531.936025070001</v>
      </c>
      <c r="AH38">
        <f t="shared" si="5"/>
        <v>264</v>
      </c>
      <c r="AI38">
        <f t="shared" si="6"/>
        <v>417</v>
      </c>
      <c r="AJ38" t="str">
        <f t="shared" si="7"/>
        <v/>
      </c>
      <c r="AK38">
        <f t="shared" si="8"/>
        <v>193</v>
      </c>
      <c r="AL38">
        <f t="shared" si="1"/>
        <v>310</v>
      </c>
      <c r="AM38">
        <f t="shared" si="2"/>
        <v>329</v>
      </c>
      <c r="AN38">
        <f t="shared" si="3"/>
        <v>231</v>
      </c>
      <c r="AO38" t="str">
        <f t="shared" si="4"/>
        <v/>
      </c>
    </row>
    <row r="39" spans="1:41">
      <c r="A39">
        <f t="shared" si="9"/>
        <v>35</v>
      </c>
      <c r="B39" t="s">
        <v>273</v>
      </c>
      <c r="C39">
        <v>5</v>
      </c>
      <c r="D39">
        <v>5</v>
      </c>
      <c r="E39" t="s">
        <v>385</v>
      </c>
      <c r="F39">
        <v>412</v>
      </c>
      <c r="G39">
        <v>1</v>
      </c>
      <c r="H39">
        <v>64</v>
      </c>
      <c r="I39" t="s">
        <v>386</v>
      </c>
      <c r="J39" t="s">
        <v>386</v>
      </c>
      <c r="K39">
        <v>10000</v>
      </c>
      <c r="L39">
        <v>274</v>
      </c>
      <c r="M39">
        <v>274</v>
      </c>
      <c r="N39">
        <v>431</v>
      </c>
      <c r="O39">
        <v>0</v>
      </c>
      <c r="P39">
        <v>223</v>
      </c>
      <c r="Q39">
        <v>352</v>
      </c>
      <c r="R39">
        <v>366</v>
      </c>
      <c r="S39">
        <v>251</v>
      </c>
      <c r="T39">
        <v>0</v>
      </c>
      <c r="U39">
        <v>4821</v>
      </c>
      <c r="V39">
        <v>18559.221029100001</v>
      </c>
      <c r="AH39">
        <f t="shared" si="5"/>
        <v>274</v>
      </c>
      <c r="AI39">
        <f t="shared" si="6"/>
        <v>431</v>
      </c>
      <c r="AJ39" t="str">
        <f t="shared" si="7"/>
        <v/>
      </c>
      <c r="AK39">
        <f t="shared" si="8"/>
        <v>223</v>
      </c>
      <c r="AL39">
        <f t="shared" si="1"/>
        <v>352</v>
      </c>
      <c r="AM39">
        <f t="shared" si="2"/>
        <v>366</v>
      </c>
      <c r="AN39">
        <f t="shared" si="3"/>
        <v>251</v>
      </c>
      <c r="AO39" t="str">
        <f t="shared" si="4"/>
        <v/>
      </c>
    </row>
    <row r="40" spans="1:41">
      <c r="A40">
        <f t="shared" si="9"/>
        <v>36</v>
      </c>
      <c r="B40" t="s">
        <v>273</v>
      </c>
      <c r="C40">
        <v>5</v>
      </c>
      <c r="D40">
        <v>5</v>
      </c>
      <c r="E40" t="s">
        <v>385</v>
      </c>
      <c r="F40">
        <v>412</v>
      </c>
      <c r="G40">
        <v>1</v>
      </c>
      <c r="H40">
        <v>65</v>
      </c>
      <c r="I40" t="s">
        <v>386</v>
      </c>
      <c r="J40" t="s">
        <v>386</v>
      </c>
      <c r="K40">
        <v>10000</v>
      </c>
      <c r="L40">
        <v>284</v>
      </c>
      <c r="M40">
        <v>284</v>
      </c>
      <c r="N40">
        <v>447</v>
      </c>
      <c r="O40">
        <v>0</v>
      </c>
      <c r="P40">
        <v>246</v>
      </c>
      <c r="Q40">
        <v>379</v>
      </c>
      <c r="R40">
        <v>386</v>
      </c>
      <c r="S40">
        <v>260</v>
      </c>
      <c r="T40">
        <v>0</v>
      </c>
      <c r="U40">
        <v>4997</v>
      </c>
      <c r="V40">
        <v>18588.99851428</v>
      </c>
      <c r="AH40">
        <f t="shared" si="5"/>
        <v>284</v>
      </c>
      <c r="AI40">
        <f t="shared" si="6"/>
        <v>447</v>
      </c>
      <c r="AJ40" t="str">
        <f t="shared" si="7"/>
        <v/>
      </c>
      <c r="AK40">
        <f t="shared" si="8"/>
        <v>246</v>
      </c>
      <c r="AL40">
        <f t="shared" si="1"/>
        <v>379</v>
      </c>
      <c r="AM40">
        <f t="shared" si="2"/>
        <v>386</v>
      </c>
      <c r="AN40">
        <f t="shared" si="3"/>
        <v>260</v>
      </c>
      <c r="AO40" t="str">
        <f t="shared" si="4"/>
        <v/>
      </c>
    </row>
    <row r="41" spans="1:41">
      <c r="A41">
        <f t="shared" si="9"/>
        <v>37</v>
      </c>
      <c r="B41" t="s">
        <v>273</v>
      </c>
      <c r="C41">
        <v>5</v>
      </c>
      <c r="D41">
        <v>5</v>
      </c>
      <c r="E41" t="s">
        <v>385</v>
      </c>
      <c r="F41">
        <v>412</v>
      </c>
      <c r="G41">
        <v>1</v>
      </c>
      <c r="H41">
        <v>66</v>
      </c>
      <c r="I41" t="s">
        <v>386</v>
      </c>
      <c r="J41" t="s">
        <v>386</v>
      </c>
      <c r="K41">
        <v>10000</v>
      </c>
      <c r="L41">
        <v>294</v>
      </c>
      <c r="M41">
        <v>294</v>
      </c>
      <c r="N41">
        <v>464</v>
      </c>
      <c r="O41">
        <v>0</v>
      </c>
      <c r="P41">
        <v>256</v>
      </c>
      <c r="Q41">
        <v>388</v>
      </c>
      <c r="R41">
        <v>391</v>
      </c>
      <c r="S41">
        <v>262</v>
      </c>
      <c r="T41">
        <v>0</v>
      </c>
      <c r="U41">
        <v>5183</v>
      </c>
      <c r="V41">
        <v>18620.320004519999</v>
      </c>
      <c r="AH41">
        <f t="shared" si="5"/>
        <v>294</v>
      </c>
      <c r="AI41">
        <f t="shared" si="6"/>
        <v>464</v>
      </c>
      <c r="AJ41" t="str">
        <f t="shared" si="7"/>
        <v/>
      </c>
      <c r="AK41">
        <f t="shared" si="8"/>
        <v>256</v>
      </c>
      <c r="AL41">
        <f t="shared" si="1"/>
        <v>388</v>
      </c>
      <c r="AM41">
        <f t="shared" si="2"/>
        <v>391</v>
      </c>
      <c r="AN41">
        <f t="shared" si="3"/>
        <v>262</v>
      </c>
      <c r="AO41" t="str">
        <f t="shared" si="4"/>
        <v/>
      </c>
    </row>
    <row r="42" spans="1:41">
      <c r="A42">
        <f t="shared" si="9"/>
        <v>38</v>
      </c>
      <c r="B42" t="s">
        <v>273</v>
      </c>
      <c r="C42">
        <v>5</v>
      </c>
      <c r="D42">
        <v>5</v>
      </c>
      <c r="E42" t="s">
        <v>385</v>
      </c>
      <c r="F42">
        <v>412</v>
      </c>
      <c r="G42">
        <v>1</v>
      </c>
      <c r="H42">
        <v>67</v>
      </c>
      <c r="I42" t="s">
        <v>386</v>
      </c>
      <c r="J42" t="s">
        <v>386</v>
      </c>
      <c r="K42">
        <v>10000</v>
      </c>
      <c r="L42">
        <v>305</v>
      </c>
      <c r="M42">
        <v>305</v>
      </c>
      <c r="N42">
        <v>481</v>
      </c>
      <c r="O42">
        <v>0</v>
      </c>
      <c r="P42">
        <v>256</v>
      </c>
      <c r="Q42">
        <v>386</v>
      </c>
      <c r="R42">
        <v>387</v>
      </c>
      <c r="S42">
        <v>258</v>
      </c>
      <c r="T42">
        <v>0</v>
      </c>
      <c r="U42">
        <v>5371</v>
      </c>
      <c r="V42">
        <v>18652.03579631</v>
      </c>
      <c r="AH42">
        <f t="shared" si="5"/>
        <v>305</v>
      </c>
      <c r="AI42">
        <f t="shared" si="6"/>
        <v>481</v>
      </c>
      <c r="AJ42" t="str">
        <f t="shared" si="7"/>
        <v/>
      </c>
      <c r="AK42">
        <f t="shared" si="8"/>
        <v>256</v>
      </c>
      <c r="AL42">
        <f t="shared" si="1"/>
        <v>386</v>
      </c>
      <c r="AM42">
        <f t="shared" si="2"/>
        <v>387</v>
      </c>
      <c r="AN42">
        <f t="shared" si="3"/>
        <v>258</v>
      </c>
      <c r="AO42" t="str">
        <f t="shared" si="4"/>
        <v/>
      </c>
    </row>
    <row r="43" spans="1:41">
      <c r="A43">
        <f t="shared" si="9"/>
        <v>39</v>
      </c>
      <c r="B43" t="s">
        <v>273</v>
      </c>
      <c r="C43">
        <v>5</v>
      </c>
      <c r="D43">
        <v>5</v>
      </c>
      <c r="E43" t="s">
        <v>385</v>
      </c>
      <c r="F43">
        <v>412</v>
      </c>
      <c r="G43">
        <v>1</v>
      </c>
      <c r="H43">
        <v>68</v>
      </c>
      <c r="I43" t="s">
        <v>386</v>
      </c>
      <c r="J43" t="s">
        <v>386</v>
      </c>
      <c r="K43">
        <v>10000</v>
      </c>
      <c r="L43">
        <v>315</v>
      </c>
      <c r="M43">
        <v>315</v>
      </c>
      <c r="N43">
        <v>497</v>
      </c>
      <c r="O43">
        <v>0</v>
      </c>
      <c r="P43">
        <v>251</v>
      </c>
      <c r="Q43">
        <v>377</v>
      </c>
      <c r="R43">
        <v>375</v>
      </c>
      <c r="S43">
        <v>249</v>
      </c>
      <c r="T43">
        <v>0</v>
      </c>
      <c r="U43">
        <v>5557</v>
      </c>
      <c r="V43">
        <v>18683.247703519999</v>
      </c>
      <c r="AH43">
        <f t="shared" si="5"/>
        <v>315</v>
      </c>
      <c r="AI43">
        <f t="shared" si="6"/>
        <v>497</v>
      </c>
      <c r="AJ43" t="str">
        <f t="shared" si="7"/>
        <v/>
      </c>
      <c r="AK43">
        <f t="shared" si="8"/>
        <v>251</v>
      </c>
      <c r="AL43">
        <f t="shared" si="1"/>
        <v>377</v>
      </c>
      <c r="AM43">
        <f t="shared" si="2"/>
        <v>375</v>
      </c>
      <c r="AN43">
        <f t="shared" si="3"/>
        <v>249</v>
      </c>
      <c r="AO43" t="str">
        <f t="shared" si="4"/>
        <v/>
      </c>
    </row>
    <row r="44" spans="1:41">
      <c r="A44">
        <f t="shared" si="9"/>
        <v>40</v>
      </c>
      <c r="B44" t="s">
        <v>273</v>
      </c>
      <c r="C44">
        <v>5</v>
      </c>
      <c r="D44">
        <v>5</v>
      </c>
      <c r="E44" t="s">
        <v>385</v>
      </c>
      <c r="F44">
        <v>412</v>
      </c>
      <c r="G44">
        <v>1</v>
      </c>
      <c r="H44">
        <v>69</v>
      </c>
      <c r="I44" t="s">
        <v>386</v>
      </c>
      <c r="J44" t="s">
        <v>386</v>
      </c>
      <c r="K44">
        <v>10000</v>
      </c>
      <c r="L44">
        <v>326</v>
      </c>
      <c r="M44">
        <v>326</v>
      </c>
      <c r="N44">
        <v>514</v>
      </c>
      <c r="O44">
        <v>0</v>
      </c>
      <c r="P44">
        <v>247</v>
      </c>
      <c r="Q44">
        <v>370</v>
      </c>
      <c r="R44">
        <v>371</v>
      </c>
      <c r="S44">
        <v>253</v>
      </c>
      <c r="T44">
        <v>0</v>
      </c>
      <c r="U44">
        <v>5742</v>
      </c>
      <c r="V44">
        <v>18714.39930039</v>
      </c>
      <c r="AH44">
        <f t="shared" si="5"/>
        <v>326</v>
      </c>
      <c r="AI44">
        <f t="shared" si="6"/>
        <v>514</v>
      </c>
      <c r="AJ44" t="str">
        <f t="shared" si="7"/>
        <v/>
      </c>
      <c r="AK44">
        <f t="shared" si="8"/>
        <v>247</v>
      </c>
      <c r="AL44">
        <f t="shared" si="1"/>
        <v>370</v>
      </c>
      <c r="AM44">
        <f t="shared" si="2"/>
        <v>371</v>
      </c>
      <c r="AN44">
        <f t="shared" si="3"/>
        <v>253</v>
      </c>
      <c r="AO44" t="str">
        <f t="shared" si="4"/>
        <v/>
      </c>
    </row>
    <row r="45" spans="1:41">
      <c r="A45">
        <f t="shared" si="9"/>
        <v>41</v>
      </c>
      <c r="B45" t="s">
        <v>273</v>
      </c>
      <c r="C45">
        <v>5</v>
      </c>
      <c r="D45">
        <v>5</v>
      </c>
      <c r="E45" t="s">
        <v>385</v>
      </c>
      <c r="F45">
        <v>412</v>
      </c>
      <c r="G45">
        <v>1</v>
      </c>
      <c r="H45">
        <v>70</v>
      </c>
      <c r="I45" t="s">
        <v>386</v>
      </c>
      <c r="J45" t="s">
        <v>386</v>
      </c>
      <c r="K45">
        <v>10000</v>
      </c>
      <c r="L45">
        <v>337</v>
      </c>
      <c r="M45">
        <v>337</v>
      </c>
      <c r="N45">
        <v>532</v>
      </c>
      <c r="O45">
        <v>0</v>
      </c>
      <c r="P45">
        <v>254</v>
      </c>
      <c r="Q45">
        <v>389</v>
      </c>
      <c r="R45">
        <v>408</v>
      </c>
      <c r="S45">
        <v>296</v>
      </c>
      <c r="T45">
        <v>0</v>
      </c>
      <c r="U45">
        <v>5940</v>
      </c>
      <c r="V45">
        <v>18747.804210130002</v>
      </c>
      <c r="AH45">
        <f t="shared" si="5"/>
        <v>337</v>
      </c>
      <c r="AI45">
        <f t="shared" si="6"/>
        <v>532</v>
      </c>
      <c r="AJ45" t="str">
        <f t="shared" si="7"/>
        <v/>
      </c>
      <c r="AK45">
        <f t="shared" si="8"/>
        <v>254</v>
      </c>
      <c r="AL45">
        <f t="shared" si="1"/>
        <v>389</v>
      </c>
      <c r="AM45">
        <f t="shared" si="2"/>
        <v>408</v>
      </c>
      <c r="AN45">
        <f t="shared" si="3"/>
        <v>296</v>
      </c>
      <c r="AO45" t="str">
        <f t="shared" si="4"/>
        <v/>
      </c>
    </row>
    <row r="46" spans="1:41">
      <c r="A46">
        <f t="shared" si="9"/>
        <v>42</v>
      </c>
      <c r="B46" t="s">
        <v>273</v>
      </c>
      <c r="C46">
        <v>5</v>
      </c>
      <c r="D46">
        <v>5</v>
      </c>
      <c r="E46" t="s">
        <v>385</v>
      </c>
      <c r="F46">
        <v>412</v>
      </c>
      <c r="G46">
        <v>1</v>
      </c>
      <c r="H46">
        <v>71</v>
      </c>
      <c r="I46" t="s">
        <v>386</v>
      </c>
      <c r="J46" t="s">
        <v>386</v>
      </c>
      <c r="K46">
        <v>10000</v>
      </c>
      <c r="L46">
        <v>350</v>
      </c>
      <c r="M46">
        <v>350</v>
      </c>
      <c r="N46">
        <v>552</v>
      </c>
      <c r="O46">
        <v>0</v>
      </c>
      <c r="P46">
        <v>290</v>
      </c>
      <c r="Q46">
        <v>467</v>
      </c>
      <c r="R46">
        <v>517</v>
      </c>
      <c r="S46">
        <v>388</v>
      </c>
      <c r="T46">
        <v>0</v>
      </c>
      <c r="U46">
        <v>6174</v>
      </c>
      <c r="V46">
        <v>18787.052066200002</v>
      </c>
      <c r="AH46">
        <f t="shared" si="5"/>
        <v>350</v>
      </c>
      <c r="AI46">
        <f t="shared" si="6"/>
        <v>552</v>
      </c>
      <c r="AJ46" t="str">
        <f t="shared" si="7"/>
        <v/>
      </c>
      <c r="AK46">
        <f t="shared" si="8"/>
        <v>290</v>
      </c>
      <c r="AL46">
        <f t="shared" si="1"/>
        <v>467</v>
      </c>
      <c r="AM46">
        <f t="shared" si="2"/>
        <v>517</v>
      </c>
      <c r="AN46">
        <f t="shared" si="3"/>
        <v>388</v>
      </c>
      <c r="AO46" t="str">
        <f t="shared" si="4"/>
        <v/>
      </c>
    </row>
    <row r="47" spans="1:41">
      <c r="A47">
        <f t="shared" si="9"/>
        <v>43</v>
      </c>
      <c r="B47" t="s">
        <v>273</v>
      </c>
      <c r="C47">
        <v>5</v>
      </c>
      <c r="D47">
        <v>5</v>
      </c>
      <c r="E47" t="s">
        <v>385</v>
      </c>
      <c r="F47">
        <v>412</v>
      </c>
      <c r="G47">
        <v>1</v>
      </c>
      <c r="H47">
        <v>72</v>
      </c>
      <c r="I47" t="s">
        <v>386</v>
      </c>
      <c r="J47" t="s">
        <v>386</v>
      </c>
      <c r="K47">
        <v>10000</v>
      </c>
      <c r="L47">
        <v>367</v>
      </c>
      <c r="M47">
        <v>367</v>
      </c>
      <c r="N47">
        <v>579</v>
      </c>
      <c r="O47">
        <v>0</v>
      </c>
      <c r="P47">
        <v>371</v>
      </c>
      <c r="Q47">
        <v>620</v>
      </c>
      <c r="R47">
        <v>694</v>
      </c>
      <c r="S47">
        <v>514</v>
      </c>
      <c r="T47">
        <v>0</v>
      </c>
      <c r="U47">
        <v>6464</v>
      </c>
      <c r="V47">
        <v>18836.022747179999</v>
      </c>
      <c r="AH47">
        <f t="shared" si="5"/>
        <v>367</v>
      </c>
      <c r="AI47">
        <f t="shared" si="6"/>
        <v>579</v>
      </c>
      <c r="AJ47" t="str">
        <f t="shared" si="7"/>
        <v/>
      </c>
      <c r="AK47">
        <f t="shared" si="8"/>
        <v>371</v>
      </c>
      <c r="AL47">
        <f t="shared" si="1"/>
        <v>620</v>
      </c>
      <c r="AM47">
        <f t="shared" si="2"/>
        <v>694</v>
      </c>
      <c r="AN47">
        <f t="shared" si="3"/>
        <v>514</v>
      </c>
      <c r="AO47" t="str">
        <f t="shared" si="4"/>
        <v/>
      </c>
    </row>
    <row r="48" spans="1:41">
      <c r="A48">
        <f t="shared" si="9"/>
        <v>44</v>
      </c>
      <c r="B48" t="s">
        <v>273</v>
      </c>
      <c r="C48">
        <v>5</v>
      </c>
      <c r="D48">
        <v>5</v>
      </c>
      <c r="E48" t="s">
        <v>385</v>
      </c>
      <c r="F48">
        <v>412</v>
      </c>
      <c r="G48">
        <v>1</v>
      </c>
      <c r="H48">
        <v>73</v>
      </c>
      <c r="I48" t="s">
        <v>386</v>
      </c>
      <c r="J48" t="s">
        <v>386</v>
      </c>
      <c r="K48">
        <v>10000</v>
      </c>
      <c r="L48">
        <v>388</v>
      </c>
      <c r="M48">
        <v>388</v>
      </c>
      <c r="N48">
        <v>612</v>
      </c>
      <c r="O48">
        <v>0</v>
      </c>
      <c r="P48">
        <v>494</v>
      </c>
      <c r="Q48">
        <v>820</v>
      </c>
      <c r="R48">
        <v>899</v>
      </c>
      <c r="S48">
        <v>649</v>
      </c>
      <c r="T48">
        <v>0</v>
      </c>
      <c r="U48">
        <v>6833</v>
      </c>
      <c r="V48">
        <v>18898.245034119998</v>
      </c>
      <c r="AH48">
        <f t="shared" si="5"/>
        <v>388</v>
      </c>
      <c r="AI48">
        <f t="shared" si="6"/>
        <v>612</v>
      </c>
      <c r="AJ48" t="str">
        <f t="shared" si="7"/>
        <v/>
      </c>
      <c r="AK48">
        <f t="shared" si="8"/>
        <v>494</v>
      </c>
      <c r="AL48">
        <f t="shared" si="1"/>
        <v>820</v>
      </c>
      <c r="AM48">
        <f t="shared" si="2"/>
        <v>899</v>
      </c>
      <c r="AN48">
        <f t="shared" si="3"/>
        <v>649</v>
      </c>
      <c r="AO48" t="str">
        <f t="shared" si="4"/>
        <v/>
      </c>
    </row>
    <row r="49" spans="1:41">
      <c r="A49">
        <f t="shared" si="9"/>
        <v>45</v>
      </c>
      <c r="B49" t="s">
        <v>273</v>
      </c>
      <c r="C49">
        <v>5</v>
      </c>
      <c r="D49">
        <v>5</v>
      </c>
      <c r="E49" t="s">
        <v>385</v>
      </c>
      <c r="F49">
        <v>412</v>
      </c>
      <c r="G49">
        <v>1</v>
      </c>
      <c r="H49">
        <v>74</v>
      </c>
      <c r="I49" t="s">
        <v>386</v>
      </c>
      <c r="J49" t="s">
        <v>386</v>
      </c>
      <c r="K49">
        <v>10000</v>
      </c>
      <c r="L49">
        <v>414</v>
      </c>
      <c r="M49">
        <v>414</v>
      </c>
      <c r="N49">
        <v>652</v>
      </c>
      <c r="O49">
        <v>0</v>
      </c>
      <c r="P49">
        <v>625</v>
      </c>
      <c r="Q49">
        <v>1010</v>
      </c>
      <c r="R49">
        <v>1074</v>
      </c>
      <c r="S49">
        <v>747</v>
      </c>
      <c r="T49">
        <v>0</v>
      </c>
      <c r="U49">
        <v>7284</v>
      </c>
      <c r="V49">
        <v>18974.141252099998</v>
      </c>
      <c r="AH49">
        <f t="shared" si="5"/>
        <v>414</v>
      </c>
      <c r="AI49">
        <f t="shared" si="6"/>
        <v>652</v>
      </c>
      <c r="AJ49" t="str">
        <f t="shared" si="7"/>
        <v/>
      </c>
      <c r="AK49">
        <f t="shared" si="8"/>
        <v>625</v>
      </c>
      <c r="AL49">
        <f t="shared" si="1"/>
        <v>1010</v>
      </c>
      <c r="AM49">
        <f t="shared" si="2"/>
        <v>1074</v>
      </c>
      <c r="AN49">
        <f t="shared" si="3"/>
        <v>747</v>
      </c>
      <c r="AO49" t="str">
        <f t="shared" si="4"/>
        <v/>
      </c>
    </row>
    <row r="50" spans="1:41">
      <c r="A50">
        <f t="shared" si="9"/>
        <v>46</v>
      </c>
      <c r="B50" t="s">
        <v>273</v>
      </c>
      <c r="C50">
        <v>5</v>
      </c>
      <c r="D50">
        <v>5</v>
      </c>
      <c r="E50" t="s">
        <v>385</v>
      </c>
      <c r="F50">
        <v>412</v>
      </c>
      <c r="G50">
        <v>1</v>
      </c>
      <c r="H50">
        <v>75</v>
      </c>
      <c r="I50" t="s">
        <v>386</v>
      </c>
      <c r="J50" t="s">
        <v>386</v>
      </c>
      <c r="K50">
        <v>10000</v>
      </c>
      <c r="L50">
        <v>442</v>
      </c>
      <c r="M50">
        <v>442</v>
      </c>
      <c r="N50">
        <v>697</v>
      </c>
      <c r="O50">
        <v>0</v>
      </c>
      <c r="P50">
        <v>718</v>
      </c>
      <c r="Q50">
        <v>1124</v>
      </c>
      <c r="R50">
        <v>1146</v>
      </c>
      <c r="S50">
        <v>758</v>
      </c>
      <c r="T50">
        <v>0</v>
      </c>
      <c r="U50">
        <v>7789</v>
      </c>
      <c r="V50">
        <v>19059.141290150001</v>
      </c>
      <c r="AH50">
        <f t="shared" si="5"/>
        <v>442</v>
      </c>
      <c r="AI50">
        <f t="shared" si="6"/>
        <v>697</v>
      </c>
      <c r="AJ50" t="str">
        <f t="shared" si="7"/>
        <v/>
      </c>
      <c r="AK50">
        <f t="shared" si="8"/>
        <v>718</v>
      </c>
      <c r="AL50">
        <f t="shared" si="1"/>
        <v>1124</v>
      </c>
      <c r="AM50">
        <f t="shared" si="2"/>
        <v>1146</v>
      </c>
      <c r="AN50">
        <f t="shared" si="3"/>
        <v>758</v>
      </c>
      <c r="AO50" t="str">
        <f t="shared" si="4"/>
        <v/>
      </c>
    </row>
    <row r="51" spans="1:41">
      <c r="A51">
        <f t="shared" si="9"/>
        <v>47</v>
      </c>
      <c r="B51" t="s">
        <v>273</v>
      </c>
      <c r="C51">
        <v>4</v>
      </c>
      <c r="D51">
        <v>4</v>
      </c>
      <c r="E51" t="s">
        <v>385</v>
      </c>
      <c r="F51">
        <v>412</v>
      </c>
      <c r="G51">
        <v>1</v>
      </c>
      <c r="H51">
        <v>76</v>
      </c>
      <c r="I51" t="s">
        <v>386</v>
      </c>
      <c r="J51" t="s">
        <v>386</v>
      </c>
      <c r="K51">
        <v>10000</v>
      </c>
      <c r="L51">
        <v>458</v>
      </c>
      <c r="M51">
        <v>458</v>
      </c>
      <c r="N51">
        <v>780</v>
      </c>
      <c r="O51">
        <v>0</v>
      </c>
      <c r="P51">
        <v>579</v>
      </c>
      <c r="Q51">
        <v>778</v>
      </c>
      <c r="R51">
        <v>571</v>
      </c>
      <c r="S51">
        <v>0</v>
      </c>
      <c r="T51" t="s">
        <v>386</v>
      </c>
      <c r="U51">
        <v>8703</v>
      </c>
      <c r="V51">
        <v>18834.041344239999</v>
      </c>
      <c r="AH51">
        <f t="shared" si="5"/>
        <v>458</v>
      </c>
      <c r="AI51">
        <f t="shared" si="6"/>
        <v>780</v>
      </c>
      <c r="AJ51" t="str">
        <f t="shared" si="7"/>
        <v/>
      </c>
      <c r="AK51">
        <f t="shared" si="8"/>
        <v>579</v>
      </c>
      <c r="AL51">
        <f t="shared" si="1"/>
        <v>778</v>
      </c>
      <c r="AM51">
        <f t="shared" si="2"/>
        <v>571</v>
      </c>
      <c r="AN51" t="str">
        <f t="shared" si="3"/>
        <v/>
      </c>
      <c r="AO51" t="e">
        <f t="shared" si="4"/>
        <v>#VALUE!</v>
      </c>
    </row>
    <row r="52" spans="1:41">
      <c r="A52">
        <f t="shared" si="9"/>
        <v>48</v>
      </c>
      <c r="B52" t="s">
        <v>273</v>
      </c>
      <c r="C52">
        <v>3</v>
      </c>
      <c r="D52">
        <v>3</v>
      </c>
      <c r="E52" t="s">
        <v>385</v>
      </c>
      <c r="F52">
        <v>412</v>
      </c>
      <c r="G52">
        <v>1</v>
      </c>
      <c r="H52">
        <v>77</v>
      </c>
      <c r="I52" t="s">
        <v>386</v>
      </c>
      <c r="J52" t="s">
        <v>386</v>
      </c>
      <c r="K52">
        <v>10000</v>
      </c>
      <c r="L52">
        <v>475</v>
      </c>
      <c r="M52">
        <v>475</v>
      </c>
      <c r="N52">
        <v>933</v>
      </c>
      <c r="O52">
        <v>0</v>
      </c>
      <c r="P52">
        <v>388</v>
      </c>
      <c r="Q52">
        <v>374</v>
      </c>
      <c r="R52">
        <v>0</v>
      </c>
      <c r="S52" t="s">
        <v>386</v>
      </c>
      <c r="T52" t="s">
        <v>386</v>
      </c>
      <c r="U52">
        <v>10388</v>
      </c>
      <c r="V52">
        <v>18592.04870033</v>
      </c>
      <c r="AH52">
        <f t="shared" si="5"/>
        <v>475</v>
      </c>
      <c r="AI52">
        <f t="shared" si="6"/>
        <v>933</v>
      </c>
      <c r="AJ52" t="str">
        <f t="shared" si="7"/>
        <v/>
      </c>
      <c r="AK52">
        <f t="shared" si="8"/>
        <v>388</v>
      </c>
      <c r="AL52">
        <f t="shared" si="1"/>
        <v>374</v>
      </c>
      <c r="AM52" t="str">
        <f t="shared" si="2"/>
        <v/>
      </c>
      <c r="AN52" t="e">
        <f t="shared" si="3"/>
        <v>#VALUE!</v>
      </c>
      <c r="AO52" t="e">
        <f t="shared" si="4"/>
        <v>#VALUE!</v>
      </c>
    </row>
    <row r="53" spans="1:41">
      <c r="A53">
        <f t="shared" si="9"/>
        <v>49</v>
      </c>
      <c r="B53" t="s">
        <v>273</v>
      </c>
      <c r="C53">
        <v>2</v>
      </c>
      <c r="D53">
        <v>2</v>
      </c>
      <c r="E53" t="s">
        <v>385</v>
      </c>
      <c r="F53">
        <v>412</v>
      </c>
      <c r="G53">
        <v>1</v>
      </c>
      <c r="H53">
        <v>78</v>
      </c>
      <c r="I53" t="s">
        <v>386</v>
      </c>
      <c r="J53" t="s">
        <v>386</v>
      </c>
      <c r="K53">
        <v>10000</v>
      </c>
      <c r="L53">
        <v>491</v>
      </c>
      <c r="M53">
        <v>491</v>
      </c>
      <c r="N53">
        <v>937</v>
      </c>
      <c r="O53">
        <v>0</v>
      </c>
      <c r="P53">
        <v>178</v>
      </c>
      <c r="Q53">
        <v>0</v>
      </c>
      <c r="R53" t="s">
        <v>386</v>
      </c>
      <c r="S53" t="s">
        <v>386</v>
      </c>
      <c r="T53" t="s">
        <v>386</v>
      </c>
      <c r="U53">
        <v>6702</v>
      </c>
      <c r="V53">
        <v>18330.14004043</v>
      </c>
      <c r="AH53">
        <f t="shared" si="5"/>
        <v>491</v>
      </c>
      <c r="AI53">
        <f t="shared" si="6"/>
        <v>937</v>
      </c>
      <c r="AJ53" t="str">
        <f t="shared" si="7"/>
        <v/>
      </c>
      <c r="AK53">
        <f t="shared" si="8"/>
        <v>178</v>
      </c>
      <c r="AL53" t="str">
        <f t="shared" si="1"/>
        <v/>
      </c>
      <c r="AM53" t="e">
        <f t="shared" si="2"/>
        <v>#VALUE!</v>
      </c>
      <c r="AN53" t="e">
        <f t="shared" si="3"/>
        <v>#VALUE!</v>
      </c>
      <c r="AO53" t="e">
        <f t="shared" si="4"/>
        <v>#VALUE!</v>
      </c>
    </row>
    <row r="54" spans="1:41">
      <c r="A54">
        <f t="shared" si="9"/>
        <v>50</v>
      </c>
      <c r="B54" t="s">
        <v>273</v>
      </c>
      <c r="C54">
        <v>1</v>
      </c>
      <c r="D54">
        <v>1</v>
      </c>
      <c r="E54" t="s">
        <v>385</v>
      </c>
      <c r="F54">
        <v>412</v>
      </c>
      <c r="G54">
        <v>1</v>
      </c>
      <c r="H54">
        <v>79</v>
      </c>
      <c r="I54" t="s">
        <v>386</v>
      </c>
      <c r="J54" t="s">
        <v>386</v>
      </c>
      <c r="K54">
        <v>10000</v>
      </c>
      <c r="L54">
        <v>506</v>
      </c>
      <c r="M54">
        <v>506</v>
      </c>
      <c r="N54">
        <v>1585</v>
      </c>
      <c r="O54">
        <v>0</v>
      </c>
      <c r="P54">
        <v>0</v>
      </c>
      <c r="Q54" t="s">
        <v>386</v>
      </c>
      <c r="R54" t="s">
        <v>386</v>
      </c>
      <c r="S54" t="s">
        <v>386</v>
      </c>
      <c r="T54" t="s">
        <v>386</v>
      </c>
      <c r="U54">
        <v>9422</v>
      </c>
      <c r="V54">
        <v>18047.686190050001</v>
      </c>
      <c r="AH54">
        <f t="shared" si="5"/>
        <v>506</v>
      </c>
      <c r="AI54">
        <f t="shared" si="6"/>
        <v>1585</v>
      </c>
      <c r="AJ54" t="str">
        <f t="shared" si="7"/>
        <v/>
      </c>
      <c r="AK54" t="str">
        <f t="shared" si="8"/>
        <v/>
      </c>
      <c r="AL54" t="e">
        <f t="shared" si="1"/>
        <v>#VALUE!</v>
      </c>
      <c r="AM54" t="e">
        <f t="shared" si="2"/>
        <v>#VALUE!</v>
      </c>
      <c r="AN54" t="e">
        <f t="shared" si="3"/>
        <v>#VALUE!</v>
      </c>
      <c r="AO54" t="e">
        <f t="shared" si="4"/>
        <v>#VALUE!</v>
      </c>
    </row>
    <row r="55" spans="1:41">
      <c r="A55">
        <f t="shared" si="9"/>
        <v>51</v>
      </c>
      <c r="B55" t="s">
        <v>273</v>
      </c>
      <c r="C55">
        <v>5</v>
      </c>
      <c r="D55">
        <v>5</v>
      </c>
      <c r="E55" t="s">
        <v>387</v>
      </c>
      <c r="F55">
        <v>412</v>
      </c>
      <c r="G55">
        <v>1</v>
      </c>
      <c r="H55">
        <v>30</v>
      </c>
      <c r="I55" t="s">
        <v>386</v>
      </c>
      <c r="J55" t="s">
        <v>386</v>
      </c>
      <c r="K55">
        <v>10000</v>
      </c>
      <c r="L55">
        <v>162</v>
      </c>
      <c r="M55">
        <v>162</v>
      </c>
      <c r="N55">
        <v>256</v>
      </c>
      <c r="O55">
        <v>0</v>
      </c>
      <c r="P55">
        <v>48</v>
      </c>
      <c r="Q55">
        <v>72</v>
      </c>
      <c r="R55">
        <v>70</v>
      </c>
      <c r="S55">
        <v>45</v>
      </c>
      <c r="T55">
        <v>0</v>
      </c>
      <c r="U55">
        <v>2859</v>
      </c>
      <c r="V55">
        <v>18228.849816670001</v>
      </c>
      <c r="AH55">
        <f t="shared" si="5"/>
        <v>162</v>
      </c>
      <c r="AI55">
        <f t="shared" si="6"/>
        <v>256</v>
      </c>
      <c r="AJ55" t="str">
        <f t="shared" si="7"/>
        <v/>
      </c>
      <c r="AK55">
        <f t="shared" si="8"/>
        <v>48</v>
      </c>
      <c r="AL55">
        <f t="shared" si="1"/>
        <v>72</v>
      </c>
      <c r="AM55">
        <f t="shared" si="2"/>
        <v>70</v>
      </c>
      <c r="AN55">
        <f t="shared" si="3"/>
        <v>45</v>
      </c>
      <c r="AO55" t="str">
        <f t="shared" si="4"/>
        <v/>
      </c>
    </row>
    <row r="56" spans="1:41">
      <c r="A56">
        <f t="shared" si="9"/>
        <v>52</v>
      </c>
      <c r="B56" t="s">
        <v>273</v>
      </c>
      <c r="C56">
        <v>5</v>
      </c>
      <c r="D56">
        <v>5</v>
      </c>
      <c r="E56" t="s">
        <v>387</v>
      </c>
      <c r="F56">
        <v>412</v>
      </c>
      <c r="G56">
        <v>1</v>
      </c>
      <c r="H56">
        <v>31</v>
      </c>
      <c r="I56" t="s">
        <v>386</v>
      </c>
      <c r="J56" t="s">
        <v>386</v>
      </c>
      <c r="K56">
        <v>10000</v>
      </c>
      <c r="L56">
        <v>164</v>
      </c>
      <c r="M56">
        <v>164</v>
      </c>
      <c r="N56">
        <v>259</v>
      </c>
      <c r="O56">
        <v>0</v>
      </c>
      <c r="P56">
        <v>44</v>
      </c>
      <c r="Q56">
        <v>63</v>
      </c>
      <c r="R56">
        <v>58</v>
      </c>
      <c r="S56">
        <v>35</v>
      </c>
      <c r="T56">
        <v>0</v>
      </c>
      <c r="U56">
        <v>2889</v>
      </c>
      <c r="V56">
        <v>18233.967387969999</v>
      </c>
      <c r="AH56">
        <f t="shared" si="5"/>
        <v>164</v>
      </c>
      <c r="AI56">
        <f t="shared" si="6"/>
        <v>259</v>
      </c>
      <c r="AJ56" t="str">
        <f t="shared" si="7"/>
        <v/>
      </c>
      <c r="AK56">
        <f t="shared" si="8"/>
        <v>44</v>
      </c>
      <c r="AL56">
        <f t="shared" si="1"/>
        <v>63</v>
      </c>
      <c r="AM56">
        <f t="shared" si="2"/>
        <v>58</v>
      </c>
      <c r="AN56">
        <f t="shared" si="3"/>
        <v>35</v>
      </c>
      <c r="AO56" t="str">
        <f t="shared" si="4"/>
        <v/>
      </c>
    </row>
    <row r="57" spans="1:41">
      <c r="A57">
        <f t="shared" si="9"/>
        <v>53</v>
      </c>
      <c r="B57" t="s">
        <v>273</v>
      </c>
      <c r="C57">
        <v>5</v>
      </c>
      <c r="D57">
        <v>5</v>
      </c>
      <c r="E57" t="s">
        <v>387</v>
      </c>
      <c r="F57">
        <v>412</v>
      </c>
      <c r="G57">
        <v>1</v>
      </c>
      <c r="H57">
        <v>32</v>
      </c>
      <c r="I57" t="s">
        <v>386</v>
      </c>
      <c r="J57" t="s">
        <v>386</v>
      </c>
      <c r="K57">
        <v>10000</v>
      </c>
      <c r="L57">
        <v>165</v>
      </c>
      <c r="M57">
        <v>165</v>
      </c>
      <c r="N57">
        <v>261</v>
      </c>
      <c r="O57">
        <v>0</v>
      </c>
      <c r="P57">
        <v>34</v>
      </c>
      <c r="Q57">
        <v>46</v>
      </c>
      <c r="R57">
        <v>38</v>
      </c>
      <c r="S57">
        <v>20</v>
      </c>
      <c r="T57">
        <v>0</v>
      </c>
      <c r="U57">
        <v>2913</v>
      </c>
      <c r="V57">
        <v>18237.99560916</v>
      </c>
      <c r="AH57">
        <f t="shared" si="5"/>
        <v>165</v>
      </c>
      <c r="AI57">
        <f t="shared" si="6"/>
        <v>261</v>
      </c>
      <c r="AJ57" t="str">
        <f t="shared" si="7"/>
        <v/>
      </c>
      <c r="AK57">
        <f t="shared" si="8"/>
        <v>34</v>
      </c>
      <c r="AL57">
        <f t="shared" si="1"/>
        <v>46</v>
      </c>
      <c r="AM57">
        <f t="shared" si="2"/>
        <v>38</v>
      </c>
      <c r="AN57">
        <f t="shared" si="3"/>
        <v>20</v>
      </c>
      <c r="AO57" t="str">
        <f t="shared" si="4"/>
        <v/>
      </c>
    </row>
    <row r="58" spans="1:41">
      <c r="A58">
        <f t="shared" si="9"/>
        <v>54</v>
      </c>
      <c r="B58" t="s">
        <v>273</v>
      </c>
      <c r="C58">
        <v>5</v>
      </c>
      <c r="D58">
        <v>5</v>
      </c>
      <c r="E58" t="s">
        <v>387</v>
      </c>
      <c r="F58">
        <v>412</v>
      </c>
      <c r="G58">
        <v>1</v>
      </c>
      <c r="H58">
        <v>33</v>
      </c>
      <c r="I58" t="s">
        <v>386</v>
      </c>
      <c r="J58" t="s">
        <v>386</v>
      </c>
      <c r="K58">
        <v>10000</v>
      </c>
      <c r="L58">
        <v>166</v>
      </c>
      <c r="M58">
        <v>166</v>
      </c>
      <c r="N58">
        <v>262</v>
      </c>
      <c r="O58">
        <v>0</v>
      </c>
      <c r="P58">
        <v>21</v>
      </c>
      <c r="Q58">
        <v>24</v>
      </c>
      <c r="R58">
        <v>16</v>
      </c>
      <c r="S58">
        <v>7</v>
      </c>
      <c r="T58">
        <v>0</v>
      </c>
      <c r="U58">
        <v>2929</v>
      </c>
      <c r="V58">
        <v>18240.619115630001</v>
      </c>
      <c r="AH58">
        <f t="shared" si="5"/>
        <v>166</v>
      </c>
      <c r="AI58">
        <f t="shared" si="6"/>
        <v>262</v>
      </c>
      <c r="AJ58" t="str">
        <f t="shared" si="7"/>
        <v/>
      </c>
      <c r="AK58">
        <f t="shared" si="8"/>
        <v>21</v>
      </c>
      <c r="AL58">
        <f t="shared" si="1"/>
        <v>24</v>
      </c>
      <c r="AM58">
        <f t="shared" si="2"/>
        <v>16</v>
      </c>
      <c r="AN58">
        <f t="shared" si="3"/>
        <v>7</v>
      </c>
      <c r="AO58" t="str">
        <f t="shared" si="4"/>
        <v/>
      </c>
    </row>
    <row r="59" spans="1:41">
      <c r="A59">
        <f t="shared" si="9"/>
        <v>55</v>
      </c>
      <c r="B59" t="s">
        <v>273</v>
      </c>
      <c r="C59">
        <v>5</v>
      </c>
      <c r="D59">
        <v>5</v>
      </c>
      <c r="E59" t="s">
        <v>387</v>
      </c>
      <c r="F59">
        <v>412</v>
      </c>
      <c r="G59">
        <v>1</v>
      </c>
      <c r="H59">
        <v>34</v>
      </c>
      <c r="I59" t="s">
        <v>386</v>
      </c>
      <c r="J59" t="s">
        <v>386</v>
      </c>
      <c r="K59">
        <v>10000</v>
      </c>
      <c r="L59">
        <v>167</v>
      </c>
      <c r="M59">
        <v>167</v>
      </c>
      <c r="N59">
        <v>263</v>
      </c>
      <c r="O59">
        <v>0</v>
      </c>
      <c r="P59">
        <v>7</v>
      </c>
      <c r="Q59">
        <v>4</v>
      </c>
      <c r="R59">
        <v>-1</v>
      </c>
      <c r="S59">
        <v>-3</v>
      </c>
      <c r="T59">
        <v>0</v>
      </c>
      <c r="U59">
        <v>2935</v>
      </c>
      <c r="V59">
        <v>18241.812049470002</v>
      </c>
      <c r="AH59">
        <f t="shared" si="5"/>
        <v>167</v>
      </c>
      <c r="AI59">
        <f t="shared" si="6"/>
        <v>263</v>
      </c>
      <c r="AJ59" t="str">
        <f t="shared" si="7"/>
        <v/>
      </c>
      <c r="AK59">
        <f t="shared" si="8"/>
        <v>7</v>
      </c>
      <c r="AL59">
        <f t="shared" si="1"/>
        <v>4</v>
      </c>
      <c r="AM59">
        <f t="shared" si="2"/>
        <v>-1</v>
      </c>
      <c r="AN59">
        <f t="shared" si="3"/>
        <v>-3</v>
      </c>
      <c r="AO59" t="str">
        <f t="shared" si="4"/>
        <v/>
      </c>
    </row>
    <row r="60" spans="1:41">
      <c r="A60">
        <f t="shared" si="9"/>
        <v>56</v>
      </c>
      <c r="B60" t="s">
        <v>273</v>
      </c>
      <c r="C60">
        <v>5</v>
      </c>
      <c r="D60">
        <v>5</v>
      </c>
      <c r="E60" t="s">
        <v>387</v>
      </c>
      <c r="F60">
        <v>412</v>
      </c>
      <c r="G60">
        <v>1</v>
      </c>
      <c r="H60">
        <v>35</v>
      </c>
      <c r="I60" t="s">
        <v>386</v>
      </c>
      <c r="J60" t="s">
        <v>386</v>
      </c>
      <c r="K60">
        <v>10000</v>
      </c>
      <c r="L60">
        <v>167</v>
      </c>
      <c r="M60">
        <v>167</v>
      </c>
      <c r="N60">
        <v>263</v>
      </c>
      <c r="O60">
        <v>0</v>
      </c>
      <c r="P60">
        <v>-3</v>
      </c>
      <c r="Q60">
        <v>-8</v>
      </c>
      <c r="R60">
        <v>-10</v>
      </c>
      <c r="S60">
        <v>-7</v>
      </c>
      <c r="T60">
        <v>0</v>
      </c>
      <c r="U60">
        <v>2936</v>
      </c>
      <c r="V60">
        <v>18241.854828129999</v>
      </c>
      <c r="AH60">
        <f t="shared" si="5"/>
        <v>167</v>
      </c>
      <c r="AI60">
        <f t="shared" si="6"/>
        <v>263</v>
      </c>
      <c r="AJ60" t="str">
        <f t="shared" si="7"/>
        <v/>
      </c>
      <c r="AK60">
        <f t="shared" si="8"/>
        <v>-3</v>
      </c>
      <c r="AL60">
        <f t="shared" si="1"/>
        <v>-8</v>
      </c>
      <c r="AM60">
        <f t="shared" si="2"/>
        <v>-10</v>
      </c>
      <c r="AN60">
        <f t="shared" si="3"/>
        <v>-7</v>
      </c>
      <c r="AO60" t="str">
        <f t="shared" si="4"/>
        <v/>
      </c>
    </row>
    <row r="61" spans="1:41">
      <c r="A61">
        <f t="shared" si="9"/>
        <v>57</v>
      </c>
      <c r="B61" t="s">
        <v>273</v>
      </c>
      <c r="C61">
        <v>5</v>
      </c>
      <c r="D61">
        <v>5</v>
      </c>
      <c r="E61" t="s">
        <v>387</v>
      </c>
      <c r="F61">
        <v>412</v>
      </c>
      <c r="G61">
        <v>1</v>
      </c>
      <c r="H61">
        <v>36</v>
      </c>
      <c r="I61" t="s">
        <v>386</v>
      </c>
      <c r="J61" t="s">
        <v>386</v>
      </c>
      <c r="K61">
        <v>10000</v>
      </c>
      <c r="L61">
        <v>166</v>
      </c>
      <c r="M61">
        <v>166</v>
      </c>
      <c r="N61">
        <v>262</v>
      </c>
      <c r="O61">
        <v>0</v>
      </c>
      <c r="P61">
        <v>-8</v>
      </c>
      <c r="Q61">
        <v>-12</v>
      </c>
      <c r="R61">
        <v>-12</v>
      </c>
      <c r="S61">
        <v>-8</v>
      </c>
      <c r="T61">
        <v>0</v>
      </c>
      <c r="U61">
        <v>2931</v>
      </c>
      <c r="V61">
        <v>18241.185569059999</v>
      </c>
      <c r="AH61">
        <f t="shared" si="5"/>
        <v>166</v>
      </c>
      <c r="AI61">
        <f t="shared" si="6"/>
        <v>262</v>
      </c>
      <c r="AJ61" t="str">
        <f t="shared" si="7"/>
        <v/>
      </c>
      <c r="AK61">
        <f t="shared" si="8"/>
        <v>-8</v>
      </c>
      <c r="AL61">
        <f t="shared" si="1"/>
        <v>-12</v>
      </c>
      <c r="AM61">
        <f t="shared" si="2"/>
        <v>-12</v>
      </c>
      <c r="AN61">
        <f t="shared" si="3"/>
        <v>-8</v>
      </c>
      <c r="AO61" t="str">
        <f t="shared" si="4"/>
        <v/>
      </c>
    </row>
    <row r="62" spans="1:41">
      <c r="A62">
        <f t="shared" si="9"/>
        <v>58</v>
      </c>
      <c r="B62" t="s">
        <v>273</v>
      </c>
      <c r="C62">
        <v>5</v>
      </c>
      <c r="D62">
        <v>5</v>
      </c>
      <c r="E62" t="s">
        <v>387</v>
      </c>
      <c r="F62">
        <v>412</v>
      </c>
      <c r="G62">
        <v>1</v>
      </c>
      <c r="H62">
        <v>37</v>
      </c>
      <c r="I62" t="s">
        <v>386</v>
      </c>
      <c r="J62" t="s">
        <v>386</v>
      </c>
      <c r="K62">
        <v>10000</v>
      </c>
      <c r="L62">
        <v>166</v>
      </c>
      <c r="M62">
        <v>166</v>
      </c>
      <c r="N62">
        <v>262</v>
      </c>
      <c r="O62">
        <v>0</v>
      </c>
      <c r="P62">
        <v>-9</v>
      </c>
      <c r="Q62">
        <v>-12</v>
      </c>
      <c r="R62">
        <v>-12</v>
      </c>
      <c r="S62">
        <v>-8</v>
      </c>
      <c r="T62">
        <v>0</v>
      </c>
      <c r="U62">
        <v>2926</v>
      </c>
      <c r="V62">
        <v>18240.180934579999</v>
      </c>
      <c r="AH62">
        <f t="shared" si="5"/>
        <v>166</v>
      </c>
      <c r="AI62">
        <f t="shared" si="6"/>
        <v>262</v>
      </c>
      <c r="AJ62" t="str">
        <f t="shared" si="7"/>
        <v/>
      </c>
      <c r="AK62">
        <f t="shared" si="8"/>
        <v>-9</v>
      </c>
      <c r="AL62">
        <f t="shared" si="1"/>
        <v>-12</v>
      </c>
      <c r="AM62">
        <f t="shared" si="2"/>
        <v>-12</v>
      </c>
      <c r="AN62">
        <f t="shared" si="3"/>
        <v>-8</v>
      </c>
      <c r="AO62" t="str">
        <f t="shared" si="4"/>
        <v/>
      </c>
    </row>
    <row r="63" spans="1:41">
      <c r="A63">
        <f t="shared" si="9"/>
        <v>59</v>
      </c>
      <c r="B63" t="s">
        <v>273</v>
      </c>
      <c r="C63">
        <v>5</v>
      </c>
      <c r="D63">
        <v>5</v>
      </c>
      <c r="E63" t="s">
        <v>387</v>
      </c>
      <c r="F63">
        <v>412</v>
      </c>
      <c r="G63">
        <v>1</v>
      </c>
      <c r="H63">
        <v>38</v>
      </c>
      <c r="I63" t="s">
        <v>386</v>
      </c>
      <c r="J63" t="s">
        <v>386</v>
      </c>
      <c r="K63">
        <v>10000</v>
      </c>
      <c r="L63">
        <v>166</v>
      </c>
      <c r="M63">
        <v>166</v>
      </c>
      <c r="N63">
        <v>261</v>
      </c>
      <c r="O63">
        <v>0</v>
      </c>
      <c r="P63">
        <v>-8</v>
      </c>
      <c r="Q63">
        <v>-13</v>
      </c>
      <c r="R63">
        <v>-13</v>
      </c>
      <c r="S63">
        <v>-10</v>
      </c>
      <c r="T63">
        <v>0</v>
      </c>
      <c r="U63">
        <v>2919</v>
      </c>
      <c r="V63">
        <v>18239.060403240001</v>
      </c>
      <c r="AH63">
        <f t="shared" si="5"/>
        <v>166</v>
      </c>
      <c r="AI63">
        <f t="shared" si="6"/>
        <v>261</v>
      </c>
      <c r="AJ63" t="str">
        <f t="shared" si="7"/>
        <v/>
      </c>
      <c r="AK63">
        <f t="shared" si="8"/>
        <v>-8</v>
      </c>
      <c r="AL63">
        <f t="shared" si="1"/>
        <v>-13</v>
      </c>
      <c r="AM63">
        <f t="shared" si="2"/>
        <v>-13</v>
      </c>
      <c r="AN63">
        <f t="shared" si="3"/>
        <v>-10</v>
      </c>
      <c r="AO63" t="str">
        <f t="shared" si="4"/>
        <v/>
      </c>
    </row>
    <row r="64" spans="1:41">
      <c r="A64">
        <f t="shared" si="9"/>
        <v>60</v>
      </c>
      <c r="B64" t="s">
        <v>273</v>
      </c>
      <c r="C64">
        <v>5</v>
      </c>
      <c r="D64">
        <v>5</v>
      </c>
      <c r="E64" t="s">
        <v>387</v>
      </c>
      <c r="F64">
        <v>412</v>
      </c>
      <c r="G64">
        <v>1</v>
      </c>
      <c r="H64">
        <v>39</v>
      </c>
      <c r="I64" t="s">
        <v>386</v>
      </c>
      <c r="J64" t="s">
        <v>386</v>
      </c>
      <c r="K64">
        <v>10000</v>
      </c>
      <c r="L64">
        <v>165</v>
      </c>
      <c r="M64">
        <v>165</v>
      </c>
      <c r="N64">
        <v>261</v>
      </c>
      <c r="O64">
        <v>0</v>
      </c>
      <c r="P64">
        <v>-8</v>
      </c>
      <c r="Q64">
        <v>-13</v>
      </c>
      <c r="R64">
        <v>-14</v>
      </c>
      <c r="S64">
        <v>-9</v>
      </c>
      <c r="T64">
        <v>0</v>
      </c>
      <c r="U64">
        <v>2914</v>
      </c>
      <c r="V64">
        <v>18238.020129150002</v>
      </c>
      <c r="AH64">
        <f t="shared" si="5"/>
        <v>165</v>
      </c>
      <c r="AI64">
        <f t="shared" si="6"/>
        <v>261</v>
      </c>
      <c r="AJ64" t="str">
        <f t="shared" si="7"/>
        <v/>
      </c>
      <c r="AK64">
        <f t="shared" si="8"/>
        <v>-8</v>
      </c>
      <c r="AL64">
        <f t="shared" si="1"/>
        <v>-13</v>
      </c>
      <c r="AM64">
        <f t="shared" si="2"/>
        <v>-14</v>
      </c>
      <c r="AN64">
        <f t="shared" si="3"/>
        <v>-9</v>
      </c>
      <c r="AO64" t="str">
        <f t="shared" si="4"/>
        <v/>
      </c>
    </row>
    <row r="65" spans="1:41">
      <c r="A65">
        <f t="shared" si="9"/>
        <v>61</v>
      </c>
      <c r="B65" t="s">
        <v>273</v>
      </c>
      <c r="C65">
        <v>5</v>
      </c>
      <c r="D65">
        <v>5</v>
      </c>
      <c r="E65" t="s">
        <v>387</v>
      </c>
      <c r="F65">
        <v>412</v>
      </c>
      <c r="G65">
        <v>1</v>
      </c>
      <c r="H65">
        <v>40</v>
      </c>
      <c r="I65" t="s">
        <v>386</v>
      </c>
      <c r="J65" t="s">
        <v>386</v>
      </c>
      <c r="K65">
        <v>10000</v>
      </c>
      <c r="L65">
        <v>165</v>
      </c>
      <c r="M65">
        <v>165</v>
      </c>
      <c r="N65">
        <v>260</v>
      </c>
      <c r="O65">
        <v>0</v>
      </c>
      <c r="P65">
        <v>-7</v>
      </c>
      <c r="Q65">
        <v>-10</v>
      </c>
      <c r="R65">
        <v>-7</v>
      </c>
      <c r="S65">
        <v>-1</v>
      </c>
      <c r="T65">
        <v>0</v>
      </c>
      <c r="U65">
        <v>2910</v>
      </c>
      <c r="V65">
        <v>18237.445836639999</v>
      </c>
      <c r="AH65">
        <f t="shared" si="5"/>
        <v>165</v>
      </c>
      <c r="AI65">
        <f t="shared" si="6"/>
        <v>260</v>
      </c>
      <c r="AJ65" t="str">
        <f t="shared" si="7"/>
        <v/>
      </c>
      <c r="AK65">
        <f t="shared" si="8"/>
        <v>-7</v>
      </c>
      <c r="AL65">
        <f t="shared" si="1"/>
        <v>-10</v>
      </c>
      <c r="AM65">
        <f t="shared" si="2"/>
        <v>-7</v>
      </c>
      <c r="AN65">
        <f t="shared" si="3"/>
        <v>-1</v>
      </c>
      <c r="AO65" t="str">
        <f t="shared" si="4"/>
        <v/>
      </c>
    </row>
    <row r="66" spans="1:41">
      <c r="A66">
        <f t="shared" si="9"/>
        <v>62</v>
      </c>
      <c r="B66" t="s">
        <v>273</v>
      </c>
      <c r="C66">
        <v>5</v>
      </c>
      <c r="D66">
        <v>5</v>
      </c>
      <c r="E66" t="s">
        <v>387</v>
      </c>
      <c r="F66">
        <v>412</v>
      </c>
      <c r="G66">
        <v>1</v>
      </c>
      <c r="H66">
        <v>41</v>
      </c>
      <c r="I66" t="s">
        <v>386</v>
      </c>
      <c r="J66" t="s">
        <v>386</v>
      </c>
      <c r="K66">
        <v>10000</v>
      </c>
      <c r="L66">
        <v>165</v>
      </c>
      <c r="M66">
        <v>165</v>
      </c>
      <c r="N66">
        <v>261</v>
      </c>
      <c r="O66">
        <v>0</v>
      </c>
      <c r="P66">
        <v>0</v>
      </c>
      <c r="Q66">
        <v>5</v>
      </c>
      <c r="R66">
        <v>14</v>
      </c>
      <c r="S66">
        <v>17</v>
      </c>
      <c r="T66">
        <v>0</v>
      </c>
      <c r="U66">
        <v>2913</v>
      </c>
      <c r="V66">
        <v>18237.973284079999</v>
      </c>
      <c r="AH66">
        <f t="shared" si="5"/>
        <v>165</v>
      </c>
      <c r="AI66">
        <f t="shared" si="6"/>
        <v>261</v>
      </c>
      <c r="AJ66" t="str">
        <f t="shared" si="7"/>
        <v/>
      </c>
      <c r="AK66" t="str">
        <f t="shared" si="8"/>
        <v/>
      </c>
      <c r="AL66">
        <f t="shared" si="1"/>
        <v>5</v>
      </c>
      <c r="AM66">
        <f t="shared" si="2"/>
        <v>14</v>
      </c>
      <c r="AN66">
        <f t="shared" si="3"/>
        <v>17</v>
      </c>
      <c r="AO66" t="str">
        <f t="shared" si="4"/>
        <v/>
      </c>
    </row>
    <row r="67" spans="1:41">
      <c r="A67">
        <f t="shared" si="9"/>
        <v>63</v>
      </c>
      <c r="B67" t="s">
        <v>273</v>
      </c>
      <c r="C67">
        <v>5</v>
      </c>
      <c r="D67">
        <v>5</v>
      </c>
      <c r="E67" t="s">
        <v>387</v>
      </c>
      <c r="F67">
        <v>412</v>
      </c>
      <c r="G67">
        <v>1</v>
      </c>
      <c r="H67">
        <v>42</v>
      </c>
      <c r="I67" t="s">
        <v>386</v>
      </c>
      <c r="J67" t="s">
        <v>386</v>
      </c>
      <c r="K67">
        <v>10000</v>
      </c>
      <c r="L67">
        <v>166</v>
      </c>
      <c r="M67">
        <v>166</v>
      </c>
      <c r="N67">
        <v>262</v>
      </c>
      <c r="O67">
        <v>0</v>
      </c>
      <c r="P67">
        <v>15</v>
      </c>
      <c r="Q67">
        <v>34</v>
      </c>
      <c r="R67">
        <v>47</v>
      </c>
      <c r="S67">
        <v>41</v>
      </c>
      <c r="T67">
        <v>0</v>
      </c>
      <c r="U67">
        <v>2927</v>
      </c>
      <c r="V67">
        <v>18240.334975670001</v>
      </c>
      <c r="AH67">
        <f t="shared" si="5"/>
        <v>166</v>
      </c>
      <c r="AI67">
        <f t="shared" si="6"/>
        <v>262</v>
      </c>
      <c r="AJ67" t="str">
        <f t="shared" si="7"/>
        <v/>
      </c>
      <c r="AK67">
        <f t="shared" si="8"/>
        <v>15</v>
      </c>
      <c r="AL67">
        <f t="shared" si="1"/>
        <v>34</v>
      </c>
      <c r="AM67">
        <f t="shared" si="2"/>
        <v>47</v>
      </c>
      <c r="AN67">
        <f t="shared" si="3"/>
        <v>41</v>
      </c>
      <c r="AO67" t="str">
        <f t="shared" si="4"/>
        <v/>
      </c>
    </row>
    <row r="68" spans="1:41">
      <c r="A68">
        <f t="shared" si="9"/>
        <v>64</v>
      </c>
      <c r="B68" t="s">
        <v>273</v>
      </c>
      <c r="C68">
        <v>5</v>
      </c>
      <c r="D68">
        <v>5</v>
      </c>
      <c r="E68" t="s">
        <v>387</v>
      </c>
      <c r="F68">
        <v>412</v>
      </c>
      <c r="G68">
        <v>1</v>
      </c>
      <c r="H68">
        <v>43</v>
      </c>
      <c r="I68" t="s">
        <v>386</v>
      </c>
      <c r="J68" t="s">
        <v>386</v>
      </c>
      <c r="K68">
        <v>10000</v>
      </c>
      <c r="L68">
        <v>168</v>
      </c>
      <c r="M68">
        <v>168</v>
      </c>
      <c r="N68">
        <v>264</v>
      </c>
      <c r="O68">
        <v>0</v>
      </c>
      <c r="P68">
        <v>38</v>
      </c>
      <c r="Q68">
        <v>70</v>
      </c>
      <c r="R68">
        <v>84</v>
      </c>
      <c r="S68">
        <v>64</v>
      </c>
      <c r="T68">
        <v>0</v>
      </c>
      <c r="U68">
        <v>2955</v>
      </c>
      <c r="V68">
        <v>18245.060879879999</v>
      </c>
      <c r="AH68">
        <f t="shared" si="5"/>
        <v>168</v>
      </c>
      <c r="AI68">
        <f t="shared" si="6"/>
        <v>264</v>
      </c>
      <c r="AJ68" t="str">
        <f t="shared" si="7"/>
        <v/>
      </c>
      <c r="AK68">
        <f t="shared" si="8"/>
        <v>38</v>
      </c>
      <c r="AL68">
        <f t="shared" si="1"/>
        <v>70</v>
      </c>
      <c r="AM68">
        <f t="shared" si="2"/>
        <v>84</v>
      </c>
      <c r="AN68">
        <f t="shared" si="3"/>
        <v>64</v>
      </c>
      <c r="AO68" t="str">
        <f t="shared" si="4"/>
        <v/>
      </c>
    </row>
    <row r="69" spans="1:41">
      <c r="A69">
        <f t="shared" si="9"/>
        <v>65</v>
      </c>
      <c r="B69" t="s">
        <v>273</v>
      </c>
      <c r="C69">
        <v>5</v>
      </c>
      <c r="D69">
        <v>5</v>
      </c>
      <c r="E69" t="s">
        <v>387</v>
      </c>
      <c r="F69">
        <v>412</v>
      </c>
      <c r="G69">
        <v>1</v>
      </c>
      <c r="H69">
        <v>44</v>
      </c>
      <c r="I69" t="s">
        <v>386</v>
      </c>
      <c r="J69" t="s">
        <v>386</v>
      </c>
      <c r="K69">
        <v>10000</v>
      </c>
      <c r="L69">
        <v>170</v>
      </c>
      <c r="M69">
        <v>170</v>
      </c>
      <c r="N69">
        <v>268</v>
      </c>
      <c r="O69">
        <v>0</v>
      </c>
      <c r="P69">
        <v>61</v>
      </c>
      <c r="Q69">
        <v>104</v>
      </c>
      <c r="R69">
        <v>113</v>
      </c>
      <c r="S69">
        <v>80</v>
      </c>
      <c r="T69">
        <v>0</v>
      </c>
      <c r="U69">
        <v>2998</v>
      </c>
      <c r="V69">
        <v>18252.194421799999</v>
      </c>
      <c r="AH69">
        <f t="shared" si="5"/>
        <v>170</v>
      </c>
      <c r="AI69">
        <f t="shared" si="6"/>
        <v>268</v>
      </c>
      <c r="AJ69" t="str">
        <f t="shared" si="7"/>
        <v/>
      </c>
      <c r="AK69">
        <f t="shared" si="8"/>
        <v>61</v>
      </c>
      <c r="AL69">
        <f t="shared" ref="AL69:AL132" si="10">IF(Q69=AC69, "", Q69-AC69)</f>
        <v>104</v>
      </c>
      <c r="AM69">
        <f t="shared" ref="AM69:AM132" si="11">IF(R69=AD69, "", R69-AD69)</f>
        <v>113</v>
      </c>
      <c r="AN69">
        <f t="shared" ref="AN69:AN132" si="12">IF(S69=AE69, "", S69-AE69)</f>
        <v>80</v>
      </c>
      <c r="AO69" t="str">
        <f t="shared" ref="AO69:AO132" si="13">IF(T69=AF69, "", T69-AF69)</f>
        <v/>
      </c>
    </row>
    <row r="70" spans="1:41">
      <c r="A70">
        <f t="shared" si="9"/>
        <v>66</v>
      </c>
      <c r="B70" t="s">
        <v>273</v>
      </c>
      <c r="C70">
        <v>5</v>
      </c>
      <c r="D70">
        <v>5</v>
      </c>
      <c r="E70" t="s">
        <v>387</v>
      </c>
      <c r="F70">
        <v>412</v>
      </c>
      <c r="G70">
        <v>1</v>
      </c>
      <c r="H70">
        <v>45</v>
      </c>
      <c r="I70" t="s">
        <v>386</v>
      </c>
      <c r="J70" t="s">
        <v>386</v>
      </c>
      <c r="K70">
        <v>10000</v>
      </c>
      <c r="L70">
        <v>173</v>
      </c>
      <c r="M70">
        <v>173</v>
      </c>
      <c r="N70">
        <v>273</v>
      </c>
      <c r="O70">
        <v>0</v>
      </c>
      <c r="P70">
        <v>78</v>
      </c>
      <c r="Q70">
        <v>124</v>
      </c>
      <c r="R70">
        <v>129</v>
      </c>
      <c r="S70">
        <v>87</v>
      </c>
      <c r="T70">
        <v>0</v>
      </c>
      <c r="U70">
        <v>3052</v>
      </c>
      <c r="V70">
        <v>18261.263651689998</v>
      </c>
      <c r="AH70">
        <f t="shared" ref="AH70:AH133" si="14">IF(L70=Y70, "",L70-Y70)</f>
        <v>173</v>
      </c>
      <c r="AI70">
        <f t="shared" ref="AI70:AI133" si="15">IF(N70=Z70, "", N70-Z70)</f>
        <v>273</v>
      </c>
      <c r="AJ70" t="str">
        <f t="shared" ref="AJ70:AJ133" si="16">IF(O70=AA70, "", O70-AA70)</f>
        <v/>
      </c>
      <c r="AK70">
        <f t="shared" ref="AK70:AK133" si="17">IF(P70=AB70, "", P70-AB70)</f>
        <v>78</v>
      </c>
      <c r="AL70">
        <f t="shared" si="10"/>
        <v>124</v>
      </c>
      <c r="AM70">
        <f t="shared" si="11"/>
        <v>129</v>
      </c>
      <c r="AN70">
        <f t="shared" si="12"/>
        <v>87</v>
      </c>
      <c r="AO70" t="str">
        <f t="shared" si="13"/>
        <v/>
      </c>
    </row>
    <row r="71" spans="1:41">
      <c r="A71">
        <f t="shared" ref="A71:A134" si="18">A70+1</f>
        <v>67</v>
      </c>
      <c r="B71" t="s">
        <v>273</v>
      </c>
      <c r="C71">
        <v>5</v>
      </c>
      <c r="D71">
        <v>5</v>
      </c>
      <c r="E71" t="s">
        <v>387</v>
      </c>
      <c r="F71">
        <v>412</v>
      </c>
      <c r="G71">
        <v>1</v>
      </c>
      <c r="H71">
        <v>46</v>
      </c>
      <c r="I71" t="s">
        <v>386</v>
      </c>
      <c r="J71" t="s">
        <v>386</v>
      </c>
      <c r="K71">
        <v>10000</v>
      </c>
      <c r="L71">
        <v>177</v>
      </c>
      <c r="M71">
        <v>177</v>
      </c>
      <c r="N71">
        <v>279</v>
      </c>
      <c r="O71">
        <v>0</v>
      </c>
      <c r="P71">
        <v>86</v>
      </c>
      <c r="Q71">
        <v>132</v>
      </c>
      <c r="R71">
        <v>132</v>
      </c>
      <c r="S71">
        <v>88</v>
      </c>
      <c r="T71">
        <v>0</v>
      </c>
      <c r="U71">
        <v>3112</v>
      </c>
      <c r="V71">
        <v>18271.531933179998</v>
      </c>
      <c r="AH71">
        <f t="shared" si="14"/>
        <v>177</v>
      </c>
      <c r="AI71">
        <f t="shared" si="15"/>
        <v>279</v>
      </c>
      <c r="AJ71" t="str">
        <f t="shared" si="16"/>
        <v/>
      </c>
      <c r="AK71">
        <f t="shared" si="17"/>
        <v>86</v>
      </c>
      <c r="AL71">
        <f t="shared" si="10"/>
        <v>132</v>
      </c>
      <c r="AM71">
        <f t="shared" si="11"/>
        <v>132</v>
      </c>
      <c r="AN71">
        <f t="shared" si="12"/>
        <v>88</v>
      </c>
      <c r="AO71" t="str">
        <f t="shared" si="13"/>
        <v/>
      </c>
    </row>
    <row r="72" spans="1:41">
      <c r="A72">
        <f t="shared" si="18"/>
        <v>68</v>
      </c>
      <c r="B72" t="s">
        <v>273</v>
      </c>
      <c r="C72">
        <v>5</v>
      </c>
      <c r="D72">
        <v>5</v>
      </c>
      <c r="E72" t="s">
        <v>387</v>
      </c>
      <c r="F72">
        <v>412</v>
      </c>
      <c r="G72">
        <v>1</v>
      </c>
      <c r="H72">
        <v>47</v>
      </c>
      <c r="I72" t="s">
        <v>386</v>
      </c>
      <c r="J72" t="s">
        <v>386</v>
      </c>
      <c r="K72">
        <v>10000</v>
      </c>
      <c r="L72">
        <v>180</v>
      </c>
      <c r="M72">
        <v>180</v>
      </c>
      <c r="N72">
        <v>284</v>
      </c>
      <c r="O72">
        <v>0</v>
      </c>
      <c r="P72">
        <v>87</v>
      </c>
      <c r="Q72">
        <v>131</v>
      </c>
      <c r="R72">
        <v>131</v>
      </c>
      <c r="S72">
        <v>88</v>
      </c>
      <c r="T72">
        <v>0</v>
      </c>
      <c r="U72">
        <v>3176</v>
      </c>
      <c r="V72">
        <v>18282.265415919999</v>
      </c>
      <c r="AH72">
        <f t="shared" si="14"/>
        <v>180</v>
      </c>
      <c r="AI72">
        <f t="shared" si="15"/>
        <v>284</v>
      </c>
      <c r="AJ72" t="str">
        <f t="shared" si="16"/>
        <v/>
      </c>
      <c r="AK72">
        <f t="shared" si="17"/>
        <v>87</v>
      </c>
      <c r="AL72">
        <f t="shared" si="10"/>
        <v>131</v>
      </c>
      <c r="AM72">
        <f t="shared" si="11"/>
        <v>131</v>
      </c>
      <c r="AN72">
        <f t="shared" si="12"/>
        <v>88</v>
      </c>
      <c r="AO72" t="str">
        <f t="shared" si="13"/>
        <v/>
      </c>
    </row>
    <row r="73" spans="1:41">
      <c r="A73">
        <f t="shared" si="18"/>
        <v>69</v>
      </c>
      <c r="B73" t="s">
        <v>273</v>
      </c>
      <c r="C73">
        <v>5</v>
      </c>
      <c r="D73">
        <v>5</v>
      </c>
      <c r="E73" t="s">
        <v>387</v>
      </c>
      <c r="F73">
        <v>412</v>
      </c>
      <c r="G73">
        <v>1</v>
      </c>
      <c r="H73">
        <v>48</v>
      </c>
      <c r="I73" t="s">
        <v>386</v>
      </c>
      <c r="J73" t="s">
        <v>386</v>
      </c>
      <c r="K73">
        <v>10000</v>
      </c>
      <c r="L73">
        <v>184</v>
      </c>
      <c r="M73">
        <v>184</v>
      </c>
      <c r="N73">
        <v>290</v>
      </c>
      <c r="O73">
        <v>0</v>
      </c>
      <c r="P73">
        <v>85</v>
      </c>
      <c r="Q73">
        <v>128</v>
      </c>
      <c r="R73">
        <v>129</v>
      </c>
      <c r="S73">
        <v>86</v>
      </c>
      <c r="T73">
        <v>0</v>
      </c>
      <c r="U73">
        <v>3240</v>
      </c>
      <c r="V73">
        <v>18292.967956100001</v>
      </c>
      <c r="AH73">
        <f t="shared" si="14"/>
        <v>184</v>
      </c>
      <c r="AI73">
        <f t="shared" si="15"/>
        <v>290</v>
      </c>
      <c r="AJ73" t="str">
        <f t="shared" si="16"/>
        <v/>
      </c>
      <c r="AK73">
        <f t="shared" si="17"/>
        <v>85</v>
      </c>
      <c r="AL73">
        <f t="shared" si="10"/>
        <v>128</v>
      </c>
      <c r="AM73">
        <f t="shared" si="11"/>
        <v>129</v>
      </c>
      <c r="AN73">
        <f t="shared" si="12"/>
        <v>86</v>
      </c>
      <c r="AO73" t="str">
        <f t="shared" si="13"/>
        <v/>
      </c>
    </row>
    <row r="74" spans="1:41">
      <c r="A74">
        <f t="shared" si="18"/>
        <v>70</v>
      </c>
      <c r="B74" t="s">
        <v>273</v>
      </c>
      <c r="C74">
        <v>5</v>
      </c>
      <c r="D74">
        <v>5</v>
      </c>
      <c r="E74" t="s">
        <v>387</v>
      </c>
      <c r="F74">
        <v>412</v>
      </c>
      <c r="G74">
        <v>1</v>
      </c>
      <c r="H74">
        <v>49</v>
      </c>
      <c r="I74" t="s">
        <v>386</v>
      </c>
      <c r="J74" t="s">
        <v>386</v>
      </c>
      <c r="K74">
        <v>10000</v>
      </c>
      <c r="L74">
        <v>187</v>
      </c>
      <c r="M74">
        <v>187</v>
      </c>
      <c r="N74">
        <v>296</v>
      </c>
      <c r="O74">
        <v>0</v>
      </c>
      <c r="P74">
        <v>84</v>
      </c>
      <c r="Q74">
        <v>127</v>
      </c>
      <c r="R74">
        <v>128</v>
      </c>
      <c r="S74">
        <v>86</v>
      </c>
      <c r="T74">
        <v>0</v>
      </c>
      <c r="U74">
        <v>3302</v>
      </c>
      <c r="V74">
        <v>18303.569544919999</v>
      </c>
      <c r="AH74">
        <f t="shared" si="14"/>
        <v>187</v>
      </c>
      <c r="AI74">
        <f t="shared" si="15"/>
        <v>296</v>
      </c>
      <c r="AJ74" t="str">
        <f t="shared" si="16"/>
        <v/>
      </c>
      <c r="AK74">
        <f t="shared" si="17"/>
        <v>84</v>
      </c>
      <c r="AL74">
        <f t="shared" si="10"/>
        <v>127</v>
      </c>
      <c r="AM74">
        <f t="shared" si="11"/>
        <v>128</v>
      </c>
      <c r="AN74">
        <f t="shared" si="12"/>
        <v>86</v>
      </c>
      <c r="AO74" t="str">
        <f t="shared" si="13"/>
        <v/>
      </c>
    </row>
    <row r="75" spans="1:41">
      <c r="A75">
        <f t="shared" si="18"/>
        <v>71</v>
      </c>
      <c r="B75" t="s">
        <v>273</v>
      </c>
      <c r="C75">
        <v>5</v>
      </c>
      <c r="D75">
        <v>5</v>
      </c>
      <c r="E75" t="s">
        <v>387</v>
      </c>
      <c r="F75">
        <v>412</v>
      </c>
      <c r="G75">
        <v>1</v>
      </c>
      <c r="H75">
        <v>50</v>
      </c>
      <c r="I75" t="s">
        <v>386</v>
      </c>
      <c r="J75" t="s">
        <v>386</v>
      </c>
      <c r="K75">
        <v>10000</v>
      </c>
      <c r="L75">
        <v>191</v>
      </c>
      <c r="M75">
        <v>191</v>
      </c>
      <c r="N75">
        <v>301</v>
      </c>
      <c r="O75">
        <v>0</v>
      </c>
      <c r="P75">
        <v>85</v>
      </c>
      <c r="Q75">
        <v>129</v>
      </c>
      <c r="R75">
        <v>132</v>
      </c>
      <c r="S75">
        <v>91</v>
      </c>
      <c r="T75">
        <v>0</v>
      </c>
      <c r="U75">
        <v>3366</v>
      </c>
      <c r="V75">
        <v>18314.36298066</v>
      </c>
      <c r="AH75">
        <f t="shared" si="14"/>
        <v>191</v>
      </c>
      <c r="AI75">
        <f t="shared" si="15"/>
        <v>301</v>
      </c>
      <c r="AJ75" t="str">
        <f t="shared" si="16"/>
        <v/>
      </c>
      <c r="AK75">
        <f t="shared" si="17"/>
        <v>85</v>
      </c>
      <c r="AL75">
        <f t="shared" si="10"/>
        <v>129</v>
      </c>
      <c r="AM75">
        <f t="shared" si="11"/>
        <v>132</v>
      </c>
      <c r="AN75">
        <f t="shared" si="12"/>
        <v>91</v>
      </c>
      <c r="AO75" t="str">
        <f t="shared" si="13"/>
        <v/>
      </c>
    </row>
    <row r="76" spans="1:41">
      <c r="A76">
        <f t="shared" si="18"/>
        <v>72</v>
      </c>
      <c r="B76" t="s">
        <v>273</v>
      </c>
      <c r="C76">
        <v>5</v>
      </c>
      <c r="D76">
        <v>5</v>
      </c>
      <c r="E76" t="s">
        <v>387</v>
      </c>
      <c r="F76">
        <v>412</v>
      </c>
      <c r="G76">
        <v>1</v>
      </c>
      <c r="H76">
        <v>51</v>
      </c>
      <c r="I76" t="s">
        <v>386</v>
      </c>
      <c r="J76" t="s">
        <v>386</v>
      </c>
      <c r="K76">
        <v>10000</v>
      </c>
      <c r="L76">
        <v>195</v>
      </c>
      <c r="M76">
        <v>195</v>
      </c>
      <c r="N76">
        <v>307</v>
      </c>
      <c r="O76">
        <v>0</v>
      </c>
      <c r="P76">
        <v>89</v>
      </c>
      <c r="Q76">
        <v>137</v>
      </c>
      <c r="R76">
        <v>143</v>
      </c>
      <c r="S76">
        <v>100</v>
      </c>
      <c r="T76">
        <v>0</v>
      </c>
      <c r="U76">
        <v>3434</v>
      </c>
      <c r="V76">
        <v>18325.763875469998</v>
      </c>
      <c r="AH76">
        <f t="shared" si="14"/>
        <v>195</v>
      </c>
      <c r="AI76">
        <f t="shared" si="15"/>
        <v>307</v>
      </c>
      <c r="AJ76" t="str">
        <f t="shared" si="16"/>
        <v/>
      </c>
      <c r="AK76">
        <f t="shared" si="17"/>
        <v>89</v>
      </c>
      <c r="AL76">
        <f t="shared" si="10"/>
        <v>137</v>
      </c>
      <c r="AM76">
        <f t="shared" si="11"/>
        <v>143</v>
      </c>
      <c r="AN76">
        <f t="shared" si="12"/>
        <v>100</v>
      </c>
      <c r="AO76" t="str">
        <f t="shared" si="13"/>
        <v/>
      </c>
    </row>
    <row r="77" spans="1:41">
      <c r="A77">
        <f t="shared" si="18"/>
        <v>73</v>
      </c>
      <c r="B77" t="s">
        <v>273</v>
      </c>
      <c r="C77">
        <v>5</v>
      </c>
      <c r="D77">
        <v>5</v>
      </c>
      <c r="E77" t="s">
        <v>387</v>
      </c>
      <c r="F77">
        <v>412</v>
      </c>
      <c r="G77">
        <v>1</v>
      </c>
      <c r="H77">
        <v>52</v>
      </c>
      <c r="I77" t="s">
        <v>386</v>
      </c>
      <c r="J77" t="s">
        <v>386</v>
      </c>
      <c r="K77">
        <v>10000</v>
      </c>
      <c r="L77">
        <v>199</v>
      </c>
      <c r="M77">
        <v>199</v>
      </c>
      <c r="N77">
        <v>314</v>
      </c>
      <c r="O77">
        <v>0</v>
      </c>
      <c r="P77">
        <v>97</v>
      </c>
      <c r="Q77">
        <v>153</v>
      </c>
      <c r="R77">
        <v>161</v>
      </c>
      <c r="S77">
        <v>113</v>
      </c>
      <c r="T77">
        <v>0</v>
      </c>
      <c r="U77">
        <v>3508</v>
      </c>
      <c r="V77">
        <v>18338.17484521</v>
      </c>
      <c r="AH77">
        <f t="shared" si="14"/>
        <v>199</v>
      </c>
      <c r="AI77">
        <f t="shared" si="15"/>
        <v>314</v>
      </c>
      <c r="AJ77" t="str">
        <f t="shared" si="16"/>
        <v/>
      </c>
      <c r="AK77">
        <f t="shared" si="17"/>
        <v>97</v>
      </c>
      <c r="AL77">
        <f t="shared" si="10"/>
        <v>153</v>
      </c>
      <c r="AM77">
        <f t="shared" si="11"/>
        <v>161</v>
      </c>
      <c r="AN77">
        <f t="shared" si="12"/>
        <v>113</v>
      </c>
      <c r="AO77" t="str">
        <f t="shared" si="13"/>
        <v/>
      </c>
    </row>
    <row r="78" spans="1:41">
      <c r="A78">
        <f t="shared" si="18"/>
        <v>74</v>
      </c>
      <c r="B78" t="s">
        <v>273</v>
      </c>
      <c r="C78">
        <v>5</v>
      </c>
      <c r="D78">
        <v>5</v>
      </c>
      <c r="E78" t="s">
        <v>387</v>
      </c>
      <c r="F78">
        <v>412</v>
      </c>
      <c r="G78">
        <v>1</v>
      </c>
      <c r="H78">
        <v>53</v>
      </c>
      <c r="I78" t="s">
        <v>386</v>
      </c>
      <c r="J78" t="s">
        <v>386</v>
      </c>
      <c r="K78">
        <v>10000</v>
      </c>
      <c r="L78">
        <v>204</v>
      </c>
      <c r="M78">
        <v>204</v>
      </c>
      <c r="N78">
        <v>321</v>
      </c>
      <c r="O78">
        <v>0</v>
      </c>
      <c r="P78">
        <v>110</v>
      </c>
      <c r="Q78">
        <v>173</v>
      </c>
      <c r="R78">
        <v>182</v>
      </c>
      <c r="S78">
        <v>126</v>
      </c>
      <c r="T78">
        <v>0</v>
      </c>
      <c r="U78">
        <v>3589</v>
      </c>
      <c r="V78">
        <v>18351.88876333</v>
      </c>
      <c r="AH78">
        <f t="shared" si="14"/>
        <v>204</v>
      </c>
      <c r="AI78">
        <f t="shared" si="15"/>
        <v>321</v>
      </c>
      <c r="AJ78" t="str">
        <f t="shared" si="16"/>
        <v/>
      </c>
      <c r="AK78">
        <f t="shared" si="17"/>
        <v>110</v>
      </c>
      <c r="AL78">
        <f t="shared" si="10"/>
        <v>173</v>
      </c>
      <c r="AM78">
        <f t="shared" si="11"/>
        <v>182</v>
      </c>
      <c r="AN78">
        <f t="shared" si="12"/>
        <v>126</v>
      </c>
      <c r="AO78" t="str">
        <f t="shared" si="13"/>
        <v/>
      </c>
    </row>
    <row r="79" spans="1:41">
      <c r="A79">
        <f t="shared" si="18"/>
        <v>75</v>
      </c>
      <c r="B79" t="s">
        <v>273</v>
      </c>
      <c r="C79">
        <v>5</v>
      </c>
      <c r="D79">
        <v>5</v>
      </c>
      <c r="E79" t="s">
        <v>387</v>
      </c>
      <c r="F79">
        <v>412</v>
      </c>
      <c r="G79">
        <v>1</v>
      </c>
      <c r="H79">
        <v>54</v>
      </c>
      <c r="I79" t="s">
        <v>386</v>
      </c>
      <c r="J79" t="s">
        <v>386</v>
      </c>
      <c r="K79">
        <v>10000</v>
      </c>
      <c r="L79">
        <v>209</v>
      </c>
      <c r="M79">
        <v>209</v>
      </c>
      <c r="N79">
        <v>329</v>
      </c>
      <c r="O79">
        <v>0</v>
      </c>
      <c r="P79">
        <v>122</v>
      </c>
      <c r="Q79">
        <v>191</v>
      </c>
      <c r="R79">
        <v>198</v>
      </c>
      <c r="S79">
        <v>135</v>
      </c>
      <c r="T79">
        <v>0</v>
      </c>
      <c r="U79">
        <v>3679</v>
      </c>
      <c r="V79">
        <v>18366.929560920002</v>
      </c>
      <c r="AH79">
        <f t="shared" si="14"/>
        <v>209</v>
      </c>
      <c r="AI79">
        <f t="shared" si="15"/>
        <v>329</v>
      </c>
      <c r="AJ79" t="str">
        <f t="shared" si="16"/>
        <v/>
      </c>
      <c r="AK79">
        <f t="shared" si="17"/>
        <v>122</v>
      </c>
      <c r="AL79">
        <f t="shared" si="10"/>
        <v>191</v>
      </c>
      <c r="AM79">
        <f t="shared" si="11"/>
        <v>198</v>
      </c>
      <c r="AN79">
        <f t="shared" si="12"/>
        <v>135</v>
      </c>
      <c r="AO79" t="str">
        <f t="shared" si="13"/>
        <v/>
      </c>
    </row>
    <row r="80" spans="1:41">
      <c r="A80">
        <f t="shared" si="18"/>
        <v>76</v>
      </c>
      <c r="B80" t="s">
        <v>273</v>
      </c>
      <c r="C80">
        <v>5</v>
      </c>
      <c r="D80">
        <v>5</v>
      </c>
      <c r="E80" t="s">
        <v>387</v>
      </c>
      <c r="F80">
        <v>412</v>
      </c>
      <c r="G80">
        <v>1</v>
      </c>
      <c r="H80">
        <v>55</v>
      </c>
      <c r="I80" t="s">
        <v>386</v>
      </c>
      <c r="J80" t="s">
        <v>386</v>
      </c>
      <c r="K80">
        <v>10000</v>
      </c>
      <c r="L80">
        <v>214</v>
      </c>
      <c r="M80">
        <v>214</v>
      </c>
      <c r="N80">
        <v>338</v>
      </c>
      <c r="O80">
        <v>0</v>
      </c>
      <c r="P80">
        <v>132</v>
      </c>
      <c r="Q80">
        <v>203</v>
      </c>
      <c r="R80">
        <v>206</v>
      </c>
      <c r="S80">
        <v>139</v>
      </c>
      <c r="T80">
        <v>0</v>
      </c>
      <c r="U80">
        <v>3774</v>
      </c>
      <c r="V80">
        <v>18383.03683637</v>
      </c>
      <c r="AH80">
        <f t="shared" si="14"/>
        <v>214</v>
      </c>
      <c r="AI80">
        <f t="shared" si="15"/>
        <v>338</v>
      </c>
      <c r="AJ80" t="str">
        <f t="shared" si="16"/>
        <v/>
      </c>
      <c r="AK80">
        <f t="shared" si="17"/>
        <v>132</v>
      </c>
      <c r="AL80">
        <f t="shared" si="10"/>
        <v>203</v>
      </c>
      <c r="AM80">
        <f t="shared" si="11"/>
        <v>206</v>
      </c>
      <c r="AN80">
        <f t="shared" si="12"/>
        <v>139</v>
      </c>
      <c r="AO80" t="str">
        <f t="shared" si="13"/>
        <v/>
      </c>
    </row>
    <row r="81" spans="1:41">
      <c r="A81">
        <f t="shared" si="18"/>
        <v>77</v>
      </c>
      <c r="B81" t="s">
        <v>273</v>
      </c>
      <c r="C81">
        <v>5</v>
      </c>
      <c r="D81">
        <v>5</v>
      </c>
      <c r="E81" t="s">
        <v>387</v>
      </c>
      <c r="F81">
        <v>412</v>
      </c>
      <c r="G81">
        <v>1</v>
      </c>
      <c r="H81">
        <v>56</v>
      </c>
      <c r="I81" t="s">
        <v>386</v>
      </c>
      <c r="J81" t="s">
        <v>386</v>
      </c>
      <c r="K81">
        <v>10000</v>
      </c>
      <c r="L81">
        <v>220</v>
      </c>
      <c r="M81">
        <v>220</v>
      </c>
      <c r="N81">
        <v>347</v>
      </c>
      <c r="O81">
        <v>0</v>
      </c>
      <c r="P81">
        <v>136</v>
      </c>
      <c r="Q81">
        <v>207</v>
      </c>
      <c r="R81">
        <v>208</v>
      </c>
      <c r="S81">
        <v>140</v>
      </c>
      <c r="T81">
        <v>0</v>
      </c>
      <c r="U81">
        <v>3874</v>
      </c>
      <c r="V81">
        <v>18399.805151600001</v>
      </c>
      <c r="AH81">
        <f t="shared" si="14"/>
        <v>220</v>
      </c>
      <c r="AI81">
        <f t="shared" si="15"/>
        <v>347</v>
      </c>
      <c r="AJ81" t="str">
        <f t="shared" si="16"/>
        <v/>
      </c>
      <c r="AK81">
        <f t="shared" si="17"/>
        <v>136</v>
      </c>
      <c r="AL81">
        <f t="shared" si="10"/>
        <v>207</v>
      </c>
      <c r="AM81">
        <f t="shared" si="11"/>
        <v>208</v>
      </c>
      <c r="AN81">
        <f t="shared" si="12"/>
        <v>140</v>
      </c>
      <c r="AO81" t="str">
        <f t="shared" si="13"/>
        <v/>
      </c>
    </row>
    <row r="82" spans="1:41">
      <c r="A82">
        <f t="shared" si="18"/>
        <v>78</v>
      </c>
      <c r="B82" t="s">
        <v>273</v>
      </c>
      <c r="C82">
        <v>5</v>
      </c>
      <c r="D82">
        <v>5</v>
      </c>
      <c r="E82" t="s">
        <v>387</v>
      </c>
      <c r="F82">
        <v>412</v>
      </c>
      <c r="G82">
        <v>1</v>
      </c>
      <c r="H82">
        <v>57</v>
      </c>
      <c r="I82" t="s">
        <v>386</v>
      </c>
      <c r="J82" t="s">
        <v>386</v>
      </c>
      <c r="K82">
        <v>10000</v>
      </c>
      <c r="L82">
        <v>226</v>
      </c>
      <c r="M82">
        <v>226</v>
      </c>
      <c r="N82">
        <v>356</v>
      </c>
      <c r="O82">
        <v>0</v>
      </c>
      <c r="P82">
        <v>137</v>
      </c>
      <c r="Q82">
        <v>206</v>
      </c>
      <c r="R82">
        <v>207</v>
      </c>
      <c r="S82">
        <v>139</v>
      </c>
      <c r="T82">
        <v>0</v>
      </c>
      <c r="U82">
        <v>3975</v>
      </c>
      <c r="V82">
        <v>18416.786047869999</v>
      </c>
      <c r="AH82">
        <f t="shared" si="14"/>
        <v>226</v>
      </c>
      <c r="AI82">
        <f t="shared" si="15"/>
        <v>356</v>
      </c>
      <c r="AJ82" t="str">
        <f t="shared" si="16"/>
        <v/>
      </c>
      <c r="AK82">
        <f t="shared" si="17"/>
        <v>137</v>
      </c>
      <c r="AL82">
        <f t="shared" si="10"/>
        <v>206</v>
      </c>
      <c r="AM82">
        <f t="shared" si="11"/>
        <v>207</v>
      </c>
      <c r="AN82">
        <f t="shared" si="12"/>
        <v>139</v>
      </c>
      <c r="AO82" t="str">
        <f t="shared" si="13"/>
        <v/>
      </c>
    </row>
    <row r="83" spans="1:41">
      <c r="A83">
        <f t="shared" si="18"/>
        <v>79</v>
      </c>
      <c r="B83" t="s">
        <v>273</v>
      </c>
      <c r="C83">
        <v>5</v>
      </c>
      <c r="D83">
        <v>5</v>
      </c>
      <c r="E83" t="s">
        <v>387</v>
      </c>
      <c r="F83">
        <v>412</v>
      </c>
      <c r="G83">
        <v>1</v>
      </c>
      <c r="H83">
        <v>58</v>
      </c>
      <c r="I83" t="s">
        <v>386</v>
      </c>
      <c r="J83" t="s">
        <v>386</v>
      </c>
      <c r="K83">
        <v>10000</v>
      </c>
      <c r="L83">
        <v>231</v>
      </c>
      <c r="M83">
        <v>231</v>
      </c>
      <c r="N83">
        <v>365</v>
      </c>
      <c r="O83">
        <v>0</v>
      </c>
      <c r="P83">
        <v>135</v>
      </c>
      <c r="Q83">
        <v>203</v>
      </c>
      <c r="R83">
        <v>204</v>
      </c>
      <c r="S83">
        <v>136</v>
      </c>
      <c r="T83">
        <v>0</v>
      </c>
      <c r="U83">
        <v>4075</v>
      </c>
      <c r="V83">
        <v>18433.65033344</v>
      </c>
      <c r="AH83">
        <f t="shared" si="14"/>
        <v>231</v>
      </c>
      <c r="AI83">
        <f t="shared" si="15"/>
        <v>365</v>
      </c>
      <c r="AJ83" t="str">
        <f t="shared" si="16"/>
        <v/>
      </c>
      <c r="AK83">
        <f t="shared" si="17"/>
        <v>135</v>
      </c>
      <c r="AL83">
        <f t="shared" si="10"/>
        <v>203</v>
      </c>
      <c r="AM83">
        <f t="shared" si="11"/>
        <v>204</v>
      </c>
      <c r="AN83">
        <f t="shared" si="12"/>
        <v>136</v>
      </c>
      <c r="AO83" t="str">
        <f t="shared" si="13"/>
        <v/>
      </c>
    </row>
    <row r="84" spans="1:41">
      <c r="A84">
        <f t="shared" si="18"/>
        <v>80</v>
      </c>
      <c r="B84" t="s">
        <v>273</v>
      </c>
      <c r="C84">
        <v>5</v>
      </c>
      <c r="D84">
        <v>5</v>
      </c>
      <c r="E84" t="s">
        <v>387</v>
      </c>
      <c r="F84">
        <v>412</v>
      </c>
      <c r="G84">
        <v>1</v>
      </c>
      <c r="H84">
        <v>59</v>
      </c>
      <c r="I84" t="s">
        <v>386</v>
      </c>
      <c r="J84" t="s">
        <v>386</v>
      </c>
      <c r="K84">
        <v>10000</v>
      </c>
      <c r="L84">
        <v>237</v>
      </c>
      <c r="M84">
        <v>237</v>
      </c>
      <c r="N84">
        <v>374</v>
      </c>
      <c r="O84">
        <v>0</v>
      </c>
      <c r="P84">
        <v>134</v>
      </c>
      <c r="Q84">
        <v>202</v>
      </c>
      <c r="R84">
        <v>203</v>
      </c>
      <c r="S84">
        <v>137</v>
      </c>
      <c r="T84">
        <v>0</v>
      </c>
      <c r="U84">
        <v>4175</v>
      </c>
      <c r="V84">
        <v>18450.47382969</v>
      </c>
      <c r="AH84">
        <f t="shared" si="14"/>
        <v>237</v>
      </c>
      <c r="AI84">
        <f t="shared" si="15"/>
        <v>374</v>
      </c>
      <c r="AJ84" t="str">
        <f t="shared" si="16"/>
        <v/>
      </c>
      <c r="AK84">
        <f t="shared" si="17"/>
        <v>134</v>
      </c>
      <c r="AL84">
        <f t="shared" si="10"/>
        <v>202</v>
      </c>
      <c r="AM84">
        <f t="shared" si="11"/>
        <v>203</v>
      </c>
      <c r="AN84">
        <f t="shared" si="12"/>
        <v>137</v>
      </c>
      <c r="AO84" t="str">
        <f t="shared" si="13"/>
        <v/>
      </c>
    </row>
    <row r="85" spans="1:41">
      <c r="A85">
        <f t="shared" si="18"/>
        <v>81</v>
      </c>
      <c r="B85" t="s">
        <v>273</v>
      </c>
      <c r="C85">
        <v>5</v>
      </c>
      <c r="D85">
        <v>5</v>
      </c>
      <c r="E85" t="s">
        <v>387</v>
      </c>
      <c r="F85">
        <v>412</v>
      </c>
      <c r="G85">
        <v>1</v>
      </c>
      <c r="H85">
        <v>60</v>
      </c>
      <c r="I85" t="s">
        <v>386</v>
      </c>
      <c r="J85" t="s">
        <v>386</v>
      </c>
      <c r="K85">
        <v>10000</v>
      </c>
      <c r="L85">
        <v>243</v>
      </c>
      <c r="M85">
        <v>243</v>
      </c>
      <c r="N85">
        <v>383</v>
      </c>
      <c r="O85">
        <v>0</v>
      </c>
      <c r="P85">
        <v>136</v>
      </c>
      <c r="Q85">
        <v>206</v>
      </c>
      <c r="R85">
        <v>212</v>
      </c>
      <c r="S85">
        <v>148</v>
      </c>
      <c r="T85">
        <v>0</v>
      </c>
      <c r="U85">
        <v>4278</v>
      </c>
      <c r="V85">
        <v>18467.833194039998</v>
      </c>
      <c r="AH85">
        <f t="shared" si="14"/>
        <v>243</v>
      </c>
      <c r="AI85">
        <f t="shared" si="15"/>
        <v>383</v>
      </c>
      <c r="AJ85" t="str">
        <f t="shared" si="16"/>
        <v/>
      </c>
      <c r="AK85">
        <f t="shared" si="17"/>
        <v>136</v>
      </c>
      <c r="AL85">
        <f t="shared" si="10"/>
        <v>206</v>
      </c>
      <c r="AM85">
        <f t="shared" si="11"/>
        <v>212</v>
      </c>
      <c r="AN85">
        <f t="shared" si="12"/>
        <v>148</v>
      </c>
      <c r="AO85" t="str">
        <f t="shared" si="13"/>
        <v/>
      </c>
    </row>
    <row r="86" spans="1:41">
      <c r="A86">
        <f t="shared" si="18"/>
        <v>82</v>
      </c>
      <c r="B86" t="s">
        <v>273</v>
      </c>
      <c r="C86">
        <v>5</v>
      </c>
      <c r="D86">
        <v>5</v>
      </c>
      <c r="E86" t="s">
        <v>387</v>
      </c>
      <c r="F86">
        <v>412</v>
      </c>
      <c r="G86">
        <v>1</v>
      </c>
      <c r="H86">
        <v>61</v>
      </c>
      <c r="I86" t="s">
        <v>386</v>
      </c>
      <c r="J86" t="s">
        <v>386</v>
      </c>
      <c r="K86">
        <v>10000</v>
      </c>
      <c r="L86">
        <v>249</v>
      </c>
      <c r="M86">
        <v>249</v>
      </c>
      <c r="N86">
        <v>393</v>
      </c>
      <c r="O86">
        <v>0</v>
      </c>
      <c r="P86">
        <v>144</v>
      </c>
      <c r="Q86">
        <v>225</v>
      </c>
      <c r="R86">
        <v>238</v>
      </c>
      <c r="S86">
        <v>170</v>
      </c>
      <c r="T86">
        <v>0</v>
      </c>
      <c r="U86">
        <v>4390</v>
      </c>
      <c r="V86">
        <v>18486.611779520001</v>
      </c>
      <c r="AH86">
        <f t="shared" si="14"/>
        <v>249</v>
      </c>
      <c r="AI86">
        <f t="shared" si="15"/>
        <v>393</v>
      </c>
      <c r="AJ86" t="str">
        <f t="shared" si="16"/>
        <v/>
      </c>
      <c r="AK86">
        <f t="shared" si="17"/>
        <v>144</v>
      </c>
      <c r="AL86">
        <f t="shared" si="10"/>
        <v>225</v>
      </c>
      <c r="AM86">
        <f t="shared" si="11"/>
        <v>238</v>
      </c>
      <c r="AN86">
        <f t="shared" si="12"/>
        <v>170</v>
      </c>
      <c r="AO86" t="str">
        <f t="shared" si="13"/>
        <v/>
      </c>
    </row>
    <row r="87" spans="1:41">
      <c r="A87">
        <f t="shared" si="18"/>
        <v>83</v>
      </c>
      <c r="B87" t="s">
        <v>273</v>
      </c>
      <c r="C87">
        <v>5</v>
      </c>
      <c r="D87">
        <v>5</v>
      </c>
      <c r="E87" t="s">
        <v>387</v>
      </c>
      <c r="F87">
        <v>412</v>
      </c>
      <c r="G87">
        <v>1</v>
      </c>
      <c r="H87">
        <v>62</v>
      </c>
      <c r="I87" t="s">
        <v>386</v>
      </c>
      <c r="J87" t="s">
        <v>386</v>
      </c>
      <c r="K87">
        <v>10000</v>
      </c>
      <c r="L87">
        <v>256</v>
      </c>
      <c r="M87">
        <v>256</v>
      </c>
      <c r="N87">
        <v>404</v>
      </c>
      <c r="O87">
        <v>0</v>
      </c>
      <c r="P87">
        <v>164</v>
      </c>
      <c r="Q87">
        <v>262</v>
      </c>
      <c r="R87">
        <v>281</v>
      </c>
      <c r="S87">
        <v>201</v>
      </c>
      <c r="T87">
        <v>0</v>
      </c>
      <c r="U87">
        <v>4515</v>
      </c>
      <c r="V87">
        <v>18507.75175919</v>
      </c>
      <c r="AH87">
        <f t="shared" si="14"/>
        <v>256</v>
      </c>
      <c r="AI87">
        <f t="shared" si="15"/>
        <v>404</v>
      </c>
      <c r="AJ87" t="str">
        <f t="shared" si="16"/>
        <v/>
      </c>
      <c r="AK87">
        <f t="shared" si="17"/>
        <v>164</v>
      </c>
      <c r="AL87">
        <f t="shared" si="10"/>
        <v>262</v>
      </c>
      <c r="AM87">
        <f t="shared" si="11"/>
        <v>281</v>
      </c>
      <c r="AN87">
        <f t="shared" si="12"/>
        <v>201</v>
      </c>
      <c r="AO87" t="str">
        <f t="shared" si="13"/>
        <v/>
      </c>
    </row>
    <row r="88" spans="1:41">
      <c r="A88">
        <f t="shared" si="18"/>
        <v>84</v>
      </c>
      <c r="B88" t="s">
        <v>273</v>
      </c>
      <c r="C88">
        <v>5</v>
      </c>
      <c r="D88">
        <v>5</v>
      </c>
      <c r="E88" t="s">
        <v>387</v>
      </c>
      <c r="F88">
        <v>412</v>
      </c>
      <c r="G88">
        <v>1</v>
      </c>
      <c r="H88">
        <v>63</v>
      </c>
      <c r="I88" t="s">
        <v>386</v>
      </c>
      <c r="J88" t="s">
        <v>386</v>
      </c>
      <c r="K88">
        <v>10000</v>
      </c>
      <c r="L88">
        <v>264</v>
      </c>
      <c r="M88">
        <v>264</v>
      </c>
      <c r="N88">
        <v>417</v>
      </c>
      <c r="O88">
        <v>0</v>
      </c>
      <c r="P88">
        <v>193</v>
      </c>
      <c r="Q88">
        <v>310</v>
      </c>
      <c r="R88">
        <v>329</v>
      </c>
      <c r="S88">
        <v>231</v>
      </c>
      <c r="T88">
        <v>0</v>
      </c>
      <c r="U88">
        <v>4658</v>
      </c>
      <c r="V88">
        <v>18531.936025070001</v>
      </c>
      <c r="AH88">
        <f t="shared" si="14"/>
        <v>264</v>
      </c>
      <c r="AI88">
        <f t="shared" si="15"/>
        <v>417</v>
      </c>
      <c r="AJ88" t="str">
        <f t="shared" si="16"/>
        <v/>
      </c>
      <c r="AK88">
        <f t="shared" si="17"/>
        <v>193</v>
      </c>
      <c r="AL88">
        <f t="shared" si="10"/>
        <v>310</v>
      </c>
      <c r="AM88">
        <f t="shared" si="11"/>
        <v>329</v>
      </c>
      <c r="AN88">
        <f t="shared" si="12"/>
        <v>231</v>
      </c>
      <c r="AO88" t="str">
        <f t="shared" si="13"/>
        <v/>
      </c>
    </row>
    <row r="89" spans="1:41">
      <c r="A89">
        <f t="shared" si="18"/>
        <v>85</v>
      </c>
      <c r="B89" t="s">
        <v>273</v>
      </c>
      <c r="C89">
        <v>5</v>
      </c>
      <c r="D89">
        <v>5</v>
      </c>
      <c r="E89" t="s">
        <v>387</v>
      </c>
      <c r="F89">
        <v>412</v>
      </c>
      <c r="G89">
        <v>1</v>
      </c>
      <c r="H89">
        <v>64</v>
      </c>
      <c r="I89" t="s">
        <v>386</v>
      </c>
      <c r="J89" t="s">
        <v>386</v>
      </c>
      <c r="K89">
        <v>10000</v>
      </c>
      <c r="L89">
        <v>274</v>
      </c>
      <c r="M89">
        <v>274</v>
      </c>
      <c r="N89">
        <v>431</v>
      </c>
      <c r="O89">
        <v>0</v>
      </c>
      <c r="P89">
        <v>223</v>
      </c>
      <c r="Q89">
        <v>352</v>
      </c>
      <c r="R89">
        <v>366</v>
      </c>
      <c r="S89">
        <v>251</v>
      </c>
      <c r="T89">
        <v>0</v>
      </c>
      <c r="U89">
        <v>4821</v>
      </c>
      <c r="V89">
        <v>18559.221029100001</v>
      </c>
      <c r="AH89">
        <f t="shared" si="14"/>
        <v>274</v>
      </c>
      <c r="AI89">
        <f t="shared" si="15"/>
        <v>431</v>
      </c>
      <c r="AJ89" t="str">
        <f t="shared" si="16"/>
        <v/>
      </c>
      <c r="AK89">
        <f t="shared" si="17"/>
        <v>223</v>
      </c>
      <c r="AL89">
        <f t="shared" si="10"/>
        <v>352</v>
      </c>
      <c r="AM89">
        <f t="shared" si="11"/>
        <v>366</v>
      </c>
      <c r="AN89">
        <f t="shared" si="12"/>
        <v>251</v>
      </c>
      <c r="AO89" t="str">
        <f t="shared" si="13"/>
        <v/>
      </c>
    </row>
    <row r="90" spans="1:41">
      <c r="A90">
        <f t="shared" si="18"/>
        <v>86</v>
      </c>
      <c r="B90" t="s">
        <v>273</v>
      </c>
      <c r="C90">
        <v>5</v>
      </c>
      <c r="D90">
        <v>5</v>
      </c>
      <c r="E90" t="s">
        <v>387</v>
      </c>
      <c r="F90">
        <v>412</v>
      </c>
      <c r="G90">
        <v>1</v>
      </c>
      <c r="H90">
        <v>65</v>
      </c>
      <c r="I90" t="s">
        <v>386</v>
      </c>
      <c r="J90" t="s">
        <v>386</v>
      </c>
      <c r="K90">
        <v>10000</v>
      </c>
      <c r="L90">
        <v>284</v>
      </c>
      <c r="M90">
        <v>284</v>
      </c>
      <c r="N90">
        <v>447</v>
      </c>
      <c r="O90">
        <v>0</v>
      </c>
      <c r="P90">
        <v>246</v>
      </c>
      <c r="Q90">
        <v>379</v>
      </c>
      <c r="R90">
        <v>386</v>
      </c>
      <c r="S90">
        <v>260</v>
      </c>
      <c r="T90">
        <v>0</v>
      </c>
      <c r="U90">
        <v>4997</v>
      </c>
      <c r="V90">
        <v>18588.99851428</v>
      </c>
      <c r="AH90">
        <f t="shared" si="14"/>
        <v>284</v>
      </c>
      <c r="AI90">
        <f t="shared" si="15"/>
        <v>447</v>
      </c>
      <c r="AJ90" t="str">
        <f t="shared" si="16"/>
        <v/>
      </c>
      <c r="AK90">
        <f t="shared" si="17"/>
        <v>246</v>
      </c>
      <c r="AL90">
        <f t="shared" si="10"/>
        <v>379</v>
      </c>
      <c r="AM90">
        <f t="shared" si="11"/>
        <v>386</v>
      </c>
      <c r="AN90">
        <f t="shared" si="12"/>
        <v>260</v>
      </c>
      <c r="AO90" t="str">
        <f t="shared" si="13"/>
        <v/>
      </c>
    </row>
    <row r="91" spans="1:41">
      <c r="A91">
        <f t="shared" si="18"/>
        <v>87</v>
      </c>
      <c r="B91" t="s">
        <v>273</v>
      </c>
      <c r="C91">
        <v>5</v>
      </c>
      <c r="D91">
        <v>5</v>
      </c>
      <c r="E91" t="s">
        <v>387</v>
      </c>
      <c r="F91">
        <v>412</v>
      </c>
      <c r="G91">
        <v>1</v>
      </c>
      <c r="H91">
        <v>66</v>
      </c>
      <c r="I91" t="s">
        <v>386</v>
      </c>
      <c r="J91" t="s">
        <v>386</v>
      </c>
      <c r="K91">
        <v>10000</v>
      </c>
      <c r="L91">
        <v>294</v>
      </c>
      <c r="M91">
        <v>294</v>
      </c>
      <c r="N91">
        <v>464</v>
      </c>
      <c r="O91">
        <v>0</v>
      </c>
      <c r="P91">
        <v>256</v>
      </c>
      <c r="Q91">
        <v>388</v>
      </c>
      <c r="R91">
        <v>391</v>
      </c>
      <c r="S91">
        <v>262</v>
      </c>
      <c r="T91">
        <v>0</v>
      </c>
      <c r="U91">
        <v>5183</v>
      </c>
      <c r="V91">
        <v>18620.320004519999</v>
      </c>
      <c r="AH91">
        <f t="shared" si="14"/>
        <v>294</v>
      </c>
      <c r="AI91">
        <f t="shared" si="15"/>
        <v>464</v>
      </c>
      <c r="AJ91" t="str">
        <f t="shared" si="16"/>
        <v/>
      </c>
      <c r="AK91">
        <f t="shared" si="17"/>
        <v>256</v>
      </c>
      <c r="AL91">
        <f t="shared" si="10"/>
        <v>388</v>
      </c>
      <c r="AM91">
        <f t="shared" si="11"/>
        <v>391</v>
      </c>
      <c r="AN91">
        <f t="shared" si="12"/>
        <v>262</v>
      </c>
      <c r="AO91" t="str">
        <f t="shared" si="13"/>
        <v/>
      </c>
    </row>
    <row r="92" spans="1:41">
      <c r="A92">
        <f t="shared" si="18"/>
        <v>88</v>
      </c>
      <c r="B92" t="s">
        <v>273</v>
      </c>
      <c r="C92">
        <v>5</v>
      </c>
      <c r="D92">
        <v>5</v>
      </c>
      <c r="E92" t="s">
        <v>387</v>
      </c>
      <c r="F92">
        <v>412</v>
      </c>
      <c r="G92">
        <v>1</v>
      </c>
      <c r="H92">
        <v>67</v>
      </c>
      <c r="I92" t="s">
        <v>386</v>
      </c>
      <c r="J92" t="s">
        <v>386</v>
      </c>
      <c r="K92">
        <v>10000</v>
      </c>
      <c r="L92">
        <v>305</v>
      </c>
      <c r="M92">
        <v>305</v>
      </c>
      <c r="N92">
        <v>481</v>
      </c>
      <c r="O92">
        <v>0</v>
      </c>
      <c r="P92">
        <v>256</v>
      </c>
      <c r="Q92">
        <v>386</v>
      </c>
      <c r="R92">
        <v>387</v>
      </c>
      <c r="S92">
        <v>258</v>
      </c>
      <c r="T92">
        <v>0</v>
      </c>
      <c r="U92">
        <v>5371</v>
      </c>
      <c r="V92">
        <v>18652.03579631</v>
      </c>
      <c r="AH92">
        <f t="shared" si="14"/>
        <v>305</v>
      </c>
      <c r="AI92">
        <f t="shared" si="15"/>
        <v>481</v>
      </c>
      <c r="AJ92" t="str">
        <f t="shared" si="16"/>
        <v/>
      </c>
      <c r="AK92">
        <f t="shared" si="17"/>
        <v>256</v>
      </c>
      <c r="AL92">
        <f t="shared" si="10"/>
        <v>386</v>
      </c>
      <c r="AM92">
        <f t="shared" si="11"/>
        <v>387</v>
      </c>
      <c r="AN92">
        <f t="shared" si="12"/>
        <v>258</v>
      </c>
      <c r="AO92" t="str">
        <f t="shared" si="13"/>
        <v/>
      </c>
    </row>
    <row r="93" spans="1:41">
      <c r="A93">
        <f t="shared" si="18"/>
        <v>89</v>
      </c>
      <c r="B93" t="s">
        <v>273</v>
      </c>
      <c r="C93">
        <v>5</v>
      </c>
      <c r="D93">
        <v>5</v>
      </c>
      <c r="E93" t="s">
        <v>387</v>
      </c>
      <c r="F93">
        <v>412</v>
      </c>
      <c r="G93">
        <v>1</v>
      </c>
      <c r="H93">
        <v>68</v>
      </c>
      <c r="I93" t="s">
        <v>386</v>
      </c>
      <c r="J93" t="s">
        <v>386</v>
      </c>
      <c r="K93">
        <v>10000</v>
      </c>
      <c r="L93">
        <v>315</v>
      </c>
      <c r="M93">
        <v>315</v>
      </c>
      <c r="N93">
        <v>497</v>
      </c>
      <c r="O93">
        <v>0</v>
      </c>
      <c r="P93">
        <v>251</v>
      </c>
      <c r="Q93">
        <v>377</v>
      </c>
      <c r="R93">
        <v>375</v>
      </c>
      <c r="S93">
        <v>249</v>
      </c>
      <c r="T93">
        <v>0</v>
      </c>
      <c r="U93">
        <v>5557</v>
      </c>
      <c r="V93">
        <v>18683.247703519999</v>
      </c>
      <c r="AH93">
        <f t="shared" si="14"/>
        <v>315</v>
      </c>
      <c r="AI93">
        <f t="shared" si="15"/>
        <v>497</v>
      </c>
      <c r="AJ93" t="str">
        <f t="shared" si="16"/>
        <v/>
      </c>
      <c r="AK93">
        <f t="shared" si="17"/>
        <v>251</v>
      </c>
      <c r="AL93">
        <f t="shared" si="10"/>
        <v>377</v>
      </c>
      <c r="AM93">
        <f t="shared" si="11"/>
        <v>375</v>
      </c>
      <c r="AN93">
        <f t="shared" si="12"/>
        <v>249</v>
      </c>
      <c r="AO93" t="str">
        <f t="shared" si="13"/>
        <v/>
      </c>
    </row>
    <row r="94" spans="1:41">
      <c r="A94">
        <f t="shared" si="18"/>
        <v>90</v>
      </c>
      <c r="B94" t="s">
        <v>273</v>
      </c>
      <c r="C94">
        <v>5</v>
      </c>
      <c r="D94">
        <v>5</v>
      </c>
      <c r="E94" t="s">
        <v>387</v>
      </c>
      <c r="F94">
        <v>412</v>
      </c>
      <c r="G94">
        <v>1</v>
      </c>
      <c r="H94">
        <v>69</v>
      </c>
      <c r="I94" t="s">
        <v>386</v>
      </c>
      <c r="J94" t="s">
        <v>386</v>
      </c>
      <c r="K94">
        <v>10000</v>
      </c>
      <c r="L94">
        <v>326</v>
      </c>
      <c r="M94">
        <v>326</v>
      </c>
      <c r="N94">
        <v>514</v>
      </c>
      <c r="O94">
        <v>0</v>
      </c>
      <c r="P94">
        <v>247</v>
      </c>
      <c r="Q94">
        <v>370</v>
      </c>
      <c r="R94">
        <v>371</v>
      </c>
      <c r="S94">
        <v>253</v>
      </c>
      <c r="T94">
        <v>0</v>
      </c>
      <c r="U94">
        <v>5742</v>
      </c>
      <c r="V94">
        <v>18714.39930039</v>
      </c>
      <c r="AH94">
        <f t="shared" si="14"/>
        <v>326</v>
      </c>
      <c r="AI94">
        <f t="shared" si="15"/>
        <v>514</v>
      </c>
      <c r="AJ94" t="str">
        <f t="shared" si="16"/>
        <v/>
      </c>
      <c r="AK94">
        <f t="shared" si="17"/>
        <v>247</v>
      </c>
      <c r="AL94">
        <f t="shared" si="10"/>
        <v>370</v>
      </c>
      <c r="AM94">
        <f t="shared" si="11"/>
        <v>371</v>
      </c>
      <c r="AN94">
        <f t="shared" si="12"/>
        <v>253</v>
      </c>
      <c r="AO94" t="str">
        <f t="shared" si="13"/>
        <v/>
      </c>
    </row>
    <row r="95" spans="1:41">
      <c r="A95">
        <f t="shared" si="18"/>
        <v>91</v>
      </c>
      <c r="B95" t="s">
        <v>273</v>
      </c>
      <c r="C95">
        <v>5</v>
      </c>
      <c r="D95">
        <v>5</v>
      </c>
      <c r="E95" t="s">
        <v>387</v>
      </c>
      <c r="F95">
        <v>412</v>
      </c>
      <c r="G95">
        <v>1</v>
      </c>
      <c r="H95">
        <v>70</v>
      </c>
      <c r="I95" t="s">
        <v>386</v>
      </c>
      <c r="J95" t="s">
        <v>386</v>
      </c>
      <c r="K95">
        <v>10000</v>
      </c>
      <c r="L95">
        <v>337</v>
      </c>
      <c r="M95">
        <v>337</v>
      </c>
      <c r="N95">
        <v>532</v>
      </c>
      <c r="O95">
        <v>0</v>
      </c>
      <c r="P95">
        <v>254</v>
      </c>
      <c r="Q95">
        <v>389</v>
      </c>
      <c r="R95">
        <v>408</v>
      </c>
      <c r="S95">
        <v>296</v>
      </c>
      <c r="T95">
        <v>0</v>
      </c>
      <c r="U95">
        <v>5940</v>
      </c>
      <c r="V95">
        <v>18747.804210130002</v>
      </c>
      <c r="AH95">
        <f t="shared" si="14"/>
        <v>337</v>
      </c>
      <c r="AI95">
        <f t="shared" si="15"/>
        <v>532</v>
      </c>
      <c r="AJ95" t="str">
        <f t="shared" si="16"/>
        <v/>
      </c>
      <c r="AK95">
        <f t="shared" si="17"/>
        <v>254</v>
      </c>
      <c r="AL95">
        <f t="shared" si="10"/>
        <v>389</v>
      </c>
      <c r="AM95">
        <f t="shared" si="11"/>
        <v>408</v>
      </c>
      <c r="AN95">
        <f t="shared" si="12"/>
        <v>296</v>
      </c>
      <c r="AO95" t="str">
        <f t="shared" si="13"/>
        <v/>
      </c>
    </row>
    <row r="96" spans="1:41">
      <c r="A96">
        <f t="shared" si="18"/>
        <v>92</v>
      </c>
      <c r="B96" t="s">
        <v>273</v>
      </c>
      <c r="C96">
        <v>5</v>
      </c>
      <c r="D96">
        <v>5</v>
      </c>
      <c r="E96" t="s">
        <v>387</v>
      </c>
      <c r="F96">
        <v>412</v>
      </c>
      <c r="G96">
        <v>1</v>
      </c>
      <c r="H96">
        <v>71</v>
      </c>
      <c r="I96" t="s">
        <v>386</v>
      </c>
      <c r="J96" t="s">
        <v>386</v>
      </c>
      <c r="K96">
        <v>10000</v>
      </c>
      <c r="L96">
        <v>350</v>
      </c>
      <c r="M96">
        <v>350</v>
      </c>
      <c r="N96">
        <v>552</v>
      </c>
      <c r="O96">
        <v>0</v>
      </c>
      <c r="P96">
        <v>290</v>
      </c>
      <c r="Q96">
        <v>467</v>
      </c>
      <c r="R96">
        <v>517</v>
      </c>
      <c r="S96">
        <v>388</v>
      </c>
      <c r="T96">
        <v>0</v>
      </c>
      <c r="U96">
        <v>6174</v>
      </c>
      <c r="V96">
        <v>18787.052066200002</v>
      </c>
      <c r="AH96">
        <f t="shared" si="14"/>
        <v>350</v>
      </c>
      <c r="AI96">
        <f t="shared" si="15"/>
        <v>552</v>
      </c>
      <c r="AJ96" t="str">
        <f t="shared" si="16"/>
        <v/>
      </c>
      <c r="AK96">
        <f t="shared" si="17"/>
        <v>290</v>
      </c>
      <c r="AL96">
        <f t="shared" si="10"/>
        <v>467</v>
      </c>
      <c r="AM96">
        <f t="shared" si="11"/>
        <v>517</v>
      </c>
      <c r="AN96">
        <f t="shared" si="12"/>
        <v>388</v>
      </c>
      <c r="AO96" t="str">
        <f t="shared" si="13"/>
        <v/>
      </c>
    </row>
    <row r="97" spans="1:41">
      <c r="A97">
        <f t="shared" si="18"/>
        <v>93</v>
      </c>
      <c r="B97" t="s">
        <v>273</v>
      </c>
      <c r="C97">
        <v>5</v>
      </c>
      <c r="D97">
        <v>5</v>
      </c>
      <c r="E97" t="s">
        <v>387</v>
      </c>
      <c r="F97">
        <v>412</v>
      </c>
      <c r="G97">
        <v>1</v>
      </c>
      <c r="H97">
        <v>72</v>
      </c>
      <c r="I97" t="s">
        <v>386</v>
      </c>
      <c r="J97" t="s">
        <v>386</v>
      </c>
      <c r="K97">
        <v>10000</v>
      </c>
      <c r="L97">
        <v>367</v>
      </c>
      <c r="M97">
        <v>367</v>
      </c>
      <c r="N97">
        <v>579</v>
      </c>
      <c r="O97">
        <v>0</v>
      </c>
      <c r="P97">
        <v>371</v>
      </c>
      <c r="Q97">
        <v>620</v>
      </c>
      <c r="R97">
        <v>694</v>
      </c>
      <c r="S97">
        <v>514</v>
      </c>
      <c r="T97">
        <v>0</v>
      </c>
      <c r="U97">
        <v>6464</v>
      </c>
      <c r="V97">
        <v>18836.022747179999</v>
      </c>
      <c r="AH97">
        <f t="shared" si="14"/>
        <v>367</v>
      </c>
      <c r="AI97">
        <f t="shared" si="15"/>
        <v>579</v>
      </c>
      <c r="AJ97" t="str">
        <f t="shared" si="16"/>
        <v/>
      </c>
      <c r="AK97">
        <f t="shared" si="17"/>
        <v>371</v>
      </c>
      <c r="AL97">
        <f t="shared" si="10"/>
        <v>620</v>
      </c>
      <c r="AM97">
        <f t="shared" si="11"/>
        <v>694</v>
      </c>
      <c r="AN97">
        <f t="shared" si="12"/>
        <v>514</v>
      </c>
      <c r="AO97" t="str">
        <f t="shared" si="13"/>
        <v/>
      </c>
    </row>
    <row r="98" spans="1:41">
      <c r="A98">
        <f t="shared" si="18"/>
        <v>94</v>
      </c>
      <c r="B98" t="s">
        <v>273</v>
      </c>
      <c r="C98">
        <v>5</v>
      </c>
      <c r="D98">
        <v>5</v>
      </c>
      <c r="E98" t="s">
        <v>387</v>
      </c>
      <c r="F98">
        <v>412</v>
      </c>
      <c r="G98">
        <v>1</v>
      </c>
      <c r="H98">
        <v>73</v>
      </c>
      <c r="I98" t="s">
        <v>386</v>
      </c>
      <c r="J98" t="s">
        <v>386</v>
      </c>
      <c r="K98">
        <v>10000</v>
      </c>
      <c r="L98">
        <v>388</v>
      </c>
      <c r="M98">
        <v>388</v>
      </c>
      <c r="N98">
        <v>612</v>
      </c>
      <c r="O98">
        <v>0</v>
      </c>
      <c r="P98">
        <v>494</v>
      </c>
      <c r="Q98">
        <v>820</v>
      </c>
      <c r="R98">
        <v>899</v>
      </c>
      <c r="S98">
        <v>649</v>
      </c>
      <c r="T98">
        <v>0</v>
      </c>
      <c r="U98">
        <v>6833</v>
      </c>
      <c r="V98">
        <v>18898.245034119998</v>
      </c>
      <c r="AH98">
        <f t="shared" si="14"/>
        <v>388</v>
      </c>
      <c r="AI98">
        <f t="shared" si="15"/>
        <v>612</v>
      </c>
      <c r="AJ98" t="str">
        <f t="shared" si="16"/>
        <v/>
      </c>
      <c r="AK98">
        <f t="shared" si="17"/>
        <v>494</v>
      </c>
      <c r="AL98">
        <f t="shared" si="10"/>
        <v>820</v>
      </c>
      <c r="AM98">
        <f t="shared" si="11"/>
        <v>899</v>
      </c>
      <c r="AN98">
        <f t="shared" si="12"/>
        <v>649</v>
      </c>
      <c r="AO98" t="str">
        <f t="shared" si="13"/>
        <v/>
      </c>
    </row>
    <row r="99" spans="1:41">
      <c r="A99">
        <f t="shared" si="18"/>
        <v>95</v>
      </c>
      <c r="B99" t="s">
        <v>273</v>
      </c>
      <c r="C99">
        <v>5</v>
      </c>
      <c r="D99">
        <v>5</v>
      </c>
      <c r="E99" t="s">
        <v>387</v>
      </c>
      <c r="F99">
        <v>412</v>
      </c>
      <c r="G99">
        <v>1</v>
      </c>
      <c r="H99">
        <v>74</v>
      </c>
      <c r="I99" t="s">
        <v>386</v>
      </c>
      <c r="J99" t="s">
        <v>386</v>
      </c>
      <c r="K99">
        <v>10000</v>
      </c>
      <c r="L99">
        <v>414</v>
      </c>
      <c r="M99">
        <v>414</v>
      </c>
      <c r="N99">
        <v>652</v>
      </c>
      <c r="O99">
        <v>0</v>
      </c>
      <c r="P99">
        <v>625</v>
      </c>
      <c r="Q99">
        <v>1010</v>
      </c>
      <c r="R99">
        <v>1074</v>
      </c>
      <c r="S99">
        <v>747</v>
      </c>
      <c r="T99">
        <v>0</v>
      </c>
      <c r="U99">
        <v>7284</v>
      </c>
      <c r="V99">
        <v>18974.141252099998</v>
      </c>
      <c r="AH99">
        <f t="shared" si="14"/>
        <v>414</v>
      </c>
      <c r="AI99">
        <f t="shared" si="15"/>
        <v>652</v>
      </c>
      <c r="AJ99" t="str">
        <f t="shared" si="16"/>
        <v/>
      </c>
      <c r="AK99">
        <f t="shared" si="17"/>
        <v>625</v>
      </c>
      <c r="AL99">
        <f t="shared" si="10"/>
        <v>1010</v>
      </c>
      <c r="AM99">
        <f t="shared" si="11"/>
        <v>1074</v>
      </c>
      <c r="AN99">
        <f t="shared" si="12"/>
        <v>747</v>
      </c>
      <c r="AO99" t="str">
        <f t="shared" si="13"/>
        <v/>
      </c>
    </row>
    <row r="100" spans="1:41">
      <c r="A100">
        <f t="shared" si="18"/>
        <v>96</v>
      </c>
      <c r="B100" t="s">
        <v>273</v>
      </c>
      <c r="C100">
        <v>5</v>
      </c>
      <c r="D100">
        <v>5</v>
      </c>
      <c r="E100" t="s">
        <v>387</v>
      </c>
      <c r="F100">
        <v>412</v>
      </c>
      <c r="G100">
        <v>1</v>
      </c>
      <c r="H100">
        <v>75</v>
      </c>
      <c r="I100" t="s">
        <v>386</v>
      </c>
      <c r="J100" t="s">
        <v>386</v>
      </c>
      <c r="K100">
        <v>10000</v>
      </c>
      <c r="L100">
        <v>442</v>
      </c>
      <c r="M100">
        <v>442</v>
      </c>
      <c r="N100">
        <v>697</v>
      </c>
      <c r="O100">
        <v>0</v>
      </c>
      <c r="P100">
        <v>718</v>
      </c>
      <c r="Q100">
        <v>1124</v>
      </c>
      <c r="R100">
        <v>1146</v>
      </c>
      <c r="S100">
        <v>758</v>
      </c>
      <c r="T100">
        <v>0</v>
      </c>
      <c r="U100">
        <v>7789</v>
      </c>
      <c r="V100">
        <v>19059.141290150001</v>
      </c>
      <c r="AH100">
        <f t="shared" si="14"/>
        <v>442</v>
      </c>
      <c r="AI100">
        <f t="shared" si="15"/>
        <v>697</v>
      </c>
      <c r="AJ100" t="str">
        <f t="shared" si="16"/>
        <v/>
      </c>
      <c r="AK100">
        <f t="shared" si="17"/>
        <v>718</v>
      </c>
      <c r="AL100">
        <f t="shared" si="10"/>
        <v>1124</v>
      </c>
      <c r="AM100">
        <f t="shared" si="11"/>
        <v>1146</v>
      </c>
      <c r="AN100">
        <f t="shared" si="12"/>
        <v>758</v>
      </c>
      <c r="AO100" t="str">
        <f t="shared" si="13"/>
        <v/>
      </c>
    </row>
    <row r="101" spans="1:41">
      <c r="A101">
        <f t="shared" si="18"/>
        <v>97</v>
      </c>
      <c r="B101" t="s">
        <v>273</v>
      </c>
      <c r="C101">
        <v>5</v>
      </c>
      <c r="D101">
        <v>5</v>
      </c>
      <c r="E101" t="s">
        <v>387</v>
      </c>
      <c r="F101">
        <v>412</v>
      </c>
      <c r="G101">
        <v>1</v>
      </c>
      <c r="H101">
        <v>76</v>
      </c>
      <c r="I101" t="s">
        <v>386</v>
      </c>
      <c r="J101" t="s">
        <v>386</v>
      </c>
      <c r="K101">
        <v>10000</v>
      </c>
      <c r="L101">
        <v>471</v>
      </c>
      <c r="M101">
        <v>471</v>
      </c>
      <c r="N101">
        <v>743</v>
      </c>
      <c r="O101">
        <v>0</v>
      </c>
      <c r="P101">
        <v>738</v>
      </c>
      <c r="Q101">
        <v>1101</v>
      </c>
      <c r="R101">
        <v>1062</v>
      </c>
      <c r="S101">
        <v>663</v>
      </c>
      <c r="T101">
        <v>0</v>
      </c>
      <c r="U101">
        <v>8296</v>
      </c>
      <c r="V101">
        <v>19144.6088872</v>
      </c>
      <c r="AH101">
        <f t="shared" si="14"/>
        <v>471</v>
      </c>
      <c r="AI101">
        <f t="shared" si="15"/>
        <v>743</v>
      </c>
      <c r="AJ101" t="str">
        <f t="shared" si="16"/>
        <v/>
      </c>
      <c r="AK101">
        <f t="shared" si="17"/>
        <v>738</v>
      </c>
      <c r="AL101">
        <f t="shared" si="10"/>
        <v>1101</v>
      </c>
      <c r="AM101">
        <f t="shared" si="11"/>
        <v>1062</v>
      </c>
      <c r="AN101">
        <f t="shared" si="12"/>
        <v>663</v>
      </c>
      <c r="AO101" t="str">
        <f t="shared" si="13"/>
        <v/>
      </c>
    </row>
    <row r="102" spans="1:41">
      <c r="A102">
        <f t="shared" si="18"/>
        <v>98</v>
      </c>
      <c r="B102" t="s">
        <v>273</v>
      </c>
      <c r="C102">
        <v>5</v>
      </c>
      <c r="D102">
        <v>5</v>
      </c>
      <c r="E102" t="s">
        <v>387</v>
      </c>
      <c r="F102">
        <v>412</v>
      </c>
      <c r="G102">
        <v>1</v>
      </c>
      <c r="H102">
        <v>77</v>
      </c>
      <c r="I102" t="s">
        <v>386</v>
      </c>
      <c r="J102" t="s">
        <v>386</v>
      </c>
      <c r="K102">
        <v>10000</v>
      </c>
      <c r="L102">
        <v>497</v>
      </c>
      <c r="M102">
        <v>497</v>
      </c>
      <c r="N102">
        <v>783</v>
      </c>
      <c r="O102">
        <v>0</v>
      </c>
      <c r="P102">
        <v>657</v>
      </c>
      <c r="Q102">
        <v>919</v>
      </c>
      <c r="R102">
        <v>828</v>
      </c>
      <c r="S102">
        <v>482</v>
      </c>
      <c r="T102">
        <v>0</v>
      </c>
      <c r="U102">
        <v>8749</v>
      </c>
      <c r="V102">
        <v>19220.787670459998</v>
      </c>
      <c r="AH102">
        <f t="shared" si="14"/>
        <v>497</v>
      </c>
      <c r="AI102">
        <f t="shared" si="15"/>
        <v>783</v>
      </c>
      <c r="AJ102" t="str">
        <f t="shared" si="16"/>
        <v/>
      </c>
      <c r="AK102">
        <f t="shared" si="17"/>
        <v>657</v>
      </c>
      <c r="AL102">
        <f t="shared" si="10"/>
        <v>919</v>
      </c>
      <c r="AM102">
        <f t="shared" si="11"/>
        <v>828</v>
      </c>
      <c r="AN102">
        <f t="shared" si="12"/>
        <v>482</v>
      </c>
      <c r="AO102" t="str">
        <f t="shared" si="13"/>
        <v/>
      </c>
    </row>
    <row r="103" spans="1:41">
      <c r="A103">
        <f t="shared" si="18"/>
        <v>99</v>
      </c>
      <c r="B103" t="s">
        <v>273</v>
      </c>
      <c r="C103">
        <v>5</v>
      </c>
      <c r="D103">
        <v>5</v>
      </c>
      <c r="E103" t="s">
        <v>387</v>
      </c>
      <c r="F103">
        <v>412</v>
      </c>
      <c r="G103">
        <v>1</v>
      </c>
      <c r="H103">
        <v>78</v>
      </c>
      <c r="I103" t="s">
        <v>386</v>
      </c>
      <c r="J103" t="s">
        <v>386</v>
      </c>
      <c r="K103">
        <v>10000</v>
      </c>
      <c r="L103">
        <v>516</v>
      </c>
      <c r="M103">
        <v>516</v>
      </c>
      <c r="N103">
        <v>814</v>
      </c>
      <c r="O103">
        <v>0</v>
      </c>
      <c r="P103">
        <v>486</v>
      </c>
      <c r="Q103">
        <v>625</v>
      </c>
      <c r="R103">
        <v>514</v>
      </c>
      <c r="S103">
        <v>273</v>
      </c>
      <c r="T103">
        <v>0</v>
      </c>
      <c r="U103">
        <v>9097</v>
      </c>
      <c r="V103">
        <v>19279.400340830001</v>
      </c>
      <c r="AH103">
        <f t="shared" si="14"/>
        <v>516</v>
      </c>
      <c r="AI103">
        <f t="shared" si="15"/>
        <v>814</v>
      </c>
      <c r="AJ103" t="str">
        <f t="shared" si="16"/>
        <v/>
      </c>
      <c r="AK103">
        <f t="shared" si="17"/>
        <v>486</v>
      </c>
      <c r="AL103">
        <f t="shared" si="10"/>
        <v>625</v>
      </c>
      <c r="AM103">
        <f t="shared" si="11"/>
        <v>514</v>
      </c>
      <c r="AN103">
        <f t="shared" si="12"/>
        <v>273</v>
      </c>
      <c r="AO103" t="str">
        <f t="shared" si="13"/>
        <v/>
      </c>
    </row>
    <row r="104" spans="1:41">
      <c r="A104">
        <f t="shared" si="18"/>
        <v>100</v>
      </c>
      <c r="B104" t="s">
        <v>273</v>
      </c>
      <c r="C104">
        <v>5</v>
      </c>
      <c r="D104">
        <v>5</v>
      </c>
      <c r="E104" t="s">
        <v>387</v>
      </c>
      <c r="F104">
        <v>412</v>
      </c>
      <c r="G104">
        <v>1</v>
      </c>
      <c r="H104">
        <v>79</v>
      </c>
      <c r="I104" t="s">
        <v>386</v>
      </c>
      <c r="J104" t="s">
        <v>386</v>
      </c>
      <c r="K104">
        <v>10000</v>
      </c>
      <c r="L104">
        <v>529</v>
      </c>
      <c r="M104">
        <v>529</v>
      </c>
      <c r="N104">
        <v>834</v>
      </c>
      <c r="O104">
        <v>0</v>
      </c>
      <c r="P104">
        <v>281</v>
      </c>
      <c r="Q104">
        <v>315</v>
      </c>
      <c r="R104">
        <v>224</v>
      </c>
      <c r="S104">
        <v>104</v>
      </c>
      <c r="T104">
        <v>0</v>
      </c>
      <c r="U104">
        <v>9321</v>
      </c>
      <c r="V104">
        <v>19317.006858979999</v>
      </c>
      <c r="AH104">
        <f t="shared" si="14"/>
        <v>529</v>
      </c>
      <c r="AI104">
        <f t="shared" si="15"/>
        <v>834</v>
      </c>
      <c r="AJ104" t="str">
        <f t="shared" si="16"/>
        <v/>
      </c>
      <c r="AK104">
        <f t="shared" si="17"/>
        <v>281</v>
      </c>
      <c r="AL104">
        <f t="shared" si="10"/>
        <v>315</v>
      </c>
      <c r="AM104">
        <f t="shared" si="11"/>
        <v>224</v>
      </c>
      <c r="AN104">
        <f t="shared" si="12"/>
        <v>104</v>
      </c>
      <c r="AO104" t="str">
        <f t="shared" si="13"/>
        <v/>
      </c>
    </row>
    <row r="105" spans="1:41">
      <c r="A105">
        <f t="shared" si="18"/>
        <v>101</v>
      </c>
      <c r="B105" t="s">
        <v>273</v>
      </c>
      <c r="C105">
        <v>5</v>
      </c>
      <c r="D105">
        <v>5</v>
      </c>
      <c r="E105" t="s">
        <v>387</v>
      </c>
      <c r="F105">
        <v>412</v>
      </c>
      <c r="G105">
        <v>1</v>
      </c>
      <c r="H105">
        <v>80</v>
      </c>
      <c r="I105" t="s">
        <v>386</v>
      </c>
      <c r="J105" t="s">
        <v>386</v>
      </c>
      <c r="K105">
        <v>10000</v>
      </c>
      <c r="L105">
        <v>535</v>
      </c>
      <c r="M105">
        <v>535</v>
      </c>
      <c r="N105">
        <v>844</v>
      </c>
      <c r="O105">
        <v>0</v>
      </c>
      <c r="P105">
        <v>105</v>
      </c>
      <c r="Q105">
        <v>86</v>
      </c>
      <c r="R105">
        <v>40</v>
      </c>
      <c r="S105">
        <v>13</v>
      </c>
      <c r="T105">
        <v>0</v>
      </c>
      <c r="U105">
        <v>9433</v>
      </c>
      <c r="V105">
        <v>19335.954326200001</v>
      </c>
      <c r="AH105">
        <f t="shared" si="14"/>
        <v>535</v>
      </c>
      <c r="AI105">
        <f t="shared" si="15"/>
        <v>844</v>
      </c>
      <c r="AJ105" t="str">
        <f t="shared" si="16"/>
        <v/>
      </c>
      <c r="AK105">
        <f t="shared" si="17"/>
        <v>105</v>
      </c>
      <c r="AL105">
        <f t="shared" si="10"/>
        <v>86</v>
      </c>
      <c r="AM105">
        <f t="shared" si="11"/>
        <v>40</v>
      </c>
      <c r="AN105">
        <f t="shared" si="12"/>
        <v>13</v>
      </c>
      <c r="AO105" t="str">
        <f t="shared" si="13"/>
        <v/>
      </c>
    </row>
    <row r="106" spans="1:41">
      <c r="A106">
        <f t="shared" si="18"/>
        <v>102</v>
      </c>
      <c r="B106" t="s">
        <v>273</v>
      </c>
      <c r="C106">
        <v>5</v>
      </c>
      <c r="D106">
        <v>5</v>
      </c>
      <c r="E106" t="s">
        <v>387</v>
      </c>
      <c r="F106">
        <v>412</v>
      </c>
      <c r="G106">
        <v>1</v>
      </c>
      <c r="H106">
        <v>81</v>
      </c>
      <c r="I106" t="s">
        <v>386</v>
      </c>
      <c r="J106" t="s">
        <v>386</v>
      </c>
      <c r="K106">
        <v>10000</v>
      </c>
      <c r="L106">
        <v>538</v>
      </c>
      <c r="M106">
        <v>538</v>
      </c>
      <c r="N106">
        <v>847</v>
      </c>
      <c r="O106">
        <v>0</v>
      </c>
      <c r="P106">
        <v>3</v>
      </c>
      <c r="Q106">
        <v>-19</v>
      </c>
      <c r="R106">
        <v>-23</v>
      </c>
      <c r="S106">
        <v>-12</v>
      </c>
      <c r="T106">
        <v>0</v>
      </c>
      <c r="U106">
        <v>9469</v>
      </c>
      <c r="V106">
        <v>19342.084435059998</v>
      </c>
      <c r="AH106">
        <f t="shared" si="14"/>
        <v>538</v>
      </c>
      <c r="AI106">
        <f t="shared" si="15"/>
        <v>847</v>
      </c>
      <c r="AJ106" t="str">
        <f t="shared" si="16"/>
        <v/>
      </c>
      <c r="AK106">
        <f t="shared" si="17"/>
        <v>3</v>
      </c>
      <c r="AL106">
        <f t="shared" si="10"/>
        <v>-19</v>
      </c>
      <c r="AM106">
        <f t="shared" si="11"/>
        <v>-23</v>
      </c>
      <c r="AN106">
        <f t="shared" si="12"/>
        <v>-12</v>
      </c>
      <c r="AO106" t="str">
        <f t="shared" si="13"/>
        <v/>
      </c>
    </row>
    <row r="107" spans="1:41">
      <c r="A107">
        <f t="shared" si="18"/>
        <v>103</v>
      </c>
      <c r="B107" t="s">
        <v>273</v>
      </c>
      <c r="C107">
        <v>5</v>
      </c>
      <c r="D107">
        <v>5</v>
      </c>
      <c r="E107" t="s">
        <v>387</v>
      </c>
      <c r="F107">
        <v>412</v>
      </c>
      <c r="G107">
        <v>1</v>
      </c>
      <c r="H107">
        <v>82</v>
      </c>
      <c r="I107" t="s">
        <v>386</v>
      </c>
      <c r="J107" t="s">
        <v>386</v>
      </c>
      <c r="K107">
        <v>10000</v>
      </c>
      <c r="L107">
        <v>537</v>
      </c>
      <c r="M107">
        <v>537</v>
      </c>
      <c r="N107">
        <v>847</v>
      </c>
      <c r="O107">
        <v>0</v>
      </c>
      <c r="P107">
        <v>-24</v>
      </c>
      <c r="Q107">
        <v>-30</v>
      </c>
      <c r="R107">
        <v>-20</v>
      </c>
      <c r="S107">
        <v>-10</v>
      </c>
      <c r="T107">
        <v>0</v>
      </c>
      <c r="U107">
        <v>9467</v>
      </c>
      <c r="V107">
        <v>19341.690383280002</v>
      </c>
      <c r="AH107">
        <f t="shared" si="14"/>
        <v>537</v>
      </c>
      <c r="AI107">
        <f t="shared" si="15"/>
        <v>847</v>
      </c>
      <c r="AJ107" t="str">
        <f t="shared" si="16"/>
        <v/>
      </c>
      <c r="AK107">
        <f t="shared" si="17"/>
        <v>-24</v>
      </c>
      <c r="AL107">
        <f t="shared" si="10"/>
        <v>-30</v>
      </c>
      <c r="AM107">
        <f t="shared" si="11"/>
        <v>-20</v>
      </c>
      <c r="AN107">
        <f t="shared" si="12"/>
        <v>-10</v>
      </c>
      <c r="AO107" t="str">
        <f t="shared" si="13"/>
        <v/>
      </c>
    </row>
    <row r="108" spans="1:41">
      <c r="A108">
        <f t="shared" si="18"/>
        <v>104</v>
      </c>
      <c r="B108" t="s">
        <v>273</v>
      </c>
      <c r="C108">
        <v>5</v>
      </c>
      <c r="D108">
        <v>5</v>
      </c>
      <c r="E108" t="s">
        <v>387</v>
      </c>
      <c r="F108">
        <v>412</v>
      </c>
      <c r="G108">
        <v>1</v>
      </c>
      <c r="H108">
        <v>83</v>
      </c>
      <c r="I108" t="s">
        <v>386</v>
      </c>
      <c r="J108" t="s">
        <v>386</v>
      </c>
      <c r="K108">
        <v>10000</v>
      </c>
      <c r="L108">
        <v>537</v>
      </c>
      <c r="M108">
        <v>537</v>
      </c>
      <c r="N108">
        <v>846</v>
      </c>
      <c r="O108">
        <v>0</v>
      </c>
      <c r="P108">
        <v>-12</v>
      </c>
      <c r="Q108">
        <v>-9</v>
      </c>
      <c r="R108">
        <v>-6</v>
      </c>
      <c r="S108">
        <v>-3</v>
      </c>
      <c r="T108">
        <v>0</v>
      </c>
      <c r="U108">
        <v>9457</v>
      </c>
      <c r="V108">
        <v>19339.930587390001</v>
      </c>
      <c r="AH108">
        <f t="shared" si="14"/>
        <v>537</v>
      </c>
      <c r="AI108">
        <f t="shared" si="15"/>
        <v>846</v>
      </c>
      <c r="AJ108" t="str">
        <f t="shared" si="16"/>
        <v/>
      </c>
      <c r="AK108">
        <f t="shared" si="17"/>
        <v>-12</v>
      </c>
      <c r="AL108">
        <f t="shared" si="10"/>
        <v>-9</v>
      </c>
      <c r="AM108">
        <f t="shared" si="11"/>
        <v>-6</v>
      </c>
      <c r="AN108">
        <f t="shared" si="12"/>
        <v>-3</v>
      </c>
      <c r="AO108" t="str">
        <f t="shared" si="13"/>
        <v/>
      </c>
    </row>
    <row r="109" spans="1:41">
      <c r="A109">
        <f t="shared" si="18"/>
        <v>105</v>
      </c>
      <c r="B109" t="s">
        <v>273</v>
      </c>
      <c r="C109">
        <v>5</v>
      </c>
      <c r="D109">
        <v>5</v>
      </c>
      <c r="E109" t="s">
        <v>387</v>
      </c>
      <c r="F109">
        <v>412</v>
      </c>
      <c r="G109">
        <v>1</v>
      </c>
      <c r="H109">
        <v>84</v>
      </c>
      <c r="I109" t="s">
        <v>386</v>
      </c>
      <c r="J109" t="s">
        <v>386</v>
      </c>
      <c r="K109">
        <v>10000</v>
      </c>
      <c r="L109">
        <v>537</v>
      </c>
      <c r="M109">
        <v>537</v>
      </c>
      <c r="N109">
        <v>846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9452</v>
      </c>
      <c r="V109">
        <v>19339.137205160001</v>
      </c>
      <c r="AH109">
        <f t="shared" si="14"/>
        <v>537</v>
      </c>
      <c r="AI109">
        <f t="shared" si="15"/>
        <v>846</v>
      </c>
      <c r="AJ109" t="str">
        <f t="shared" si="16"/>
        <v/>
      </c>
      <c r="AK109" t="str">
        <f t="shared" si="17"/>
        <v/>
      </c>
      <c r="AL109" t="str">
        <f t="shared" si="10"/>
        <v/>
      </c>
      <c r="AM109" t="str">
        <f t="shared" si="11"/>
        <v/>
      </c>
      <c r="AN109" t="str">
        <f t="shared" si="12"/>
        <v/>
      </c>
      <c r="AO109" t="str">
        <f t="shared" si="13"/>
        <v/>
      </c>
    </row>
    <row r="110" spans="1:41">
      <c r="A110">
        <f t="shared" si="18"/>
        <v>106</v>
      </c>
      <c r="B110" t="s">
        <v>273</v>
      </c>
      <c r="C110">
        <v>5</v>
      </c>
      <c r="D110">
        <v>5</v>
      </c>
      <c r="E110" t="s">
        <v>387</v>
      </c>
      <c r="F110">
        <v>412</v>
      </c>
      <c r="G110">
        <v>1</v>
      </c>
      <c r="H110">
        <v>85</v>
      </c>
      <c r="I110" t="s">
        <v>386</v>
      </c>
      <c r="J110" t="s">
        <v>386</v>
      </c>
      <c r="K110">
        <v>10000</v>
      </c>
      <c r="L110">
        <v>537</v>
      </c>
      <c r="M110">
        <v>537</v>
      </c>
      <c r="N110">
        <v>846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9452</v>
      </c>
      <c r="V110">
        <v>19339.137205160001</v>
      </c>
      <c r="AH110">
        <f t="shared" si="14"/>
        <v>537</v>
      </c>
      <c r="AI110">
        <f t="shared" si="15"/>
        <v>846</v>
      </c>
      <c r="AJ110" t="str">
        <f t="shared" si="16"/>
        <v/>
      </c>
      <c r="AK110" t="str">
        <f t="shared" si="17"/>
        <v/>
      </c>
      <c r="AL110" t="str">
        <f t="shared" si="10"/>
        <v/>
      </c>
      <c r="AM110" t="str">
        <f t="shared" si="11"/>
        <v/>
      </c>
      <c r="AN110" t="str">
        <f t="shared" si="12"/>
        <v/>
      </c>
      <c r="AO110" t="str">
        <f t="shared" si="13"/>
        <v/>
      </c>
    </row>
    <row r="111" spans="1:41">
      <c r="A111">
        <f t="shared" si="18"/>
        <v>107</v>
      </c>
      <c r="B111" t="s">
        <v>273</v>
      </c>
      <c r="C111">
        <v>5</v>
      </c>
      <c r="D111">
        <v>5</v>
      </c>
      <c r="E111" t="s">
        <v>387</v>
      </c>
      <c r="F111">
        <v>412</v>
      </c>
      <c r="G111">
        <v>1</v>
      </c>
      <c r="H111">
        <v>86</v>
      </c>
      <c r="I111" t="s">
        <v>386</v>
      </c>
      <c r="J111" t="s">
        <v>386</v>
      </c>
      <c r="K111">
        <v>10000</v>
      </c>
      <c r="L111">
        <v>537</v>
      </c>
      <c r="M111">
        <v>537</v>
      </c>
      <c r="N111">
        <v>846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9452</v>
      </c>
      <c r="V111">
        <v>19339.137205160001</v>
      </c>
      <c r="AH111">
        <f t="shared" si="14"/>
        <v>537</v>
      </c>
      <c r="AI111">
        <f t="shared" si="15"/>
        <v>846</v>
      </c>
      <c r="AJ111" t="str">
        <f t="shared" si="16"/>
        <v/>
      </c>
      <c r="AK111" t="str">
        <f t="shared" si="17"/>
        <v/>
      </c>
      <c r="AL111" t="str">
        <f t="shared" si="10"/>
        <v/>
      </c>
      <c r="AM111" t="str">
        <f t="shared" si="11"/>
        <v/>
      </c>
      <c r="AN111" t="str">
        <f t="shared" si="12"/>
        <v/>
      </c>
      <c r="AO111" t="str">
        <f t="shared" si="13"/>
        <v/>
      </c>
    </row>
    <row r="112" spans="1:41">
      <c r="A112">
        <f t="shared" si="18"/>
        <v>108</v>
      </c>
      <c r="B112" t="s">
        <v>273</v>
      </c>
      <c r="C112">
        <v>5</v>
      </c>
      <c r="D112">
        <v>5</v>
      </c>
      <c r="E112" t="s">
        <v>387</v>
      </c>
      <c r="F112">
        <v>412</v>
      </c>
      <c r="G112">
        <v>1</v>
      </c>
      <c r="H112">
        <v>87</v>
      </c>
      <c r="I112" t="s">
        <v>386</v>
      </c>
      <c r="J112" t="s">
        <v>386</v>
      </c>
      <c r="K112">
        <v>10000</v>
      </c>
      <c r="L112">
        <v>537</v>
      </c>
      <c r="M112">
        <v>537</v>
      </c>
      <c r="N112">
        <v>846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9452</v>
      </c>
      <c r="V112">
        <v>19339.137205160001</v>
      </c>
      <c r="AH112">
        <f t="shared" si="14"/>
        <v>537</v>
      </c>
      <c r="AI112">
        <f t="shared" si="15"/>
        <v>846</v>
      </c>
      <c r="AJ112" t="str">
        <f t="shared" si="16"/>
        <v/>
      </c>
      <c r="AK112" t="str">
        <f t="shared" si="17"/>
        <v/>
      </c>
      <c r="AL112" t="str">
        <f t="shared" si="10"/>
        <v/>
      </c>
      <c r="AM112" t="str">
        <f t="shared" si="11"/>
        <v/>
      </c>
      <c r="AN112" t="str">
        <f t="shared" si="12"/>
        <v/>
      </c>
      <c r="AO112" t="str">
        <f t="shared" si="13"/>
        <v/>
      </c>
    </row>
    <row r="113" spans="1:41">
      <c r="A113">
        <f t="shared" si="18"/>
        <v>109</v>
      </c>
      <c r="B113" t="s">
        <v>273</v>
      </c>
      <c r="C113">
        <v>5</v>
      </c>
      <c r="D113">
        <v>5</v>
      </c>
      <c r="E113" t="s">
        <v>387</v>
      </c>
      <c r="F113">
        <v>412</v>
      </c>
      <c r="G113">
        <v>1</v>
      </c>
      <c r="H113">
        <v>88</v>
      </c>
      <c r="I113" t="s">
        <v>386</v>
      </c>
      <c r="J113" t="s">
        <v>386</v>
      </c>
      <c r="K113">
        <v>10000</v>
      </c>
      <c r="L113">
        <v>537</v>
      </c>
      <c r="M113">
        <v>537</v>
      </c>
      <c r="N113">
        <v>846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9452</v>
      </c>
      <c r="V113">
        <v>19339.137205160001</v>
      </c>
      <c r="AH113">
        <f t="shared" si="14"/>
        <v>537</v>
      </c>
      <c r="AI113">
        <f t="shared" si="15"/>
        <v>846</v>
      </c>
      <c r="AJ113" t="str">
        <f t="shared" si="16"/>
        <v/>
      </c>
      <c r="AK113" t="str">
        <f t="shared" si="17"/>
        <v/>
      </c>
      <c r="AL113" t="str">
        <f t="shared" si="10"/>
        <v/>
      </c>
      <c r="AM113" t="str">
        <f t="shared" si="11"/>
        <v/>
      </c>
      <c r="AN113" t="str">
        <f t="shared" si="12"/>
        <v/>
      </c>
      <c r="AO113" t="str">
        <f t="shared" si="13"/>
        <v/>
      </c>
    </row>
    <row r="114" spans="1:41">
      <c r="A114">
        <f t="shared" si="18"/>
        <v>110</v>
      </c>
      <c r="B114" t="s">
        <v>273</v>
      </c>
      <c r="C114">
        <v>5</v>
      </c>
      <c r="D114">
        <v>5</v>
      </c>
      <c r="E114" t="s">
        <v>387</v>
      </c>
      <c r="F114">
        <v>412</v>
      </c>
      <c r="G114">
        <v>1</v>
      </c>
      <c r="H114">
        <v>89</v>
      </c>
      <c r="I114" t="s">
        <v>386</v>
      </c>
      <c r="J114" t="s">
        <v>386</v>
      </c>
      <c r="K114">
        <v>10000</v>
      </c>
      <c r="L114">
        <v>537</v>
      </c>
      <c r="M114">
        <v>537</v>
      </c>
      <c r="N114">
        <v>846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9452</v>
      </c>
      <c r="V114">
        <v>19339.137205160001</v>
      </c>
      <c r="AH114">
        <f t="shared" si="14"/>
        <v>537</v>
      </c>
      <c r="AI114">
        <f t="shared" si="15"/>
        <v>846</v>
      </c>
      <c r="AJ114" t="str">
        <f t="shared" si="16"/>
        <v/>
      </c>
      <c r="AK114" t="str">
        <f t="shared" si="17"/>
        <v/>
      </c>
      <c r="AL114" t="str">
        <f t="shared" si="10"/>
        <v/>
      </c>
      <c r="AM114" t="str">
        <f t="shared" si="11"/>
        <v/>
      </c>
      <c r="AN114" t="str">
        <f t="shared" si="12"/>
        <v/>
      </c>
      <c r="AO114" t="str">
        <f t="shared" si="13"/>
        <v/>
      </c>
    </row>
    <row r="115" spans="1:41">
      <c r="A115">
        <f t="shared" si="18"/>
        <v>111</v>
      </c>
      <c r="B115" t="s">
        <v>273</v>
      </c>
      <c r="C115">
        <v>5</v>
      </c>
      <c r="D115">
        <v>5</v>
      </c>
      <c r="E115" t="s">
        <v>387</v>
      </c>
      <c r="F115">
        <v>412</v>
      </c>
      <c r="G115">
        <v>1</v>
      </c>
      <c r="H115">
        <v>90</v>
      </c>
      <c r="I115" t="s">
        <v>386</v>
      </c>
      <c r="J115" t="s">
        <v>386</v>
      </c>
      <c r="K115">
        <v>10000</v>
      </c>
      <c r="L115">
        <v>537</v>
      </c>
      <c r="M115">
        <v>537</v>
      </c>
      <c r="N115">
        <v>846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9452</v>
      </c>
      <c r="V115">
        <v>19339.137205160001</v>
      </c>
      <c r="AH115">
        <f t="shared" si="14"/>
        <v>537</v>
      </c>
      <c r="AI115">
        <f t="shared" si="15"/>
        <v>846</v>
      </c>
      <c r="AJ115" t="str">
        <f t="shared" si="16"/>
        <v/>
      </c>
      <c r="AK115" t="str">
        <f t="shared" si="17"/>
        <v/>
      </c>
      <c r="AL115" t="str">
        <f t="shared" si="10"/>
        <v/>
      </c>
      <c r="AM115" t="str">
        <f t="shared" si="11"/>
        <v/>
      </c>
      <c r="AN115" t="str">
        <f t="shared" si="12"/>
        <v/>
      </c>
      <c r="AO115" t="str">
        <f t="shared" si="13"/>
        <v/>
      </c>
    </row>
    <row r="116" spans="1:41">
      <c r="A116">
        <f t="shared" si="18"/>
        <v>112</v>
      </c>
      <c r="B116" t="s">
        <v>273</v>
      </c>
      <c r="C116">
        <v>5</v>
      </c>
      <c r="D116">
        <v>5</v>
      </c>
      <c r="E116" t="s">
        <v>387</v>
      </c>
      <c r="F116">
        <v>412</v>
      </c>
      <c r="G116">
        <v>1</v>
      </c>
      <c r="H116">
        <v>91</v>
      </c>
      <c r="I116" t="s">
        <v>386</v>
      </c>
      <c r="J116" t="s">
        <v>386</v>
      </c>
      <c r="K116">
        <v>10000</v>
      </c>
      <c r="L116">
        <v>537</v>
      </c>
      <c r="M116">
        <v>537</v>
      </c>
      <c r="N116">
        <v>846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9452</v>
      </c>
      <c r="V116">
        <v>19339.137205160001</v>
      </c>
      <c r="AH116">
        <f t="shared" si="14"/>
        <v>537</v>
      </c>
      <c r="AI116">
        <f t="shared" si="15"/>
        <v>846</v>
      </c>
      <c r="AJ116" t="str">
        <f t="shared" si="16"/>
        <v/>
      </c>
      <c r="AK116" t="str">
        <f t="shared" si="17"/>
        <v/>
      </c>
      <c r="AL116" t="str">
        <f t="shared" si="10"/>
        <v/>
      </c>
      <c r="AM116" t="str">
        <f t="shared" si="11"/>
        <v/>
      </c>
      <c r="AN116" t="str">
        <f t="shared" si="12"/>
        <v/>
      </c>
      <c r="AO116" t="str">
        <f t="shared" si="13"/>
        <v/>
      </c>
    </row>
    <row r="117" spans="1:41">
      <c r="A117">
        <f t="shared" si="18"/>
        <v>113</v>
      </c>
      <c r="B117" t="s">
        <v>273</v>
      </c>
      <c r="C117">
        <v>5</v>
      </c>
      <c r="D117">
        <v>5</v>
      </c>
      <c r="E117" t="s">
        <v>387</v>
      </c>
      <c r="F117">
        <v>412</v>
      </c>
      <c r="G117">
        <v>1</v>
      </c>
      <c r="H117">
        <v>92</v>
      </c>
      <c r="I117" t="s">
        <v>386</v>
      </c>
      <c r="J117" t="s">
        <v>386</v>
      </c>
      <c r="K117">
        <v>10000</v>
      </c>
      <c r="L117">
        <v>537</v>
      </c>
      <c r="M117">
        <v>537</v>
      </c>
      <c r="N117">
        <v>846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9452</v>
      </c>
      <c r="V117">
        <v>19339.137205160001</v>
      </c>
      <c r="AH117">
        <f t="shared" si="14"/>
        <v>537</v>
      </c>
      <c r="AI117">
        <f t="shared" si="15"/>
        <v>846</v>
      </c>
      <c r="AJ117" t="str">
        <f t="shared" si="16"/>
        <v/>
      </c>
      <c r="AK117" t="str">
        <f t="shared" si="17"/>
        <v/>
      </c>
      <c r="AL117" t="str">
        <f t="shared" si="10"/>
        <v/>
      </c>
      <c r="AM117" t="str">
        <f t="shared" si="11"/>
        <v/>
      </c>
      <c r="AN117" t="str">
        <f t="shared" si="12"/>
        <v/>
      </c>
      <c r="AO117" t="str">
        <f t="shared" si="13"/>
        <v/>
      </c>
    </row>
    <row r="118" spans="1:41">
      <c r="A118">
        <f t="shared" si="18"/>
        <v>114</v>
      </c>
      <c r="B118" t="s">
        <v>273</v>
      </c>
      <c r="C118">
        <v>5</v>
      </c>
      <c r="D118">
        <v>5</v>
      </c>
      <c r="E118" t="s">
        <v>387</v>
      </c>
      <c r="F118">
        <v>412</v>
      </c>
      <c r="G118">
        <v>1</v>
      </c>
      <c r="H118">
        <v>93</v>
      </c>
      <c r="I118" t="s">
        <v>386</v>
      </c>
      <c r="J118" t="s">
        <v>386</v>
      </c>
      <c r="K118">
        <v>10000</v>
      </c>
      <c r="L118">
        <v>537</v>
      </c>
      <c r="M118">
        <v>537</v>
      </c>
      <c r="N118">
        <v>846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9452</v>
      </c>
      <c r="V118">
        <v>19339.137205160001</v>
      </c>
      <c r="AH118">
        <f t="shared" si="14"/>
        <v>537</v>
      </c>
      <c r="AI118">
        <f t="shared" si="15"/>
        <v>846</v>
      </c>
      <c r="AJ118" t="str">
        <f t="shared" si="16"/>
        <v/>
      </c>
      <c r="AK118" t="str">
        <f t="shared" si="17"/>
        <v/>
      </c>
      <c r="AL118" t="str">
        <f t="shared" si="10"/>
        <v/>
      </c>
      <c r="AM118" t="str">
        <f t="shared" si="11"/>
        <v/>
      </c>
      <c r="AN118" t="str">
        <f t="shared" si="12"/>
        <v/>
      </c>
      <c r="AO118" t="str">
        <f t="shared" si="13"/>
        <v/>
      </c>
    </row>
    <row r="119" spans="1:41">
      <c r="A119">
        <f t="shared" si="18"/>
        <v>115</v>
      </c>
      <c r="B119" t="s">
        <v>273</v>
      </c>
      <c r="C119">
        <v>5</v>
      </c>
      <c r="D119">
        <v>5</v>
      </c>
      <c r="E119" t="s">
        <v>387</v>
      </c>
      <c r="F119">
        <v>412</v>
      </c>
      <c r="G119">
        <v>1</v>
      </c>
      <c r="H119">
        <v>94</v>
      </c>
      <c r="I119" t="s">
        <v>386</v>
      </c>
      <c r="J119" t="s">
        <v>386</v>
      </c>
      <c r="K119">
        <v>10000</v>
      </c>
      <c r="L119">
        <v>537</v>
      </c>
      <c r="M119">
        <v>537</v>
      </c>
      <c r="N119">
        <v>846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9452</v>
      </c>
      <c r="V119">
        <v>19339.137205160001</v>
      </c>
      <c r="AH119">
        <f t="shared" si="14"/>
        <v>537</v>
      </c>
      <c r="AI119">
        <f t="shared" si="15"/>
        <v>846</v>
      </c>
      <c r="AJ119" t="str">
        <f t="shared" si="16"/>
        <v/>
      </c>
      <c r="AK119" t="str">
        <f t="shared" si="17"/>
        <v/>
      </c>
      <c r="AL119" t="str">
        <f t="shared" si="10"/>
        <v/>
      </c>
      <c r="AM119" t="str">
        <f t="shared" si="11"/>
        <v/>
      </c>
      <c r="AN119" t="str">
        <f t="shared" si="12"/>
        <v/>
      </c>
      <c r="AO119" t="str">
        <f t="shared" si="13"/>
        <v/>
      </c>
    </row>
    <row r="120" spans="1:41">
      <c r="A120">
        <f t="shared" si="18"/>
        <v>116</v>
      </c>
      <c r="B120" t="s">
        <v>273</v>
      </c>
      <c r="C120">
        <v>5</v>
      </c>
      <c r="D120">
        <v>5</v>
      </c>
      <c r="E120" t="s">
        <v>387</v>
      </c>
      <c r="F120">
        <v>412</v>
      </c>
      <c r="G120">
        <v>1</v>
      </c>
      <c r="H120">
        <v>95</v>
      </c>
      <c r="I120" t="s">
        <v>386</v>
      </c>
      <c r="J120" t="s">
        <v>386</v>
      </c>
      <c r="K120">
        <v>10000</v>
      </c>
      <c r="L120">
        <v>537</v>
      </c>
      <c r="M120">
        <v>537</v>
      </c>
      <c r="N120">
        <v>846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9452</v>
      </c>
      <c r="V120">
        <v>19339.137205160001</v>
      </c>
      <c r="AH120">
        <f t="shared" si="14"/>
        <v>537</v>
      </c>
      <c r="AI120">
        <f t="shared" si="15"/>
        <v>846</v>
      </c>
      <c r="AJ120" t="str">
        <f t="shared" si="16"/>
        <v/>
      </c>
      <c r="AK120" t="str">
        <f t="shared" si="17"/>
        <v/>
      </c>
      <c r="AL120" t="str">
        <f t="shared" si="10"/>
        <v/>
      </c>
      <c r="AM120" t="str">
        <f t="shared" si="11"/>
        <v/>
      </c>
      <c r="AN120" t="str">
        <f t="shared" si="12"/>
        <v/>
      </c>
      <c r="AO120" t="str">
        <f t="shared" si="13"/>
        <v/>
      </c>
    </row>
    <row r="121" spans="1:41">
      <c r="A121">
        <f t="shared" si="18"/>
        <v>117</v>
      </c>
      <c r="B121" t="s">
        <v>273</v>
      </c>
      <c r="C121">
        <v>4</v>
      </c>
      <c r="D121">
        <v>4</v>
      </c>
      <c r="E121" t="s">
        <v>387</v>
      </c>
      <c r="F121">
        <v>412</v>
      </c>
      <c r="G121">
        <v>1</v>
      </c>
      <c r="H121">
        <v>96</v>
      </c>
      <c r="I121" t="s">
        <v>386</v>
      </c>
      <c r="J121" t="s">
        <v>386</v>
      </c>
      <c r="K121">
        <v>10000</v>
      </c>
      <c r="L121">
        <v>537</v>
      </c>
      <c r="M121">
        <v>537</v>
      </c>
      <c r="N121">
        <v>914</v>
      </c>
      <c r="O121">
        <v>0</v>
      </c>
      <c r="P121">
        <v>0</v>
      </c>
      <c r="Q121">
        <v>0</v>
      </c>
      <c r="R121">
        <v>0</v>
      </c>
      <c r="S121">
        <v>0</v>
      </c>
      <c r="T121" t="s">
        <v>386</v>
      </c>
      <c r="U121">
        <v>10199</v>
      </c>
      <c r="V121">
        <v>19020.804302780001</v>
      </c>
      <c r="AH121">
        <f t="shared" si="14"/>
        <v>537</v>
      </c>
      <c r="AI121">
        <f t="shared" si="15"/>
        <v>914</v>
      </c>
      <c r="AJ121" t="str">
        <f t="shared" si="16"/>
        <v/>
      </c>
      <c r="AK121" t="str">
        <f t="shared" si="17"/>
        <v/>
      </c>
      <c r="AL121" t="str">
        <f t="shared" si="10"/>
        <v/>
      </c>
      <c r="AM121" t="str">
        <f t="shared" si="11"/>
        <v/>
      </c>
      <c r="AN121" t="str">
        <f t="shared" si="12"/>
        <v/>
      </c>
      <c r="AO121" t="e">
        <f t="shared" si="13"/>
        <v>#VALUE!</v>
      </c>
    </row>
    <row r="122" spans="1:41">
      <c r="A122">
        <f t="shared" si="18"/>
        <v>118</v>
      </c>
      <c r="B122" t="s">
        <v>273</v>
      </c>
      <c r="C122">
        <v>3</v>
      </c>
      <c r="D122">
        <v>3</v>
      </c>
      <c r="E122" t="s">
        <v>387</v>
      </c>
      <c r="F122">
        <v>412</v>
      </c>
      <c r="G122">
        <v>1</v>
      </c>
      <c r="H122">
        <v>97</v>
      </c>
      <c r="I122" t="s">
        <v>386</v>
      </c>
      <c r="J122" t="s">
        <v>386</v>
      </c>
      <c r="K122">
        <v>10000</v>
      </c>
      <c r="L122">
        <v>537</v>
      </c>
      <c r="M122">
        <v>537</v>
      </c>
      <c r="N122">
        <v>1055</v>
      </c>
      <c r="O122">
        <v>0</v>
      </c>
      <c r="P122">
        <v>0</v>
      </c>
      <c r="Q122">
        <v>0</v>
      </c>
      <c r="R122">
        <v>0</v>
      </c>
      <c r="S122" t="s">
        <v>386</v>
      </c>
      <c r="T122" t="s">
        <v>386</v>
      </c>
      <c r="U122">
        <v>11746</v>
      </c>
      <c r="V122">
        <v>18702.471400400002</v>
      </c>
      <c r="AH122">
        <f t="shared" si="14"/>
        <v>537</v>
      </c>
      <c r="AI122">
        <f t="shared" si="15"/>
        <v>1055</v>
      </c>
      <c r="AJ122" t="str">
        <f t="shared" si="16"/>
        <v/>
      </c>
      <c r="AK122" t="str">
        <f t="shared" si="17"/>
        <v/>
      </c>
      <c r="AL122" t="str">
        <f t="shared" si="10"/>
        <v/>
      </c>
      <c r="AM122" t="str">
        <f t="shared" si="11"/>
        <v/>
      </c>
      <c r="AN122" t="e">
        <f t="shared" si="12"/>
        <v>#VALUE!</v>
      </c>
      <c r="AO122" t="e">
        <f t="shared" si="13"/>
        <v>#VALUE!</v>
      </c>
    </row>
    <row r="123" spans="1:41">
      <c r="A123">
        <f t="shared" si="18"/>
        <v>119</v>
      </c>
      <c r="B123" t="s">
        <v>273</v>
      </c>
      <c r="C123">
        <v>2</v>
      </c>
      <c r="D123">
        <v>2</v>
      </c>
      <c r="E123" t="s">
        <v>387</v>
      </c>
      <c r="F123">
        <v>412</v>
      </c>
      <c r="G123">
        <v>1</v>
      </c>
      <c r="H123">
        <v>98</v>
      </c>
      <c r="I123" t="s">
        <v>386</v>
      </c>
      <c r="J123" t="s">
        <v>386</v>
      </c>
      <c r="K123">
        <v>10000</v>
      </c>
      <c r="L123">
        <v>537</v>
      </c>
      <c r="M123">
        <v>537</v>
      </c>
      <c r="N123">
        <v>1023</v>
      </c>
      <c r="O123">
        <v>0</v>
      </c>
      <c r="P123">
        <v>0</v>
      </c>
      <c r="Q123">
        <v>0</v>
      </c>
      <c r="R123" t="s">
        <v>386</v>
      </c>
      <c r="S123" t="s">
        <v>386</v>
      </c>
      <c r="T123" t="s">
        <v>386</v>
      </c>
      <c r="U123">
        <v>7323</v>
      </c>
      <c r="V123">
        <v>18384.138498019998</v>
      </c>
      <c r="AH123">
        <f t="shared" si="14"/>
        <v>537</v>
      </c>
      <c r="AI123">
        <f t="shared" si="15"/>
        <v>1023</v>
      </c>
      <c r="AJ123" t="str">
        <f t="shared" si="16"/>
        <v/>
      </c>
      <c r="AK123" t="str">
        <f t="shared" si="17"/>
        <v/>
      </c>
      <c r="AL123" t="str">
        <f t="shared" si="10"/>
        <v/>
      </c>
      <c r="AM123" t="e">
        <f t="shared" si="11"/>
        <v>#VALUE!</v>
      </c>
      <c r="AN123" t="e">
        <f t="shared" si="12"/>
        <v>#VALUE!</v>
      </c>
      <c r="AO123" t="e">
        <f t="shared" si="13"/>
        <v>#VALUE!</v>
      </c>
    </row>
    <row r="124" spans="1:41">
      <c r="A124">
        <f t="shared" si="18"/>
        <v>120</v>
      </c>
      <c r="B124" t="s">
        <v>273</v>
      </c>
      <c r="C124">
        <v>1</v>
      </c>
      <c r="D124">
        <v>1</v>
      </c>
      <c r="E124" t="s">
        <v>387</v>
      </c>
      <c r="F124">
        <v>412</v>
      </c>
      <c r="G124">
        <v>1</v>
      </c>
      <c r="H124">
        <v>99</v>
      </c>
      <c r="I124" t="s">
        <v>386</v>
      </c>
      <c r="J124" t="s">
        <v>386</v>
      </c>
      <c r="K124">
        <v>10000</v>
      </c>
      <c r="L124">
        <v>537</v>
      </c>
      <c r="M124">
        <v>537</v>
      </c>
      <c r="N124">
        <v>1681</v>
      </c>
      <c r="O124">
        <v>0</v>
      </c>
      <c r="P124">
        <v>0</v>
      </c>
      <c r="Q124" t="s">
        <v>386</v>
      </c>
      <c r="R124" t="s">
        <v>386</v>
      </c>
      <c r="S124" t="s">
        <v>386</v>
      </c>
      <c r="T124" t="s">
        <v>386</v>
      </c>
      <c r="U124">
        <v>9991</v>
      </c>
      <c r="V124">
        <v>18065.805595639999</v>
      </c>
      <c r="AH124">
        <f t="shared" si="14"/>
        <v>537</v>
      </c>
      <c r="AI124">
        <f t="shared" si="15"/>
        <v>1681</v>
      </c>
      <c r="AJ124" t="str">
        <f t="shared" si="16"/>
        <v/>
      </c>
      <c r="AK124" t="str">
        <f t="shared" si="17"/>
        <v/>
      </c>
      <c r="AL124" t="e">
        <f t="shared" si="10"/>
        <v>#VALUE!</v>
      </c>
      <c r="AM124" t="e">
        <f t="shared" si="11"/>
        <v>#VALUE!</v>
      </c>
      <c r="AN124" t="e">
        <f t="shared" si="12"/>
        <v>#VALUE!</v>
      </c>
      <c r="AO124" t="e">
        <f t="shared" si="13"/>
        <v>#VALUE!</v>
      </c>
    </row>
    <row r="125" spans="1:41">
      <c r="A125">
        <f t="shared" si="18"/>
        <v>121</v>
      </c>
      <c r="B125" t="s">
        <v>273</v>
      </c>
      <c r="C125">
        <v>5</v>
      </c>
      <c r="D125">
        <v>5</v>
      </c>
      <c r="E125" t="s">
        <v>385</v>
      </c>
      <c r="F125">
        <v>412</v>
      </c>
      <c r="G125">
        <v>2</v>
      </c>
      <c r="H125">
        <v>30</v>
      </c>
      <c r="I125" t="s">
        <v>386</v>
      </c>
      <c r="J125" t="s">
        <v>386</v>
      </c>
      <c r="K125">
        <v>10000</v>
      </c>
      <c r="L125">
        <v>175</v>
      </c>
      <c r="M125">
        <v>175</v>
      </c>
      <c r="N125">
        <v>276</v>
      </c>
      <c r="O125">
        <v>0</v>
      </c>
      <c r="P125">
        <v>-64</v>
      </c>
      <c r="Q125">
        <v>-96</v>
      </c>
      <c r="R125">
        <v>-97</v>
      </c>
      <c r="S125">
        <v>-66</v>
      </c>
      <c r="T125">
        <v>0</v>
      </c>
      <c r="U125">
        <v>3086</v>
      </c>
      <c r="V125">
        <v>18267.268636019999</v>
      </c>
      <c r="AH125">
        <f t="shared" si="14"/>
        <v>175</v>
      </c>
      <c r="AI125">
        <f t="shared" si="15"/>
        <v>276</v>
      </c>
      <c r="AJ125" t="str">
        <f t="shared" si="16"/>
        <v/>
      </c>
      <c r="AK125">
        <f t="shared" si="17"/>
        <v>-64</v>
      </c>
      <c r="AL125">
        <f t="shared" si="10"/>
        <v>-96</v>
      </c>
      <c r="AM125">
        <f t="shared" si="11"/>
        <v>-97</v>
      </c>
      <c r="AN125">
        <f t="shared" si="12"/>
        <v>-66</v>
      </c>
      <c r="AO125" t="str">
        <f t="shared" si="13"/>
        <v/>
      </c>
    </row>
    <row r="126" spans="1:41">
      <c r="A126">
        <f t="shared" si="18"/>
        <v>122</v>
      </c>
      <c r="B126" t="s">
        <v>273</v>
      </c>
      <c r="C126">
        <v>5</v>
      </c>
      <c r="D126">
        <v>5</v>
      </c>
      <c r="E126" t="s">
        <v>385</v>
      </c>
      <c r="F126">
        <v>412</v>
      </c>
      <c r="G126">
        <v>2</v>
      </c>
      <c r="H126">
        <v>31</v>
      </c>
      <c r="I126" t="s">
        <v>386</v>
      </c>
      <c r="J126" t="s">
        <v>386</v>
      </c>
      <c r="K126">
        <v>10000</v>
      </c>
      <c r="L126">
        <v>173</v>
      </c>
      <c r="M126">
        <v>173</v>
      </c>
      <c r="N126">
        <v>272</v>
      </c>
      <c r="O126">
        <v>0</v>
      </c>
      <c r="P126">
        <v>-64</v>
      </c>
      <c r="Q126">
        <v>-97</v>
      </c>
      <c r="R126">
        <v>-98</v>
      </c>
      <c r="S126">
        <v>-66</v>
      </c>
      <c r="T126">
        <v>0</v>
      </c>
      <c r="U126">
        <v>3039</v>
      </c>
      <c r="V126">
        <v>18259.26195109</v>
      </c>
      <c r="AH126">
        <f t="shared" si="14"/>
        <v>173</v>
      </c>
      <c r="AI126">
        <f t="shared" si="15"/>
        <v>272</v>
      </c>
      <c r="AJ126" t="str">
        <f t="shared" si="16"/>
        <v/>
      </c>
      <c r="AK126">
        <f t="shared" si="17"/>
        <v>-64</v>
      </c>
      <c r="AL126">
        <f t="shared" si="10"/>
        <v>-97</v>
      </c>
      <c r="AM126">
        <f t="shared" si="11"/>
        <v>-98</v>
      </c>
      <c r="AN126">
        <f t="shared" si="12"/>
        <v>-66</v>
      </c>
      <c r="AO126" t="str">
        <f t="shared" si="13"/>
        <v/>
      </c>
    </row>
    <row r="127" spans="1:41">
      <c r="A127">
        <f t="shared" si="18"/>
        <v>123</v>
      </c>
      <c r="B127" t="s">
        <v>273</v>
      </c>
      <c r="C127">
        <v>5</v>
      </c>
      <c r="D127">
        <v>5</v>
      </c>
      <c r="E127" t="s">
        <v>385</v>
      </c>
      <c r="F127">
        <v>412</v>
      </c>
      <c r="G127">
        <v>2</v>
      </c>
      <c r="H127">
        <v>32</v>
      </c>
      <c r="I127" t="s">
        <v>386</v>
      </c>
      <c r="J127" t="s">
        <v>386</v>
      </c>
      <c r="K127">
        <v>10000</v>
      </c>
      <c r="L127">
        <v>170</v>
      </c>
      <c r="M127">
        <v>170</v>
      </c>
      <c r="N127">
        <v>268</v>
      </c>
      <c r="O127">
        <v>0</v>
      </c>
      <c r="P127">
        <v>-64</v>
      </c>
      <c r="Q127">
        <v>-98</v>
      </c>
      <c r="R127">
        <v>-99</v>
      </c>
      <c r="S127">
        <v>-67</v>
      </c>
      <c r="T127">
        <v>0</v>
      </c>
      <c r="U127">
        <v>2991</v>
      </c>
      <c r="V127">
        <v>18251.209620810001</v>
      </c>
      <c r="AH127">
        <f t="shared" si="14"/>
        <v>170</v>
      </c>
      <c r="AI127">
        <f t="shared" si="15"/>
        <v>268</v>
      </c>
      <c r="AJ127" t="str">
        <f t="shared" si="16"/>
        <v/>
      </c>
      <c r="AK127">
        <f t="shared" si="17"/>
        <v>-64</v>
      </c>
      <c r="AL127">
        <f t="shared" si="10"/>
        <v>-98</v>
      </c>
      <c r="AM127">
        <f t="shared" si="11"/>
        <v>-99</v>
      </c>
      <c r="AN127">
        <f t="shared" si="12"/>
        <v>-67</v>
      </c>
      <c r="AO127" t="str">
        <f t="shared" si="13"/>
        <v/>
      </c>
    </row>
    <row r="128" spans="1:41">
      <c r="A128">
        <f t="shared" si="18"/>
        <v>124</v>
      </c>
      <c r="B128" t="s">
        <v>273</v>
      </c>
      <c r="C128">
        <v>5</v>
      </c>
      <c r="D128">
        <v>5</v>
      </c>
      <c r="E128" t="s">
        <v>385</v>
      </c>
      <c r="F128">
        <v>412</v>
      </c>
      <c r="G128">
        <v>2</v>
      </c>
      <c r="H128">
        <v>33</v>
      </c>
      <c r="I128" t="s">
        <v>386</v>
      </c>
      <c r="J128" t="s">
        <v>386</v>
      </c>
      <c r="K128">
        <v>10000</v>
      </c>
      <c r="L128">
        <v>167</v>
      </c>
      <c r="M128">
        <v>167</v>
      </c>
      <c r="N128">
        <v>263</v>
      </c>
      <c r="O128">
        <v>0</v>
      </c>
      <c r="P128">
        <v>-65</v>
      </c>
      <c r="Q128">
        <v>-98</v>
      </c>
      <c r="R128">
        <v>-100</v>
      </c>
      <c r="S128">
        <v>-67</v>
      </c>
      <c r="T128">
        <v>0</v>
      </c>
      <c r="U128">
        <v>2943</v>
      </c>
      <c r="V128">
        <v>18243.09810453</v>
      </c>
      <c r="AH128">
        <f t="shared" si="14"/>
        <v>167</v>
      </c>
      <c r="AI128">
        <f t="shared" si="15"/>
        <v>263</v>
      </c>
      <c r="AJ128" t="str">
        <f t="shared" si="16"/>
        <v/>
      </c>
      <c r="AK128">
        <f t="shared" si="17"/>
        <v>-65</v>
      </c>
      <c r="AL128">
        <f t="shared" si="10"/>
        <v>-98</v>
      </c>
      <c r="AM128">
        <f t="shared" si="11"/>
        <v>-100</v>
      </c>
      <c r="AN128">
        <f t="shared" si="12"/>
        <v>-67</v>
      </c>
      <c r="AO128" t="str">
        <f t="shared" si="13"/>
        <v/>
      </c>
    </row>
    <row r="129" spans="1:41">
      <c r="A129">
        <f t="shared" si="18"/>
        <v>125</v>
      </c>
      <c r="B129" t="s">
        <v>273</v>
      </c>
      <c r="C129">
        <v>5</v>
      </c>
      <c r="D129">
        <v>5</v>
      </c>
      <c r="E129" t="s">
        <v>385</v>
      </c>
      <c r="F129">
        <v>412</v>
      </c>
      <c r="G129">
        <v>2</v>
      </c>
      <c r="H129">
        <v>34</v>
      </c>
      <c r="I129" t="s">
        <v>386</v>
      </c>
      <c r="J129" t="s">
        <v>386</v>
      </c>
      <c r="K129">
        <v>10000</v>
      </c>
      <c r="L129">
        <v>164</v>
      </c>
      <c r="M129">
        <v>164</v>
      </c>
      <c r="N129">
        <v>259</v>
      </c>
      <c r="O129">
        <v>0</v>
      </c>
      <c r="P129">
        <v>-65</v>
      </c>
      <c r="Q129">
        <v>-99</v>
      </c>
      <c r="R129">
        <v>-100</v>
      </c>
      <c r="S129">
        <v>-68</v>
      </c>
      <c r="T129">
        <v>0</v>
      </c>
      <c r="U129">
        <v>2895</v>
      </c>
      <c r="V129">
        <v>18234.925761490002</v>
      </c>
      <c r="AH129">
        <f t="shared" si="14"/>
        <v>164</v>
      </c>
      <c r="AI129">
        <f t="shared" si="15"/>
        <v>259</v>
      </c>
      <c r="AJ129" t="str">
        <f t="shared" si="16"/>
        <v/>
      </c>
      <c r="AK129">
        <f t="shared" si="17"/>
        <v>-65</v>
      </c>
      <c r="AL129">
        <f t="shared" si="10"/>
        <v>-99</v>
      </c>
      <c r="AM129">
        <f t="shared" si="11"/>
        <v>-100</v>
      </c>
      <c r="AN129">
        <f t="shared" si="12"/>
        <v>-68</v>
      </c>
      <c r="AO129" t="str">
        <f t="shared" si="13"/>
        <v/>
      </c>
    </row>
    <row r="130" spans="1:41">
      <c r="A130">
        <f t="shared" si="18"/>
        <v>126</v>
      </c>
      <c r="B130" t="s">
        <v>273</v>
      </c>
      <c r="C130">
        <v>5</v>
      </c>
      <c r="D130">
        <v>5</v>
      </c>
      <c r="E130" t="s">
        <v>385</v>
      </c>
      <c r="F130">
        <v>412</v>
      </c>
      <c r="G130">
        <v>2</v>
      </c>
      <c r="H130">
        <v>35</v>
      </c>
      <c r="I130" t="s">
        <v>386</v>
      </c>
      <c r="J130" t="s">
        <v>386</v>
      </c>
      <c r="K130">
        <v>10000</v>
      </c>
      <c r="L130">
        <v>162</v>
      </c>
      <c r="M130">
        <v>162</v>
      </c>
      <c r="N130">
        <v>255</v>
      </c>
      <c r="O130">
        <v>0</v>
      </c>
      <c r="P130">
        <v>-66</v>
      </c>
      <c r="Q130">
        <v>-100</v>
      </c>
      <c r="R130">
        <v>-101</v>
      </c>
      <c r="S130">
        <v>-68</v>
      </c>
      <c r="T130">
        <v>0</v>
      </c>
      <c r="U130">
        <v>2845</v>
      </c>
      <c r="V130">
        <v>18226.704766930001</v>
      </c>
      <c r="AH130">
        <f t="shared" si="14"/>
        <v>162</v>
      </c>
      <c r="AI130">
        <f t="shared" si="15"/>
        <v>255</v>
      </c>
      <c r="AJ130" t="str">
        <f t="shared" si="16"/>
        <v/>
      </c>
      <c r="AK130">
        <f t="shared" si="17"/>
        <v>-66</v>
      </c>
      <c r="AL130">
        <f t="shared" si="10"/>
        <v>-100</v>
      </c>
      <c r="AM130">
        <f t="shared" si="11"/>
        <v>-101</v>
      </c>
      <c r="AN130">
        <f t="shared" si="12"/>
        <v>-68</v>
      </c>
      <c r="AO130" t="str">
        <f t="shared" si="13"/>
        <v/>
      </c>
    </row>
    <row r="131" spans="1:41">
      <c r="A131">
        <f t="shared" si="18"/>
        <v>127</v>
      </c>
      <c r="B131" t="s">
        <v>273</v>
      </c>
      <c r="C131">
        <v>5</v>
      </c>
      <c r="D131">
        <v>5</v>
      </c>
      <c r="E131" t="s">
        <v>385</v>
      </c>
      <c r="F131">
        <v>412</v>
      </c>
      <c r="G131">
        <v>2</v>
      </c>
      <c r="H131">
        <v>36</v>
      </c>
      <c r="I131" t="s">
        <v>386</v>
      </c>
      <c r="J131" t="s">
        <v>386</v>
      </c>
      <c r="K131">
        <v>10000</v>
      </c>
      <c r="L131">
        <v>159</v>
      </c>
      <c r="M131">
        <v>159</v>
      </c>
      <c r="N131">
        <v>250</v>
      </c>
      <c r="O131">
        <v>0</v>
      </c>
      <c r="P131">
        <v>-66</v>
      </c>
      <c r="Q131">
        <v>-100</v>
      </c>
      <c r="R131">
        <v>-101</v>
      </c>
      <c r="S131">
        <v>-68</v>
      </c>
      <c r="T131">
        <v>0</v>
      </c>
      <c r="U131">
        <v>2797</v>
      </c>
      <c r="V131">
        <v>18218.453916890001</v>
      </c>
      <c r="AH131">
        <f t="shared" si="14"/>
        <v>159</v>
      </c>
      <c r="AI131">
        <f t="shared" si="15"/>
        <v>250</v>
      </c>
      <c r="AJ131" t="str">
        <f t="shared" si="16"/>
        <v/>
      </c>
      <c r="AK131">
        <f t="shared" si="17"/>
        <v>-66</v>
      </c>
      <c r="AL131">
        <f t="shared" si="10"/>
        <v>-100</v>
      </c>
      <c r="AM131">
        <f t="shared" si="11"/>
        <v>-101</v>
      </c>
      <c r="AN131">
        <f t="shared" si="12"/>
        <v>-68</v>
      </c>
      <c r="AO131" t="str">
        <f t="shared" si="13"/>
        <v/>
      </c>
    </row>
    <row r="132" spans="1:41">
      <c r="A132">
        <f t="shared" si="18"/>
        <v>128</v>
      </c>
      <c r="B132" t="s">
        <v>273</v>
      </c>
      <c r="C132">
        <v>5</v>
      </c>
      <c r="D132">
        <v>5</v>
      </c>
      <c r="E132" t="s">
        <v>385</v>
      </c>
      <c r="F132">
        <v>412</v>
      </c>
      <c r="G132">
        <v>2</v>
      </c>
      <c r="H132">
        <v>37</v>
      </c>
      <c r="I132" t="s">
        <v>386</v>
      </c>
      <c r="J132" t="s">
        <v>386</v>
      </c>
      <c r="K132">
        <v>10000</v>
      </c>
      <c r="L132">
        <v>156</v>
      </c>
      <c r="M132">
        <v>156</v>
      </c>
      <c r="N132">
        <v>246</v>
      </c>
      <c r="O132">
        <v>0</v>
      </c>
      <c r="P132">
        <v>-66</v>
      </c>
      <c r="Q132">
        <v>-101</v>
      </c>
      <c r="R132">
        <v>-102</v>
      </c>
      <c r="S132">
        <v>-69</v>
      </c>
      <c r="T132">
        <v>0</v>
      </c>
      <c r="U132">
        <v>2747</v>
      </c>
      <c r="V132">
        <v>18210.122418219999</v>
      </c>
      <c r="AH132">
        <f t="shared" si="14"/>
        <v>156</v>
      </c>
      <c r="AI132">
        <f t="shared" si="15"/>
        <v>246</v>
      </c>
      <c r="AJ132" t="str">
        <f t="shared" si="16"/>
        <v/>
      </c>
      <c r="AK132">
        <f t="shared" si="17"/>
        <v>-66</v>
      </c>
      <c r="AL132">
        <f t="shared" si="10"/>
        <v>-101</v>
      </c>
      <c r="AM132">
        <f t="shared" si="11"/>
        <v>-102</v>
      </c>
      <c r="AN132">
        <f t="shared" si="12"/>
        <v>-69</v>
      </c>
      <c r="AO132" t="str">
        <f t="shared" si="13"/>
        <v/>
      </c>
    </row>
    <row r="133" spans="1:41">
      <c r="A133">
        <f t="shared" si="18"/>
        <v>129</v>
      </c>
      <c r="B133" t="s">
        <v>273</v>
      </c>
      <c r="C133">
        <v>5</v>
      </c>
      <c r="D133">
        <v>5</v>
      </c>
      <c r="E133" t="s">
        <v>385</v>
      </c>
      <c r="F133">
        <v>412</v>
      </c>
      <c r="G133">
        <v>2</v>
      </c>
      <c r="H133">
        <v>38</v>
      </c>
      <c r="I133" t="s">
        <v>386</v>
      </c>
      <c r="J133" t="s">
        <v>386</v>
      </c>
      <c r="K133">
        <v>10000</v>
      </c>
      <c r="L133">
        <v>153</v>
      </c>
      <c r="M133">
        <v>153</v>
      </c>
      <c r="N133">
        <v>241</v>
      </c>
      <c r="O133">
        <v>0</v>
      </c>
      <c r="P133">
        <v>-67</v>
      </c>
      <c r="Q133">
        <v>-102</v>
      </c>
      <c r="R133">
        <v>-104</v>
      </c>
      <c r="S133">
        <v>-71</v>
      </c>
      <c r="T133">
        <v>0</v>
      </c>
      <c r="U133">
        <v>2697</v>
      </c>
      <c r="V133">
        <v>18201.635449130001</v>
      </c>
      <c r="AH133">
        <f t="shared" si="14"/>
        <v>153</v>
      </c>
      <c r="AI133">
        <f t="shared" si="15"/>
        <v>241</v>
      </c>
      <c r="AJ133" t="str">
        <f t="shared" si="16"/>
        <v/>
      </c>
      <c r="AK133">
        <f t="shared" si="17"/>
        <v>-67</v>
      </c>
      <c r="AL133">
        <f t="shared" ref="AL133:AL196" si="19">IF(Q133=AC133, "", Q133-AC133)</f>
        <v>-102</v>
      </c>
      <c r="AM133">
        <f t="shared" ref="AM133:AM196" si="20">IF(R133=AD133, "", R133-AD133)</f>
        <v>-104</v>
      </c>
      <c r="AN133">
        <f t="shared" ref="AN133:AN196" si="21">IF(S133=AE133, "", S133-AE133)</f>
        <v>-71</v>
      </c>
      <c r="AO133" t="str">
        <f t="shared" ref="AO133:AO196" si="22">IF(T133=AF133, "", T133-AF133)</f>
        <v/>
      </c>
    </row>
    <row r="134" spans="1:41">
      <c r="A134">
        <f t="shared" si="18"/>
        <v>130</v>
      </c>
      <c r="B134" t="s">
        <v>273</v>
      </c>
      <c r="C134">
        <v>5</v>
      </c>
      <c r="D134">
        <v>5</v>
      </c>
      <c r="E134" t="s">
        <v>385</v>
      </c>
      <c r="F134">
        <v>412</v>
      </c>
      <c r="G134">
        <v>2</v>
      </c>
      <c r="H134">
        <v>39</v>
      </c>
      <c r="I134" t="s">
        <v>386</v>
      </c>
      <c r="J134" t="s">
        <v>386</v>
      </c>
      <c r="K134">
        <v>10000</v>
      </c>
      <c r="L134">
        <v>150</v>
      </c>
      <c r="M134">
        <v>150</v>
      </c>
      <c r="N134">
        <v>237</v>
      </c>
      <c r="O134">
        <v>0</v>
      </c>
      <c r="P134">
        <v>-68</v>
      </c>
      <c r="Q134">
        <v>-104</v>
      </c>
      <c r="R134">
        <v>-105</v>
      </c>
      <c r="S134">
        <v>-70</v>
      </c>
      <c r="T134">
        <v>0</v>
      </c>
      <c r="U134">
        <v>2647</v>
      </c>
      <c r="V134">
        <v>18193.174117260001</v>
      </c>
      <c r="AH134">
        <f t="shared" ref="AH134:AH197" si="23">IF(L134=Y134, "",L134-Y134)</f>
        <v>150</v>
      </c>
      <c r="AI134">
        <f t="shared" ref="AI134:AI197" si="24">IF(N134=Z134, "", N134-Z134)</f>
        <v>237</v>
      </c>
      <c r="AJ134" t="str">
        <f t="shared" ref="AJ134:AJ197" si="25">IF(O134=AA134, "", O134-AA134)</f>
        <v/>
      </c>
      <c r="AK134">
        <f t="shared" ref="AK134:AK197" si="26">IF(P134=AB134, "", P134-AB134)</f>
        <v>-68</v>
      </c>
      <c r="AL134">
        <f t="shared" si="19"/>
        <v>-104</v>
      </c>
      <c r="AM134">
        <f t="shared" si="20"/>
        <v>-105</v>
      </c>
      <c r="AN134">
        <f t="shared" si="21"/>
        <v>-70</v>
      </c>
      <c r="AO134" t="str">
        <f t="shared" si="22"/>
        <v/>
      </c>
    </row>
    <row r="135" spans="1:41">
      <c r="A135">
        <f t="shared" ref="A135:A198" si="27">A134+1</f>
        <v>131</v>
      </c>
      <c r="B135" t="s">
        <v>273</v>
      </c>
      <c r="C135">
        <v>5</v>
      </c>
      <c r="D135">
        <v>5</v>
      </c>
      <c r="E135" t="s">
        <v>385</v>
      </c>
      <c r="F135">
        <v>412</v>
      </c>
      <c r="G135">
        <v>2</v>
      </c>
      <c r="H135">
        <v>40</v>
      </c>
      <c r="I135" t="s">
        <v>386</v>
      </c>
      <c r="J135" t="s">
        <v>386</v>
      </c>
      <c r="K135">
        <v>10000</v>
      </c>
      <c r="L135">
        <v>148</v>
      </c>
      <c r="M135">
        <v>148</v>
      </c>
      <c r="N135">
        <v>233</v>
      </c>
      <c r="O135">
        <v>0</v>
      </c>
      <c r="P135">
        <v>-66</v>
      </c>
      <c r="Q135">
        <v>-99</v>
      </c>
      <c r="R135">
        <v>-95</v>
      </c>
      <c r="S135">
        <v>-57</v>
      </c>
      <c r="T135">
        <v>0</v>
      </c>
      <c r="U135">
        <v>2601</v>
      </c>
      <c r="V135">
        <v>18185.384419350001</v>
      </c>
      <c r="AH135">
        <f t="shared" si="23"/>
        <v>148</v>
      </c>
      <c r="AI135">
        <f t="shared" si="24"/>
        <v>233</v>
      </c>
      <c r="AJ135" t="str">
        <f t="shared" si="25"/>
        <v/>
      </c>
      <c r="AK135">
        <f t="shared" si="26"/>
        <v>-66</v>
      </c>
      <c r="AL135">
        <f t="shared" si="19"/>
        <v>-99</v>
      </c>
      <c r="AM135">
        <f t="shared" si="20"/>
        <v>-95</v>
      </c>
      <c r="AN135">
        <f t="shared" si="21"/>
        <v>-57</v>
      </c>
      <c r="AO135" t="str">
        <f t="shared" si="22"/>
        <v/>
      </c>
    </row>
    <row r="136" spans="1:41">
      <c r="A136">
        <f t="shared" si="27"/>
        <v>132</v>
      </c>
      <c r="B136" t="s">
        <v>273</v>
      </c>
      <c r="C136">
        <v>5</v>
      </c>
      <c r="D136">
        <v>5</v>
      </c>
      <c r="E136" t="s">
        <v>385</v>
      </c>
      <c r="F136">
        <v>412</v>
      </c>
      <c r="G136">
        <v>2</v>
      </c>
      <c r="H136">
        <v>41</v>
      </c>
      <c r="I136" t="s">
        <v>386</v>
      </c>
      <c r="J136" t="s">
        <v>386</v>
      </c>
      <c r="K136">
        <v>10000</v>
      </c>
      <c r="L136">
        <v>146</v>
      </c>
      <c r="M136">
        <v>146</v>
      </c>
      <c r="N136">
        <v>229</v>
      </c>
      <c r="O136">
        <v>0</v>
      </c>
      <c r="P136">
        <v>-56</v>
      </c>
      <c r="Q136">
        <v>-76</v>
      </c>
      <c r="R136">
        <v>-63</v>
      </c>
      <c r="S136">
        <v>-31</v>
      </c>
      <c r="T136">
        <v>0</v>
      </c>
      <c r="U136">
        <v>2564</v>
      </c>
      <c r="V136">
        <v>18179.28500421</v>
      </c>
      <c r="AH136">
        <f t="shared" si="23"/>
        <v>146</v>
      </c>
      <c r="AI136">
        <f t="shared" si="24"/>
        <v>229</v>
      </c>
      <c r="AJ136" t="str">
        <f t="shared" si="25"/>
        <v/>
      </c>
      <c r="AK136">
        <f t="shared" si="26"/>
        <v>-56</v>
      </c>
      <c r="AL136">
        <f t="shared" si="19"/>
        <v>-76</v>
      </c>
      <c r="AM136">
        <f t="shared" si="20"/>
        <v>-63</v>
      </c>
      <c r="AN136">
        <f t="shared" si="21"/>
        <v>-31</v>
      </c>
      <c r="AO136" t="str">
        <f t="shared" si="22"/>
        <v/>
      </c>
    </row>
    <row r="137" spans="1:41">
      <c r="A137">
        <f t="shared" si="27"/>
        <v>133</v>
      </c>
      <c r="B137" t="s">
        <v>273</v>
      </c>
      <c r="C137">
        <v>5</v>
      </c>
      <c r="D137">
        <v>5</v>
      </c>
      <c r="E137" t="s">
        <v>385</v>
      </c>
      <c r="F137">
        <v>412</v>
      </c>
      <c r="G137">
        <v>2</v>
      </c>
      <c r="H137">
        <v>42</v>
      </c>
      <c r="I137" t="s">
        <v>386</v>
      </c>
      <c r="J137" t="s">
        <v>386</v>
      </c>
      <c r="K137">
        <v>10000</v>
      </c>
      <c r="L137">
        <v>144</v>
      </c>
      <c r="M137">
        <v>144</v>
      </c>
      <c r="N137">
        <v>228</v>
      </c>
      <c r="O137">
        <v>0</v>
      </c>
      <c r="P137">
        <v>-32</v>
      </c>
      <c r="Q137">
        <v>-32</v>
      </c>
      <c r="R137">
        <v>-12</v>
      </c>
      <c r="S137">
        <v>6</v>
      </c>
      <c r="T137">
        <v>0</v>
      </c>
      <c r="U137">
        <v>2545</v>
      </c>
      <c r="V137">
        <v>18175.998181210001</v>
      </c>
      <c r="AH137">
        <f t="shared" si="23"/>
        <v>144</v>
      </c>
      <c r="AI137">
        <f t="shared" si="24"/>
        <v>228</v>
      </c>
      <c r="AJ137" t="str">
        <f t="shared" si="25"/>
        <v/>
      </c>
      <c r="AK137">
        <f t="shared" si="26"/>
        <v>-32</v>
      </c>
      <c r="AL137">
        <f t="shared" si="19"/>
        <v>-32</v>
      </c>
      <c r="AM137">
        <f t="shared" si="20"/>
        <v>-12</v>
      </c>
      <c r="AN137">
        <f t="shared" si="21"/>
        <v>6</v>
      </c>
      <c r="AO137" t="str">
        <f t="shared" si="22"/>
        <v/>
      </c>
    </row>
    <row r="138" spans="1:41">
      <c r="A138">
        <f t="shared" si="27"/>
        <v>134</v>
      </c>
      <c r="B138" t="s">
        <v>273</v>
      </c>
      <c r="C138">
        <v>5</v>
      </c>
      <c r="D138">
        <v>5</v>
      </c>
      <c r="E138" t="s">
        <v>385</v>
      </c>
      <c r="F138">
        <v>412</v>
      </c>
      <c r="G138">
        <v>2</v>
      </c>
      <c r="H138">
        <v>43</v>
      </c>
      <c r="I138" t="s">
        <v>386</v>
      </c>
      <c r="J138" t="s">
        <v>386</v>
      </c>
      <c r="K138">
        <v>10000</v>
      </c>
      <c r="L138">
        <v>145</v>
      </c>
      <c r="M138">
        <v>145</v>
      </c>
      <c r="N138">
        <v>228</v>
      </c>
      <c r="O138">
        <v>0</v>
      </c>
      <c r="P138">
        <v>3</v>
      </c>
      <c r="Q138">
        <v>24</v>
      </c>
      <c r="R138">
        <v>45</v>
      </c>
      <c r="S138">
        <v>41</v>
      </c>
      <c r="T138">
        <v>0</v>
      </c>
      <c r="U138">
        <v>2547</v>
      </c>
      <c r="V138">
        <v>18176.336418300001</v>
      </c>
      <c r="AH138">
        <f t="shared" si="23"/>
        <v>145</v>
      </c>
      <c r="AI138">
        <f t="shared" si="24"/>
        <v>228</v>
      </c>
      <c r="AJ138" t="str">
        <f t="shared" si="25"/>
        <v/>
      </c>
      <c r="AK138">
        <f t="shared" si="26"/>
        <v>3</v>
      </c>
      <c r="AL138">
        <f t="shared" si="19"/>
        <v>24</v>
      </c>
      <c r="AM138">
        <f t="shared" si="20"/>
        <v>45</v>
      </c>
      <c r="AN138">
        <f t="shared" si="21"/>
        <v>41</v>
      </c>
      <c r="AO138" t="str">
        <f t="shared" si="22"/>
        <v/>
      </c>
    </row>
    <row r="139" spans="1:41">
      <c r="A139">
        <f t="shared" si="27"/>
        <v>135</v>
      </c>
      <c r="B139" t="s">
        <v>273</v>
      </c>
      <c r="C139">
        <v>5</v>
      </c>
      <c r="D139">
        <v>5</v>
      </c>
      <c r="E139" t="s">
        <v>385</v>
      </c>
      <c r="F139">
        <v>412</v>
      </c>
      <c r="G139">
        <v>2</v>
      </c>
      <c r="H139">
        <v>44</v>
      </c>
      <c r="I139" t="s">
        <v>386</v>
      </c>
      <c r="J139" t="s">
        <v>386</v>
      </c>
      <c r="K139">
        <v>10000</v>
      </c>
      <c r="L139">
        <v>146</v>
      </c>
      <c r="M139">
        <v>146</v>
      </c>
      <c r="N139">
        <v>230</v>
      </c>
      <c r="O139">
        <v>0</v>
      </c>
      <c r="P139">
        <v>38</v>
      </c>
      <c r="Q139">
        <v>75</v>
      </c>
      <c r="R139">
        <v>89</v>
      </c>
      <c r="S139">
        <v>66</v>
      </c>
      <c r="T139">
        <v>0</v>
      </c>
      <c r="U139">
        <v>2571</v>
      </c>
      <c r="V139">
        <v>18180.367860620001</v>
      </c>
      <c r="AH139">
        <f t="shared" si="23"/>
        <v>146</v>
      </c>
      <c r="AI139">
        <f t="shared" si="24"/>
        <v>230</v>
      </c>
      <c r="AJ139" t="str">
        <f t="shared" si="25"/>
        <v/>
      </c>
      <c r="AK139">
        <f t="shared" si="26"/>
        <v>38</v>
      </c>
      <c r="AL139">
        <f t="shared" si="19"/>
        <v>75</v>
      </c>
      <c r="AM139">
        <f t="shared" si="20"/>
        <v>89</v>
      </c>
      <c r="AN139">
        <f t="shared" si="21"/>
        <v>66</v>
      </c>
      <c r="AO139" t="str">
        <f t="shared" si="22"/>
        <v/>
      </c>
    </row>
    <row r="140" spans="1:41">
      <c r="A140">
        <f t="shared" si="27"/>
        <v>136</v>
      </c>
      <c r="B140" t="s">
        <v>273</v>
      </c>
      <c r="C140">
        <v>5</v>
      </c>
      <c r="D140">
        <v>5</v>
      </c>
      <c r="E140" t="s">
        <v>385</v>
      </c>
      <c r="F140">
        <v>412</v>
      </c>
      <c r="G140">
        <v>2</v>
      </c>
      <c r="H140">
        <v>45</v>
      </c>
      <c r="I140" t="s">
        <v>386</v>
      </c>
      <c r="J140" t="s">
        <v>386</v>
      </c>
      <c r="K140">
        <v>10000</v>
      </c>
      <c r="L140">
        <v>148</v>
      </c>
      <c r="M140">
        <v>148</v>
      </c>
      <c r="N140">
        <v>234</v>
      </c>
      <c r="O140">
        <v>0</v>
      </c>
      <c r="P140">
        <v>65</v>
      </c>
      <c r="Q140">
        <v>107</v>
      </c>
      <c r="R140">
        <v>113</v>
      </c>
      <c r="S140">
        <v>77</v>
      </c>
      <c r="T140">
        <v>0</v>
      </c>
      <c r="U140">
        <v>2612</v>
      </c>
      <c r="V140">
        <v>18187.367504739999</v>
      </c>
      <c r="AH140">
        <f t="shared" si="23"/>
        <v>148</v>
      </c>
      <c r="AI140">
        <f t="shared" si="24"/>
        <v>234</v>
      </c>
      <c r="AJ140" t="str">
        <f t="shared" si="25"/>
        <v/>
      </c>
      <c r="AK140">
        <f t="shared" si="26"/>
        <v>65</v>
      </c>
      <c r="AL140">
        <f t="shared" si="19"/>
        <v>107</v>
      </c>
      <c r="AM140">
        <f t="shared" si="20"/>
        <v>113</v>
      </c>
      <c r="AN140">
        <f t="shared" si="21"/>
        <v>77</v>
      </c>
      <c r="AO140" t="str">
        <f t="shared" si="22"/>
        <v/>
      </c>
    </row>
    <row r="141" spans="1:41">
      <c r="A141">
        <f t="shared" si="27"/>
        <v>137</v>
      </c>
      <c r="B141" t="s">
        <v>273</v>
      </c>
      <c r="C141">
        <v>5</v>
      </c>
      <c r="D141">
        <v>5</v>
      </c>
      <c r="E141" t="s">
        <v>385</v>
      </c>
      <c r="F141">
        <v>412</v>
      </c>
      <c r="G141">
        <v>2</v>
      </c>
      <c r="H141">
        <v>46</v>
      </c>
      <c r="I141" t="s">
        <v>386</v>
      </c>
      <c r="J141" t="s">
        <v>386</v>
      </c>
      <c r="K141">
        <v>10000</v>
      </c>
      <c r="L141">
        <v>151</v>
      </c>
      <c r="M141">
        <v>151</v>
      </c>
      <c r="N141">
        <v>238</v>
      </c>
      <c r="O141">
        <v>0</v>
      </c>
      <c r="P141">
        <v>77</v>
      </c>
      <c r="Q141">
        <v>118</v>
      </c>
      <c r="R141">
        <v>119</v>
      </c>
      <c r="S141">
        <v>79</v>
      </c>
      <c r="T141">
        <v>0</v>
      </c>
      <c r="U141">
        <v>2665</v>
      </c>
      <c r="V141">
        <v>18196.20612304</v>
      </c>
      <c r="AH141">
        <f t="shared" si="23"/>
        <v>151</v>
      </c>
      <c r="AI141">
        <f t="shared" si="24"/>
        <v>238</v>
      </c>
      <c r="AJ141" t="str">
        <f t="shared" si="25"/>
        <v/>
      </c>
      <c r="AK141">
        <f t="shared" si="26"/>
        <v>77</v>
      </c>
      <c r="AL141">
        <f t="shared" si="19"/>
        <v>118</v>
      </c>
      <c r="AM141">
        <f t="shared" si="20"/>
        <v>119</v>
      </c>
      <c r="AN141">
        <f t="shared" si="21"/>
        <v>79</v>
      </c>
      <c r="AO141" t="str">
        <f t="shared" si="22"/>
        <v/>
      </c>
    </row>
    <row r="142" spans="1:41">
      <c r="A142">
        <f t="shared" si="27"/>
        <v>138</v>
      </c>
      <c r="B142" t="s">
        <v>273</v>
      </c>
      <c r="C142">
        <v>5</v>
      </c>
      <c r="D142">
        <v>5</v>
      </c>
      <c r="E142" t="s">
        <v>385</v>
      </c>
      <c r="F142">
        <v>412</v>
      </c>
      <c r="G142">
        <v>2</v>
      </c>
      <c r="H142">
        <v>47</v>
      </c>
      <c r="I142" t="s">
        <v>386</v>
      </c>
      <c r="J142" t="s">
        <v>386</v>
      </c>
      <c r="K142">
        <v>10000</v>
      </c>
      <c r="L142">
        <v>155</v>
      </c>
      <c r="M142">
        <v>155</v>
      </c>
      <c r="N142">
        <v>244</v>
      </c>
      <c r="O142">
        <v>0</v>
      </c>
      <c r="P142">
        <v>79</v>
      </c>
      <c r="Q142">
        <v>117</v>
      </c>
      <c r="R142">
        <v>117</v>
      </c>
      <c r="S142">
        <v>78</v>
      </c>
      <c r="T142">
        <v>0</v>
      </c>
      <c r="U142">
        <v>2722</v>
      </c>
      <c r="V142">
        <v>18205.809000419998</v>
      </c>
      <c r="AH142">
        <f t="shared" si="23"/>
        <v>155</v>
      </c>
      <c r="AI142">
        <f t="shared" si="24"/>
        <v>244</v>
      </c>
      <c r="AJ142" t="str">
        <f t="shared" si="25"/>
        <v/>
      </c>
      <c r="AK142">
        <f t="shared" si="26"/>
        <v>79</v>
      </c>
      <c r="AL142">
        <f t="shared" si="19"/>
        <v>117</v>
      </c>
      <c r="AM142">
        <f t="shared" si="20"/>
        <v>117</v>
      </c>
      <c r="AN142">
        <f t="shared" si="21"/>
        <v>78</v>
      </c>
      <c r="AO142" t="str">
        <f t="shared" si="22"/>
        <v/>
      </c>
    </row>
    <row r="143" spans="1:41">
      <c r="A143">
        <f t="shared" si="27"/>
        <v>139</v>
      </c>
      <c r="B143" t="s">
        <v>273</v>
      </c>
      <c r="C143">
        <v>5</v>
      </c>
      <c r="D143">
        <v>5</v>
      </c>
      <c r="E143" t="s">
        <v>385</v>
      </c>
      <c r="F143">
        <v>412</v>
      </c>
      <c r="G143">
        <v>2</v>
      </c>
      <c r="H143">
        <v>48</v>
      </c>
      <c r="I143" t="s">
        <v>386</v>
      </c>
      <c r="J143" t="s">
        <v>386</v>
      </c>
      <c r="K143">
        <v>10000</v>
      </c>
      <c r="L143">
        <v>158</v>
      </c>
      <c r="M143">
        <v>158</v>
      </c>
      <c r="N143">
        <v>249</v>
      </c>
      <c r="O143">
        <v>0</v>
      </c>
      <c r="P143">
        <v>76</v>
      </c>
      <c r="Q143">
        <v>115</v>
      </c>
      <c r="R143">
        <v>116</v>
      </c>
      <c r="S143">
        <v>78</v>
      </c>
      <c r="T143">
        <v>0</v>
      </c>
      <c r="U143">
        <v>2779</v>
      </c>
      <c r="V143">
        <v>18215.480853609999</v>
      </c>
      <c r="AH143">
        <f t="shared" si="23"/>
        <v>158</v>
      </c>
      <c r="AI143">
        <f t="shared" si="24"/>
        <v>249</v>
      </c>
      <c r="AJ143" t="str">
        <f t="shared" si="25"/>
        <v/>
      </c>
      <c r="AK143">
        <f t="shared" si="26"/>
        <v>76</v>
      </c>
      <c r="AL143">
        <f t="shared" si="19"/>
        <v>115</v>
      </c>
      <c r="AM143">
        <f t="shared" si="20"/>
        <v>116</v>
      </c>
      <c r="AN143">
        <f t="shared" si="21"/>
        <v>78</v>
      </c>
      <c r="AO143" t="str">
        <f t="shared" si="22"/>
        <v/>
      </c>
    </row>
    <row r="144" spans="1:41">
      <c r="A144">
        <f t="shared" si="27"/>
        <v>140</v>
      </c>
      <c r="B144" t="s">
        <v>273</v>
      </c>
      <c r="C144">
        <v>5</v>
      </c>
      <c r="D144">
        <v>5</v>
      </c>
      <c r="E144" t="s">
        <v>385</v>
      </c>
      <c r="F144">
        <v>412</v>
      </c>
      <c r="G144">
        <v>2</v>
      </c>
      <c r="H144">
        <v>49</v>
      </c>
      <c r="I144" t="s">
        <v>386</v>
      </c>
      <c r="J144" t="s">
        <v>386</v>
      </c>
      <c r="K144">
        <v>10000</v>
      </c>
      <c r="L144">
        <v>161</v>
      </c>
      <c r="M144">
        <v>161</v>
      </c>
      <c r="N144">
        <v>254</v>
      </c>
      <c r="O144">
        <v>0</v>
      </c>
      <c r="P144">
        <v>75</v>
      </c>
      <c r="Q144">
        <v>114</v>
      </c>
      <c r="R144">
        <v>115</v>
      </c>
      <c r="S144">
        <v>77</v>
      </c>
      <c r="T144">
        <v>0</v>
      </c>
      <c r="U144">
        <v>2836</v>
      </c>
      <c r="V144">
        <v>18224.979473529998</v>
      </c>
      <c r="AH144">
        <f t="shared" si="23"/>
        <v>161</v>
      </c>
      <c r="AI144">
        <f t="shared" si="24"/>
        <v>254</v>
      </c>
      <c r="AJ144" t="str">
        <f t="shared" si="25"/>
        <v/>
      </c>
      <c r="AK144">
        <f t="shared" si="26"/>
        <v>75</v>
      </c>
      <c r="AL144">
        <f t="shared" si="19"/>
        <v>114</v>
      </c>
      <c r="AM144">
        <f t="shared" si="20"/>
        <v>115</v>
      </c>
      <c r="AN144">
        <f t="shared" si="21"/>
        <v>77</v>
      </c>
      <c r="AO144" t="str">
        <f t="shared" si="22"/>
        <v/>
      </c>
    </row>
    <row r="145" spans="1:41">
      <c r="A145">
        <f t="shared" si="27"/>
        <v>141</v>
      </c>
      <c r="B145" t="s">
        <v>273</v>
      </c>
      <c r="C145">
        <v>5</v>
      </c>
      <c r="D145">
        <v>5</v>
      </c>
      <c r="E145" t="s">
        <v>385</v>
      </c>
      <c r="F145">
        <v>412</v>
      </c>
      <c r="G145">
        <v>2</v>
      </c>
      <c r="H145">
        <v>50</v>
      </c>
      <c r="I145" t="s">
        <v>386</v>
      </c>
      <c r="J145" t="s">
        <v>386</v>
      </c>
      <c r="K145">
        <v>10000</v>
      </c>
      <c r="L145">
        <v>164</v>
      </c>
      <c r="M145">
        <v>164</v>
      </c>
      <c r="N145">
        <v>259</v>
      </c>
      <c r="O145">
        <v>0</v>
      </c>
      <c r="P145">
        <v>75</v>
      </c>
      <c r="Q145">
        <v>113</v>
      </c>
      <c r="R145">
        <v>113</v>
      </c>
      <c r="S145">
        <v>75</v>
      </c>
      <c r="T145">
        <v>0</v>
      </c>
      <c r="U145">
        <v>2891</v>
      </c>
      <c r="V145">
        <v>18234.271895099999</v>
      </c>
      <c r="AH145">
        <f t="shared" si="23"/>
        <v>164</v>
      </c>
      <c r="AI145">
        <f t="shared" si="24"/>
        <v>259</v>
      </c>
      <c r="AJ145" t="str">
        <f t="shared" si="25"/>
        <v/>
      </c>
      <c r="AK145">
        <f t="shared" si="26"/>
        <v>75</v>
      </c>
      <c r="AL145">
        <f t="shared" si="19"/>
        <v>113</v>
      </c>
      <c r="AM145">
        <f t="shared" si="20"/>
        <v>113</v>
      </c>
      <c r="AN145">
        <f t="shared" si="21"/>
        <v>75</v>
      </c>
      <c r="AO145" t="str">
        <f t="shared" si="22"/>
        <v/>
      </c>
    </row>
    <row r="146" spans="1:41">
      <c r="A146">
        <f t="shared" si="27"/>
        <v>142</v>
      </c>
      <c r="B146" t="s">
        <v>273</v>
      </c>
      <c r="C146">
        <v>5</v>
      </c>
      <c r="D146">
        <v>5</v>
      </c>
      <c r="E146" t="s">
        <v>385</v>
      </c>
      <c r="F146">
        <v>412</v>
      </c>
      <c r="G146">
        <v>2</v>
      </c>
      <c r="H146">
        <v>51</v>
      </c>
      <c r="I146" t="s">
        <v>386</v>
      </c>
      <c r="J146" t="s">
        <v>386</v>
      </c>
      <c r="K146">
        <v>10000</v>
      </c>
      <c r="L146">
        <v>167</v>
      </c>
      <c r="M146">
        <v>167</v>
      </c>
      <c r="N146">
        <v>263</v>
      </c>
      <c r="O146">
        <v>0</v>
      </c>
      <c r="P146">
        <v>73</v>
      </c>
      <c r="Q146">
        <v>109</v>
      </c>
      <c r="R146">
        <v>107</v>
      </c>
      <c r="S146">
        <v>70</v>
      </c>
      <c r="T146">
        <v>0</v>
      </c>
      <c r="U146">
        <v>2944</v>
      </c>
      <c r="V146">
        <v>18243.232255070001</v>
      </c>
      <c r="AH146">
        <f t="shared" si="23"/>
        <v>167</v>
      </c>
      <c r="AI146">
        <f t="shared" si="24"/>
        <v>263</v>
      </c>
      <c r="AJ146" t="str">
        <f t="shared" si="25"/>
        <v/>
      </c>
      <c r="AK146">
        <f t="shared" si="26"/>
        <v>73</v>
      </c>
      <c r="AL146">
        <f t="shared" si="19"/>
        <v>109</v>
      </c>
      <c r="AM146">
        <f t="shared" si="20"/>
        <v>107</v>
      </c>
      <c r="AN146">
        <f t="shared" si="21"/>
        <v>70</v>
      </c>
      <c r="AO146" t="str">
        <f t="shared" si="22"/>
        <v/>
      </c>
    </row>
    <row r="147" spans="1:41">
      <c r="A147">
        <f t="shared" si="27"/>
        <v>143</v>
      </c>
      <c r="B147" t="s">
        <v>273</v>
      </c>
      <c r="C147">
        <v>5</v>
      </c>
      <c r="D147">
        <v>5</v>
      </c>
      <c r="E147" t="s">
        <v>385</v>
      </c>
      <c r="F147">
        <v>412</v>
      </c>
      <c r="G147">
        <v>2</v>
      </c>
      <c r="H147">
        <v>52</v>
      </c>
      <c r="I147" t="s">
        <v>386</v>
      </c>
      <c r="J147" t="s">
        <v>386</v>
      </c>
      <c r="K147">
        <v>10000</v>
      </c>
      <c r="L147">
        <v>170</v>
      </c>
      <c r="M147">
        <v>170</v>
      </c>
      <c r="N147">
        <v>268</v>
      </c>
      <c r="O147">
        <v>0</v>
      </c>
      <c r="P147">
        <v>68</v>
      </c>
      <c r="Q147">
        <v>100</v>
      </c>
      <c r="R147">
        <v>97</v>
      </c>
      <c r="S147">
        <v>63</v>
      </c>
      <c r="T147">
        <v>0</v>
      </c>
      <c r="U147">
        <v>2994</v>
      </c>
      <c r="V147">
        <v>18251.638998390001</v>
      </c>
      <c r="AH147">
        <f t="shared" si="23"/>
        <v>170</v>
      </c>
      <c r="AI147">
        <f t="shared" si="24"/>
        <v>268</v>
      </c>
      <c r="AJ147" t="str">
        <f t="shared" si="25"/>
        <v/>
      </c>
      <c r="AK147">
        <f t="shared" si="26"/>
        <v>68</v>
      </c>
      <c r="AL147">
        <f t="shared" si="19"/>
        <v>100</v>
      </c>
      <c r="AM147">
        <f t="shared" si="20"/>
        <v>97</v>
      </c>
      <c r="AN147">
        <f t="shared" si="21"/>
        <v>63</v>
      </c>
      <c r="AO147" t="str">
        <f t="shared" si="22"/>
        <v/>
      </c>
    </row>
    <row r="148" spans="1:41">
      <c r="A148">
        <f t="shared" si="27"/>
        <v>144</v>
      </c>
      <c r="B148" t="s">
        <v>273</v>
      </c>
      <c r="C148">
        <v>5</v>
      </c>
      <c r="D148">
        <v>5</v>
      </c>
      <c r="E148" t="s">
        <v>385</v>
      </c>
      <c r="F148">
        <v>412</v>
      </c>
      <c r="G148">
        <v>2</v>
      </c>
      <c r="H148">
        <v>53</v>
      </c>
      <c r="I148" t="s">
        <v>386</v>
      </c>
      <c r="J148" t="s">
        <v>386</v>
      </c>
      <c r="K148">
        <v>10000</v>
      </c>
      <c r="L148">
        <v>173</v>
      </c>
      <c r="M148">
        <v>173</v>
      </c>
      <c r="N148">
        <v>272</v>
      </c>
      <c r="O148">
        <v>0</v>
      </c>
      <c r="P148">
        <v>62</v>
      </c>
      <c r="Q148">
        <v>89</v>
      </c>
      <c r="R148">
        <v>86</v>
      </c>
      <c r="S148">
        <v>56</v>
      </c>
      <c r="T148">
        <v>0</v>
      </c>
      <c r="U148">
        <v>3039</v>
      </c>
      <c r="V148">
        <v>18259.333310530001</v>
      </c>
      <c r="AH148">
        <f t="shared" si="23"/>
        <v>173</v>
      </c>
      <c r="AI148">
        <f t="shared" si="24"/>
        <v>272</v>
      </c>
      <c r="AJ148" t="str">
        <f t="shared" si="25"/>
        <v/>
      </c>
      <c r="AK148">
        <f t="shared" si="26"/>
        <v>62</v>
      </c>
      <c r="AL148">
        <f t="shared" si="19"/>
        <v>89</v>
      </c>
      <c r="AM148">
        <f t="shared" si="20"/>
        <v>86</v>
      </c>
      <c r="AN148">
        <f t="shared" si="21"/>
        <v>56</v>
      </c>
      <c r="AO148" t="str">
        <f t="shared" si="22"/>
        <v/>
      </c>
    </row>
    <row r="149" spans="1:41">
      <c r="A149">
        <f t="shared" si="27"/>
        <v>145</v>
      </c>
      <c r="B149" t="s">
        <v>273</v>
      </c>
      <c r="C149">
        <v>5</v>
      </c>
      <c r="D149">
        <v>5</v>
      </c>
      <c r="E149" t="s">
        <v>385</v>
      </c>
      <c r="F149">
        <v>412</v>
      </c>
      <c r="G149">
        <v>2</v>
      </c>
      <c r="H149">
        <v>54</v>
      </c>
      <c r="I149" t="s">
        <v>386</v>
      </c>
      <c r="J149" t="s">
        <v>386</v>
      </c>
      <c r="K149">
        <v>10000</v>
      </c>
      <c r="L149">
        <v>175</v>
      </c>
      <c r="M149">
        <v>175</v>
      </c>
      <c r="N149">
        <v>276</v>
      </c>
      <c r="O149">
        <v>0</v>
      </c>
      <c r="P149">
        <v>55</v>
      </c>
      <c r="Q149">
        <v>79</v>
      </c>
      <c r="R149">
        <v>77</v>
      </c>
      <c r="S149">
        <v>51</v>
      </c>
      <c r="T149">
        <v>0</v>
      </c>
      <c r="U149">
        <v>3081</v>
      </c>
      <c r="V149">
        <v>18266.302665679999</v>
      </c>
      <c r="AH149">
        <f t="shared" si="23"/>
        <v>175</v>
      </c>
      <c r="AI149">
        <f t="shared" si="24"/>
        <v>276</v>
      </c>
      <c r="AJ149" t="str">
        <f t="shared" si="25"/>
        <v/>
      </c>
      <c r="AK149">
        <f t="shared" si="26"/>
        <v>55</v>
      </c>
      <c r="AL149">
        <f t="shared" si="19"/>
        <v>79</v>
      </c>
      <c r="AM149">
        <f t="shared" si="20"/>
        <v>77</v>
      </c>
      <c r="AN149">
        <f t="shared" si="21"/>
        <v>51</v>
      </c>
      <c r="AO149" t="str">
        <f t="shared" si="22"/>
        <v/>
      </c>
    </row>
    <row r="150" spans="1:41">
      <c r="A150">
        <f t="shared" si="27"/>
        <v>146</v>
      </c>
      <c r="B150" t="s">
        <v>273</v>
      </c>
      <c r="C150">
        <v>5</v>
      </c>
      <c r="D150">
        <v>5</v>
      </c>
      <c r="E150" t="s">
        <v>385</v>
      </c>
      <c r="F150">
        <v>412</v>
      </c>
      <c r="G150">
        <v>2</v>
      </c>
      <c r="H150">
        <v>55</v>
      </c>
      <c r="I150" t="s">
        <v>386</v>
      </c>
      <c r="J150" t="s">
        <v>386</v>
      </c>
      <c r="K150">
        <v>10000</v>
      </c>
      <c r="L150">
        <v>177</v>
      </c>
      <c r="M150">
        <v>177</v>
      </c>
      <c r="N150">
        <v>279</v>
      </c>
      <c r="O150">
        <v>0</v>
      </c>
      <c r="P150">
        <v>49</v>
      </c>
      <c r="Q150">
        <v>73</v>
      </c>
      <c r="R150">
        <v>72</v>
      </c>
      <c r="S150">
        <v>49</v>
      </c>
      <c r="T150">
        <v>0</v>
      </c>
      <c r="U150">
        <v>3119</v>
      </c>
      <c r="V150">
        <v>18272.687828049999</v>
      </c>
      <c r="AH150">
        <f t="shared" si="23"/>
        <v>177</v>
      </c>
      <c r="AI150">
        <f t="shared" si="24"/>
        <v>279</v>
      </c>
      <c r="AJ150" t="str">
        <f t="shared" si="25"/>
        <v/>
      </c>
      <c r="AK150">
        <f t="shared" si="26"/>
        <v>49</v>
      </c>
      <c r="AL150">
        <f t="shared" si="19"/>
        <v>73</v>
      </c>
      <c r="AM150">
        <f t="shared" si="20"/>
        <v>72</v>
      </c>
      <c r="AN150">
        <f t="shared" si="21"/>
        <v>49</v>
      </c>
      <c r="AO150" t="str">
        <f t="shared" si="22"/>
        <v/>
      </c>
    </row>
    <row r="151" spans="1:41">
      <c r="A151">
        <f t="shared" si="27"/>
        <v>147</v>
      </c>
      <c r="B151" t="s">
        <v>273</v>
      </c>
      <c r="C151">
        <v>5</v>
      </c>
      <c r="D151">
        <v>5</v>
      </c>
      <c r="E151" t="s">
        <v>385</v>
      </c>
      <c r="F151">
        <v>412</v>
      </c>
      <c r="G151">
        <v>2</v>
      </c>
      <c r="H151">
        <v>56</v>
      </c>
      <c r="I151" t="s">
        <v>386</v>
      </c>
      <c r="J151" t="s">
        <v>386</v>
      </c>
      <c r="K151">
        <v>10000</v>
      </c>
      <c r="L151">
        <v>179</v>
      </c>
      <c r="M151">
        <v>179</v>
      </c>
      <c r="N151">
        <v>282</v>
      </c>
      <c r="O151">
        <v>0</v>
      </c>
      <c r="P151">
        <v>47</v>
      </c>
      <c r="Q151">
        <v>71</v>
      </c>
      <c r="R151">
        <v>71</v>
      </c>
      <c r="S151">
        <v>48</v>
      </c>
      <c r="T151">
        <v>0</v>
      </c>
      <c r="U151">
        <v>3155</v>
      </c>
      <c r="V151">
        <v>18278.712053759999</v>
      </c>
      <c r="AH151">
        <f t="shared" si="23"/>
        <v>179</v>
      </c>
      <c r="AI151">
        <f t="shared" si="24"/>
        <v>282</v>
      </c>
      <c r="AJ151" t="str">
        <f t="shared" si="25"/>
        <v/>
      </c>
      <c r="AK151">
        <f t="shared" si="26"/>
        <v>47</v>
      </c>
      <c r="AL151">
        <f t="shared" si="19"/>
        <v>71</v>
      </c>
      <c r="AM151">
        <f t="shared" si="20"/>
        <v>71</v>
      </c>
      <c r="AN151">
        <f t="shared" si="21"/>
        <v>48</v>
      </c>
      <c r="AO151" t="str">
        <f t="shared" si="22"/>
        <v/>
      </c>
    </row>
    <row r="152" spans="1:41">
      <c r="A152">
        <f t="shared" si="27"/>
        <v>148</v>
      </c>
      <c r="B152" t="s">
        <v>273</v>
      </c>
      <c r="C152">
        <v>5</v>
      </c>
      <c r="D152">
        <v>5</v>
      </c>
      <c r="E152" t="s">
        <v>385</v>
      </c>
      <c r="F152">
        <v>412</v>
      </c>
      <c r="G152">
        <v>2</v>
      </c>
      <c r="H152">
        <v>57</v>
      </c>
      <c r="I152" t="s">
        <v>386</v>
      </c>
      <c r="J152" t="s">
        <v>386</v>
      </c>
      <c r="K152">
        <v>10000</v>
      </c>
      <c r="L152">
        <v>181</v>
      </c>
      <c r="M152">
        <v>181</v>
      </c>
      <c r="N152">
        <v>285</v>
      </c>
      <c r="O152">
        <v>0</v>
      </c>
      <c r="P152">
        <v>46</v>
      </c>
      <c r="Q152">
        <v>70</v>
      </c>
      <c r="R152">
        <v>71</v>
      </c>
      <c r="S152">
        <v>47</v>
      </c>
      <c r="T152">
        <v>0</v>
      </c>
      <c r="U152">
        <v>3189</v>
      </c>
      <c r="V152">
        <v>18284.510632130001</v>
      </c>
      <c r="AH152">
        <f t="shared" si="23"/>
        <v>181</v>
      </c>
      <c r="AI152">
        <f t="shared" si="24"/>
        <v>285</v>
      </c>
      <c r="AJ152" t="str">
        <f t="shared" si="25"/>
        <v/>
      </c>
      <c r="AK152">
        <f t="shared" si="26"/>
        <v>46</v>
      </c>
      <c r="AL152">
        <f t="shared" si="19"/>
        <v>70</v>
      </c>
      <c r="AM152">
        <f t="shared" si="20"/>
        <v>71</v>
      </c>
      <c r="AN152">
        <f t="shared" si="21"/>
        <v>47</v>
      </c>
      <c r="AO152" t="str">
        <f t="shared" si="22"/>
        <v/>
      </c>
    </row>
    <row r="153" spans="1:41">
      <c r="A153">
        <f t="shared" si="27"/>
        <v>149</v>
      </c>
      <c r="B153" t="s">
        <v>273</v>
      </c>
      <c r="C153">
        <v>5</v>
      </c>
      <c r="D153">
        <v>5</v>
      </c>
      <c r="E153" t="s">
        <v>385</v>
      </c>
      <c r="F153">
        <v>412</v>
      </c>
      <c r="G153">
        <v>2</v>
      </c>
      <c r="H153">
        <v>58</v>
      </c>
      <c r="I153" t="s">
        <v>386</v>
      </c>
      <c r="J153" t="s">
        <v>386</v>
      </c>
      <c r="K153">
        <v>10000</v>
      </c>
      <c r="L153">
        <v>183</v>
      </c>
      <c r="M153">
        <v>183</v>
      </c>
      <c r="N153">
        <v>288</v>
      </c>
      <c r="O153">
        <v>0</v>
      </c>
      <c r="P153">
        <v>46</v>
      </c>
      <c r="Q153">
        <v>69</v>
      </c>
      <c r="R153">
        <v>68</v>
      </c>
      <c r="S153">
        <v>44</v>
      </c>
      <c r="T153">
        <v>0</v>
      </c>
      <c r="U153">
        <v>3223</v>
      </c>
      <c r="V153">
        <v>18290.12365464</v>
      </c>
      <c r="AH153">
        <f t="shared" si="23"/>
        <v>183</v>
      </c>
      <c r="AI153">
        <f t="shared" si="24"/>
        <v>288</v>
      </c>
      <c r="AJ153" t="str">
        <f t="shared" si="25"/>
        <v/>
      </c>
      <c r="AK153">
        <f t="shared" si="26"/>
        <v>46</v>
      </c>
      <c r="AL153">
        <f t="shared" si="19"/>
        <v>69</v>
      </c>
      <c r="AM153">
        <f t="shared" si="20"/>
        <v>68</v>
      </c>
      <c r="AN153">
        <f t="shared" si="21"/>
        <v>44</v>
      </c>
      <c r="AO153" t="str">
        <f t="shared" si="22"/>
        <v/>
      </c>
    </row>
    <row r="154" spans="1:41">
      <c r="A154">
        <f t="shared" si="27"/>
        <v>150</v>
      </c>
      <c r="B154" t="s">
        <v>273</v>
      </c>
      <c r="C154">
        <v>5</v>
      </c>
      <c r="D154">
        <v>5</v>
      </c>
      <c r="E154" t="s">
        <v>385</v>
      </c>
      <c r="F154">
        <v>412</v>
      </c>
      <c r="G154">
        <v>2</v>
      </c>
      <c r="H154">
        <v>59</v>
      </c>
      <c r="I154" t="s">
        <v>386</v>
      </c>
      <c r="J154" t="s">
        <v>386</v>
      </c>
      <c r="K154">
        <v>10000</v>
      </c>
      <c r="L154">
        <v>185</v>
      </c>
      <c r="M154">
        <v>185</v>
      </c>
      <c r="N154">
        <v>291</v>
      </c>
      <c r="O154">
        <v>0</v>
      </c>
      <c r="P154">
        <v>45</v>
      </c>
      <c r="Q154">
        <v>67</v>
      </c>
      <c r="R154">
        <v>67</v>
      </c>
      <c r="S154">
        <v>46</v>
      </c>
      <c r="T154">
        <v>0</v>
      </c>
      <c r="U154">
        <v>3257</v>
      </c>
      <c r="V154">
        <v>18295.796461559999</v>
      </c>
      <c r="AH154">
        <f t="shared" si="23"/>
        <v>185</v>
      </c>
      <c r="AI154">
        <f t="shared" si="24"/>
        <v>291</v>
      </c>
      <c r="AJ154" t="str">
        <f t="shared" si="25"/>
        <v/>
      </c>
      <c r="AK154">
        <f t="shared" si="26"/>
        <v>45</v>
      </c>
      <c r="AL154">
        <f t="shared" si="19"/>
        <v>67</v>
      </c>
      <c r="AM154">
        <f t="shared" si="20"/>
        <v>67</v>
      </c>
      <c r="AN154">
        <f t="shared" si="21"/>
        <v>46</v>
      </c>
      <c r="AO154" t="str">
        <f t="shared" si="22"/>
        <v/>
      </c>
    </row>
    <row r="155" spans="1:41">
      <c r="A155">
        <f t="shared" si="27"/>
        <v>151</v>
      </c>
      <c r="B155" t="s">
        <v>273</v>
      </c>
      <c r="C155">
        <v>5</v>
      </c>
      <c r="D155">
        <v>5</v>
      </c>
      <c r="E155" t="s">
        <v>385</v>
      </c>
      <c r="F155">
        <v>412</v>
      </c>
      <c r="G155">
        <v>2</v>
      </c>
      <c r="H155">
        <v>60</v>
      </c>
      <c r="I155" t="s">
        <v>386</v>
      </c>
      <c r="J155" t="s">
        <v>386</v>
      </c>
      <c r="K155">
        <v>10000</v>
      </c>
      <c r="L155">
        <v>187</v>
      </c>
      <c r="M155">
        <v>187</v>
      </c>
      <c r="N155">
        <v>295</v>
      </c>
      <c r="O155">
        <v>0</v>
      </c>
      <c r="P155">
        <v>47</v>
      </c>
      <c r="Q155">
        <v>73</v>
      </c>
      <c r="R155">
        <v>79</v>
      </c>
      <c r="S155">
        <v>60</v>
      </c>
      <c r="T155">
        <v>0</v>
      </c>
      <c r="U155">
        <v>3294</v>
      </c>
      <c r="V155">
        <v>18302.25372895</v>
      </c>
      <c r="AH155">
        <f t="shared" si="23"/>
        <v>187</v>
      </c>
      <c r="AI155">
        <f t="shared" si="24"/>
        <v>295</v>
      </c>
      <c r="AJ155" t="str">
        <f t="shared" si="25"/>
        <v/>
      </c>
      <c r="AK155">
        <f t="shared" si="26"/>
        <v>47</v>
      </c>
      <c r="AL155">
        <f t="shared" si="19"/>
        <v>73</v>
      </c>
      <c r="AM155">
        <f t="shared" si="20"/>
        <v>79</v>
      </c>
      <c r="AN155">
        <f t="shared" si="21"/>
        <v>60</v>
      </c>
      <c r="AO155" t="str">
        <f t="shared" si="22"/>
        <v/>
      </c>
    </row>
    <row r="156" spans="1:41">
      <c r="A156">
        <f t="shared" si="27"/>
        <v>152</v>
      </c>
      <c r="B156" t="s">
        <v>273</v>
      </c>
      <c r="C156">
        <v>5</v>
      </c>
      <c r="D156">
        <v>5</v>
      </c>
      <c r="E156" t="s">
        <v>385</v>
      </c>
      <c r="F156">
        <v>412</v>
      </c>
      <c r="G156">
        <v>2</v>
      </c>
      <c r="H156">
        <v>61</v>
      </c>
      <c r="I156" t="s">
        <v>386</v>
      </c>
      <c r="J156" t="s">
        <v>386</v>
      </c>
      <c r="K156">
        <v>10000</v>
      </c>
      <c r="L156">
        <v>190</v>
      </c>
      <c r="M156">
        <v>190</v>
      </c>
      <c r="N156">
        <v>299</v>
      </c>
      <c r="O156">
        <v>0</v>
      </c>
      <c r="P156">
        <v>59</v>
      </c>
      <c r="Q156">
        <v>99</v>
      </c>
      <c r="R156">
        <v>115</v>
      </c>
      <c r="S156">
        <v>91</v>
      </c>
      <c r="T156">
        <v>0</v>
      </c>
      <c r="U156">
        <v>3344</v>
      </c>
      <c r="V156">
        <v>18310.65008666</v>
      </c>
      <c r="AH156">
        <f t="shared" si="23"/>
        <v>190</v>
      </c>
      <c r="AI156">
        <f t="shared" si="24"/>
        <v>299</v>
      </c>
      <c r="AJ156" t="str">
        <f t="shared" si="25"/>
        <v/>
      </c>
      <c r="AK156">
        <f t="shared" si="26"/>
        <v>59</v>
      </c>
      <c r="AL156">
        <f t="shared" si="19"/>
        <v>99</v>
      </c>
      <c r="AM156">
        <f t="shared" si="20"/>
        <v>115</v>
      </c>
      <c r="AN156">
        <f t="shared" si="21"/>
        <v>91</v>
      </c>
      <c r="AO156" t="str">
        <f t="shared" si="22"/>
        <v/>
      </c>
    </row>
    <row r="157" spans="1:41">
      <c r="A157">
        <f t="shared" si="27"/>
        <v>153</v>
      </c>
      <c r="B157" t="s">
        <v>273</v>
      </c>
      <c r="C157">
        <v>5</v>
      </c>
      <c r="D157">
        <v>5</v>
      </c>
      <c r="E157" t="s">
        <v>385</v>
      </c>
      <c r="F157">
        <v>412</v>
      </c>
      <c r="G157">
        <v>2</v>
      </c>
      <c r="H157">
        <v>62</v>
      </c>
      <c r="I157" t="s">
        <v>386</v>
      </c>
      <c r="J157" t="s">
        <v>386</v>
      </c>
      <c r="K157">
        <v>10000</v>
      </c>
      <c r="L157">
        <v>194</v>
      </c>
      <c r="M157">
        <v>194</v>
      </c>
      <c r="N157">
        <v>305</v>
      </c>
      <c r="O157">
        <v>0</v>
      </c>
      <c r="P157">
        <v>86</v>
      </c>
      <c r="Q157">
        <v>150</v>
      </c>
      <c r="R157">
        <v>174</v>
      </c>
      <c r="S157">
        <v>133</v>
      </c>
      <c r="T157">
        <v>0</v>
      </c>
      <c r="U157">
        <v>3413</v>
      </c>
      <c r="V157">
        <v>18322.274739929999</v>
      </c>
      <c r="AH157">
        <f t="shared" si="23"/>
        <v>194</v>
      </c>
      <c r="AI157">
        <f t="shared" si="24"/>
        <v>305</v>
      </c>
      <c r="AJ157" t="str">
        <f t="shared" si="25"/>
        <v/>
      </c>
      <c r="AK157">
        <f t="shared" si="26"/>
        <v>86</v>
      </c>
      <c r="AL157">
        <f t="shared" si="19"/>
        <v>150</v>
      </c>
      <c r="AM157">
        <f t="shared" si="20"/>
        <v>174</v>
      </c>
      <c r="AN157">
        <f t="shared" si="21"/>
        <v>133</v>
      </c>
      <c r="AO157" t="str">
        <f t="shared" si="22"/>
        <v/>
      </c>
    </row>
    <row r="158" spans="1:41">
      <c r="A158">
        <f t="shared" si="27"/>
        <v>154</v>
      </c>
      <c r="B158" t="s">
        <v>273</v>
      </c>
      <c r="C158">
        <v>5</v>
      </c>
      <c r="D158">
        <v>5</v>
      </c>
      <c r="E158" t="s">
        <v>385</v>
      </c>
      <c r="F158">
        <v>412</v>
      </c>
      <c r="G158">
        <v>2</v>
      </c>
      <c r="H158">
        <v>63</v>
      </c>
      <c r="I158" t="s">
        <v>386</v>
      </c>
      <c r="J158" t="s">
        <v>386</v>
      </c>
      <c r="K158">
        <v>10000</v>
      </c>
      <c r="L158">
        <v>199</v>
      </c>
      <c r="M158">
        <v>199</v>
      </c>
      <c r="N158">
        <v>314</v>
      </c>
      <c r="O158">
        <v>0</v>
      </c>
      <c r="P158">
        <v>126</v>
      </c>
      <c r="Q158">
        <v>214</v>
      </c>
      <c r="R158">
        <v>239</v>
      </c>
      <c r="S158">
        <v>174</v>
      </c>
      <c r="T158">
        <v>0</v>
      </c>
      <c r="U158">
        <v>3507</v>
      </c>
      <c r="V158">
        <v>18338.059734210001</v>
      </c>
      <c r="AH158">
        <f t="shared" si="23"/>
        <v>199</v>
      </c>
      <c r="AI158">
        <f t="shared" si="24"/>
        <v>314</v>
      </c>
      <c r="AJ158" t="str">
        <f t="shared" si="25"/>
        <v/>
      </c>
      <c r="AK158">
        <f t="shared" si="26"/>
        <v>126</v>
      </c>
      <c r="AL158">
        <f t="shared" si="19"/>
        <v>214</v>
      </c>
      <c r="AM158">
        <f t="shared" si="20"/>
        <v>239</v>
      </c>
      <c r="AN158">
        <f t="shared" si="21"/>
        <v>174</v>
      </c>
      <c r="AO158" t="str">
        <f t="shared" si="22"/>
        <v/>
      </c>
    </row>
    <row r="159" spans="1:41">
      <c r="A159">
        <f t="shared" si="27"/>
        <v>155</v>
      </c>
      <c r="B159" t="s">
        <v>273</v>
      </c>
      <c r="C159">
        <v>5</v>
      </c>
      <c r="D159">
        <v>5</v>
      </c>
      <c r="E159" t="s">
        <v>385</v>
      </c>
      <c r="F159">
        <v>412</v>
      </c>
      <c r="G159">
        <v>2</v>
      </c>
      <c r="H159">
        <v>64</v>
      </c>
      <c r="I159" t="s">
        <v>386</v>
      </c>
      <c r="J159" t="s">
        <v>386</v>
      </c>
      <c r="K159">
        <v>10000</v>
      </c>
      <c r="L159">
        <v>206</v>
      </c>
      <c r="M159">
        <v>206</v>
      </c>
      <c r="N159">
        <v>325</v>
      </c>
      <c r="O159">
        <v>0</v>
      </c>
      <c r="P159">
        <v>167</v>
      </c>
      <c r="Q159">
        <v>273</v>
      </c>
      <c r="R159">
        <v>290</v>
      </c>
      <c r="S159">
        <v>202</v>
      </c>
      <c r="T159">
        <v>0</v>
      </c>
      <c r="U159">
        <v>3626</v>
      </c>
      <c r="V159">
        <v>18358.082076589999</v>
      </c>
      <c r="AH159">
        <f t="shared" si="23"/>
        <v>206</v>
      </c>
      <c r="AI159">
        <f t="shared" si="24"/>
        <v>325</v>
      </c>
      <c r="AJ159" t="str">
        <f t="shared" si="25"/>
        <v/>
      </c>
      <c r="AK159">
        <f t="shared" si="26"/>
        <v>167</v>
      </c>
      <c r="AL159">
        <f t="shared" si="19"/>
        <v>273</v>
      </c>
      <c r="AM159">
        <f t="shared" si="20"/>
        <v>290</v>
      </c>
      <c r="AN159">
        <f t="shared" si="21"/>
        <v>202</v>
      </c>
      <c r="AO159" t="str">
        <f t="shared" si="22"/>
        <v/>
      </c>
    </row>
    <row r="160" spans="1:41">
      <c r="A160">
        <f t="shared" si="27"/>
        <v>156</v>
      </c>
      <c r="B160" t="s">
        <v>273</v>
      </c>
      <c r="C160">
        <v>5</v>
      </c>
      <c r="D160">
        <v>5</v>
      </c>
      <c r="E160" t="s">
        <v>385</v>
      </c>
      <c r="F160">
        <v>412</v>
      </c>
      <c r="G160">
        <v>2</v>
      </c>
      <c r="H160">
        <v>65</v>
      </c>
      <c r="I160" t="s">
        <v>386</v>
      </c>
      <c r="J160" t="s">
        <v>386</v>
      </c>
      <c r="K160">
        <v>10000</v>
      </c>
      <c r="L160">
        <v>214</v>
      </c>
      <c r="M160">
        <v>214</v>
      </c>
      <c r="N160">
        <v>337</v>
      </c>
      <c r="O160">
        <v>0</v>
      </c>
      <c r="P160">
        <v>197</v>
      </c>
      <c r="Q160">
        <v>309</v>
      </c>
      <c r="R160">
        <v>317</v>
      </c>
      <c r="S160">
        <v>214</v>
      </c>
      <c r="T160">
        <v>0</v>
      </c>
      <c r="U160">
        <v>3765</v>
      </c>
      <c r="V160">
        <v>18381.51072531</v>
      </c>
      <c r="AH160">
        <f t="shared" si="23"/>
        <v>214</v>
      </c>
      <c r="AI160">
        <f t="shared" si="24"/>
        <v>337</v>
      </c>
      <c r="AJ160" t="str">
        <f t="shared" si="25"/>
        <v/>
      </c>
      <c r="AK160">
        <f t="shared" si="26"/>
        <v>197</v>
      </c>
      <c r="AL160">
        <f t="shared" si="19"/>
        <v>309</v>
      </c>
      <c r="AM160">
        <f t="shared" si="20"/>
        <v>317</v>
      </c>
      <c r="AN160">
        <f t="shared" si="21"/>
        <v>214</v>
      </c>
      <c r="AO160" t="str">
        <f t="shared" si="22"/>
        <v/>
      </c>
    </row>
    <row r="161" spans="1:41">
      <c r="A161">
        <f t="shared" si="27"/>
        <v>157</v>
      </c>
      <c r="B161" t="s">
        <v>273</v>
      </c>
      <c r="C161">
        <v>5</v>
      </c>
      <c r="D161">
        <v>5</v>
      </c>
      <c r="E161" t="s">
        <v>385</v>
      </c>
      <c r="F161">
        <v>412</v>
      </c>
      <c r="G161">
        <v>2</v>
      </c>
      <c r="H161">
        <v>66</v>
      </c>
      <c r="I161" t="s">
        <v>386</v>
      </c>
      <c r="J161" t="s">
        <v>386</v>
      </c>
      <c r="K161">
        <v>10000</v>
      </c>
      <c r="L161">
        <v>222</v>
      </c>
      <c r="M161">
        <v>222</v>
      </c>
      <c r="N161">
        <v>351</v>
      </c>
      <c r="O161">
        <v>0</v>
      </c>
      <c r="P161">
        <v>212</v>
      </c>
      <c r="Q161">
        <v>322</v>
      </c>
      <c r="R161">
        <v>324</v>
      </c>
      <c r="S161">
        <v>217</v>
      </c>
      <c r="T161">
        <v>0</v>
      </c>
      <c r="U161">
        <v>3917</v>
      </c>
      <c r="V161">
        <v>18407.050174700002</v>
      </c>
      <c r="AH161">
        <f t="shared" si="23"/>
        <v>222</v>
      </c>
      <c r="AI161">
        <f t="shared" si="24"/>
        <v>351</v>
      </c>
      <c r="AJ161" t="str">
        <f t="shared" si="25"/>
        <v/>
      </c>
      <c r="AK161">
        <f t="shared" si="26"/>
        <v>212</v>
      </c>
      <c r="AL161">
        <f t="shared" si="19"/>
        <v>322</v>
      </c>
      <c r="AM161">
        <f t="shared" si="20"/>
        <v>324</v>
      </c>
      <c r="AN161">
        <f t="shared" si="21"/>
        <v>217</v>
      </c>
      <c r="AO161" t="str">
        <f t="shared" si="22"/>
        <v/>
      </c>
    </row>
    <row r="162" spans="1:41">
      <c r="A162">
        <f t="shared" si="27"/>
        <v>158</v>
      </c>
      <c r="B162" t="s">
        <v>273</v>
      </c>
      <c r="C162">
        <v>5</v>
      </c>
      <c r="D162">
        <v>5</v>
      </c>
      <c r="E162" t="s">
        <v>385</v>
      </c>
      <c r="F162">
        <v>412</v>
      </c>
      <c r="G162">
        <v>2</v>
      </c>
      <c r="H162">
        <v>67</v>
      </c>
      <c r="I162" t="s">
        <v>386</v>
      </c>
      <c r="J162" t="s">
        <v>386</v>
      </c>
      <c r="K162">
        <v>10000</v>
      </c>
      <c r="L162">
        <v>231</v>
      </c>
      <c r="M162">
        <v>231</v>
      </c>
      <c r="N162">
        <v>365</v>
      </c>
      <c r="O162">
        <v>0</v>
      </c>
      <c r="P162">
        <v>213</v>
      </c>
      <c r="Q162">
        <v>320</v>
      </c>
      <c r="R162">
        <v>321</v>
      </c>
      <c r="S162">
        <v>215</v>
      </c>
      <c r="T162">
        <v>0</v>
      </c>
      <c r="U162">
        <v>4073</v>
      </c>
      <c r="V162">
        <v>18433.394549420002</v>
      </c>
      <c r="AH162">
        <f t="shared" si="23"/>
        <v>231</v>
      </c>
      <c r="AI162">
        <f t="shared" si="24"/>
        <v>365</v>
      </c>
      <c r="AJ162" t="str">
        <f t="shared" si="25"/>
        <v/>
      </c>
      <c r="AK162">
        <f t="shared" si="26"/>
        <v>213</v>
      </c>
      <c r="AL162">
        <f t="shared" si="19"/>
        <v>320</v>
      </c>
      <c r="AM162">
        <f t="shared" si="20"/>
        <v>321</v>
      </c>
      <c r="AN162">
        <f t="shared" si="21"/>
        <v>215</v>
      </c>
      <c r="AO162" t="str">
        <f t="shared" si="22"/>
        <v/>
      </c>
    </row>
    <row r="163" spans="1:41">
      <c r="A163">
        <f t="shared" si="27"/>
        <v>159</v>
      </c>
      <c r="B163" t="s">
        <v>273</v>
      </c>
      <c r="C163">
        <v>5</v>
      </c>
      <c r="D163">
        <v>5</v>
      </c>
      <c r="E163" t="s">
        <v>385</v>
      </c>
      <c r="F163">
        <v>412</v>
      </c>
      <c r="G163">
        <v>2</v>
      </c>
      <c r="H163">
        <v>68</v>
      </c>
      <c r="I163" t="s">
        <v>386</v>
      </c>
      <c r="J163" t="s">
        <v>386</v>
      </c>
      <c r="K163">
        <v>10000</v>
      </c>
      <c r="L163">
        <v>240</v>
      </c>
      <c r="M163">
        <v>240</v>
      </c>
      <c r="N163">
        <v>378</v>
      </c>
      <c r="O163">
        <v>0</v>
      </c>
      <c r="P163">
        <v>210</v>
      </c>
      <c r="Q163">
        <v>316</v>
      </c>
      <c r="R163">
        <v>317</v>
      </c>
      <c r="S163">
        <v>212</v>
      </c>
      <c r="T163">
        <v>0</v>
      </c>
      <c r="U163">
        <v>4229</v>
      </c>
      <c r="V163">
        <v>18459.656655089999</v>
      </c>
      <c r="AH163">
        <f t="shared" si="23"/>
        <v>240</v>
      </c>
      <c r="AI163">
        <f t="shared" si="24"/>
        <v>378</v>
      </c>
      <c r="AJ163" t="str">
        <f t="shared" si="25"/>
        <v/>
      </c>
      <c r="AK163">
        <f t="shared" si="26"/>
        <v>210</v>
      </c>
      <c r="AL163">
        <f t="shared" si="19"/>
        <v>316</v>
      </c>
      <c r="AM163">
        <f t="shared" si="20"/>
        <v>317</v>
      </c>
      <c r="AN163">
        <f t="shared" si="21"/>
        <v>212</v>
      </c>
      <c r="AO163" t="str">
        <f t="shared" si="22"/>
        <v/>
      </c>
    </row>
    <row r="164" spans="1:41">
      <c r="A164">
        <f t="shared" si="27"/>
        <v>160</v>
      </c>
      <c r="B164" t="s">
        <v>273</v>
      </c>
      <c r="C164">
        <v>5</v>
      </c>
      <c r="D164">
        <v>5</v>
      </c>
      <c r="E164" t="s">
        <v>385</v>
      </c>
      <c r="F164">
        <v>412</v>
      </c>
      <c r="G164">
        <v>2</v>
      </c>
      <c r="H164">
        <v>69</v>
      </c>
      <c r="I164" t="s">
        <v>386</v>
      </c>
      <c r="J164" t="s">
        <v>386</v>
      </c>
      <c r="K164">
        <v>10000</v>
      </c>
      <c r="L164">
        <v>249</v>
      </c>
      <c r="M164">
        <v>249</v>
      </c>
      <c r="N164">
        <v>392</v>
      </c>
      <c r="O164">
        <v>0</v>
      </c>
      <c r="P164">
        <v>208</v>
      </c>
      <c r="Q164">
        <v>313</v>
      </c>
      <c r="R164">
        <v>315</v>
      </c>
      <c r="S164">
        <v>213</v>
      </c>
      <c r="T164">
        <v>0</v>
      </c>
      <c r="U164">
        <v>4384</v>
      </c>
      <c r="V164">
        <v>18485.745360699999</v>
      </c>
      <c r="AH164">
        <f t="shared" si="23"/>
        <v>249</v>
      </c>
      <c r="AI164">
        <f t="shared" si="24"/>
        <v>392</v>
      </c>
      <c r="AJ164" t="str">
        <f t="shared" si="25"/>
        <v/>
      </c>
      <c r="AK164">
        <f t="shared" si="26"/>
        <v>208</v>
      </c>
      <c r="AL164">
        <f t="shared" si="19"/>
        <v>313</v>
      </c>
      <c r="AM164">
        <f t="shared" si="20"/>
        <v>315</v>
      </c>
      <c r="AN164">
        <f t="shared" si="21"/>
        <v>213</v>
      </c>
      <c r="AO164" t="str">
        <f t="shared" si="22"/>
        <v/>
      </c>
    </row>
    <row r="165" spans="1:41">
      <c r="A165">
        <f t="shared" si="27"/>
        <v>161</v>
      </c>
      <c r="B165" t="s">
        <v>273</v>
      </c>
      <c r="C165">
        <v>5</v>
      </c>
      <c r="D165">
        <v>5</v>
      </c>
      <c r="E165" t="s">
        <v>385</v>
      </c>
      <c r="F165">
        <v>412</v>
      </c>
      <c r="G165">
        <v>2</v>
      </c>
      <c r="H165">
        <v>70</v>
      </c>
      <c r="I165" t="s">
        <v>386</v>
      </c>
      <c r="J165" t="s">
        <v>386</v>
      </c>
      <c r="K165">
        <v>10000</v>
      </c>
      <c r="L165">
        <v>258</v>
      </c>
      <c r="M165">
        <v>258</v>
      </c>
      <c r="N165">
        <v>406</v>
      </c>
      <c r="O165">
        <v>0</v>
      </c>
      <c r="P165">
        <v>209</v>
      </c>
      <c r="Q165">
        <v>318</v>
      </c>
      <c r="R165">
        <v>324</v>
      </c>
      <c r="S165">
        <v>223</v>
      </c>
      <c r="T165">
        <v>0</v>
      </c>
      <c r="U165">
        <v>4542</v>
      </c>
      <c r="V165">
        <v>18512.294450419999</v>
      </c>
      <c r="AH165">
        <f t="shared" si="23"/>
        <v>258</v>
      </c>
      <c r="AI165">
        <f t="shared" si="24"/>
        <v>406</v>
      </c>
      <c r="AJ165" t="str">
        <f t="shared" si="25"/>
        <v/>
      </c>
      <c r="AK165">
        <f t="shared" si="26"/>
        <v>209</v>
      </c>
      <c r="AL165">
        <f t="shared" si="19"/>
        <v>318</v>
      </c>
      <c r="AM165">
        <f t="shared" si="20"/>
        <v>324</v>
      </c>
      <c r="AN165">
        <f t="shared" si="21"/>
        <v>223</v>
      </c>
      <c r="AO165" t="str">
        <f t="shared" si="22"/>
        <v/>
      </c>
    </row>
    <row r="166" spans="1:41">
      <c r="A166">
        <f t="shared" si="27"/>
        <v>162</v>
      </c>
      <c r="B166" t="s">
        <v>273</v>
      </c>
      <c r="C166">
        <v>5</v>
      </c>
      <c r="D166">
        <v>5</v>
      </c>
      <c r="E166" t="s">
        <v>385</v>
      </c>
      <c r="F166">
        <v>412</v>
      </c>
      <c r="G166">
        <v>2</v>
      </c>
      <c r="H166">
        <v>71</v>
      </c>
      <c r="I166" t="s">
        <v>386</v>
      </c>
      <c r="J166" t="s">
        <v>386</v>
      </c>
      <c r="K166">
        <v>10000</v>
      </c>
      <c r="L166">
        <v>267</v>
      </c>
      <c r="M166">
        <v>267</v>
      </c>
      <c r="N166">
        <v>421</v>
      </c>
      <c r="O166">
        <v>0</v>
      </c>
      <c r="P166">
        <v>218</v>
      </c>
      <c r="Q166">
        <v>336</v>
      </c>
      <c r="R166">
        <v>350</v>
      </c>
      <c r="S166">
        <v>245</v>
      </c>
      <c r="T166">
        <v>0</v>
      </c>
      <c r="U166">
        <v>4708</v>
      </c>
      <c r="V166">
        <v>18540.223964820001</v>
      </c>
      <c r="AH166">
        <f t="shared" si="23"/>
        <v>267</v>
      </c>
      <c r="AI166">
        <f t="shared" si="24"/>
        <v>421</v>
      </c>
      <c r="AJ166" t="str">
        <f t="shared" si="25"/>
        <v/>
      </c>
      <c r="AK166">
        <f t="shared" si="26"/>
        <v>218</v>
      </c>
      <c r="AL166">
        <f t="shared" si="19"/>
        <v>336</v>
      </c>
      <c r="AM166">
        <f t="shared" si="20"/>
        <v>350</v>
      </c>
      <c r="AN166">
        <f t="shared" si="21"/>
        <v>245</v>
      </c>
      <c r="AO166" t="str">
        <f t="shared" si="22"/>
        <v/>
      </c>
    </row>
    <row r="167" spans="1:41">
      <c r="A167">
        <f t="shared" si="27"/>
        <v>163</v>
      </c>
      <c r="B167" t="s">
        <v>273</v>
      </c>
      <c r="C167">
        <v>5</v>
      </c>
      <c r="D167">
        <v>5</v>
      </c>
      <c r="E167" t="s">
        <v>385</v>
      </c>
      <c r="F167">
        <v>412</v>
      </c>
      <c r="G167">
        <v>2</v>
      </c>
      <c r="H167">
        <v>72</v>
      </c>
      <c r="I167" t="s">
        <v>386</v>
      </c>
      <c r="J167" t="s">
        <v>386</v>
      </c>
      <c r="K167">
        <v>10000</v>
      </c>
      <c r="L167">
        <v>277</v>
      </c>
      <c r="M167">
        <v>277</v>
      </c>
      <c r="N167">
        <v>437</v>
      </c>
      <c r="O167">
        <v>0</v>
      </c>
      <c r="P167">
        <v>237</v>
      </c>
      <c r="Q167">
        <v>372</v>
      </c>
      <c r="R167">
        <v>391</v>
      </c>
      <c r="S167">
        <v>274</v>
      </c>
      <c r="T167">
        <v>0</v>
      </c>
      <c r="U167">
        <v>4887</v>
      </c>
      <c r="V167">
        <v>18570.45049322</v>
      </c>
      <c r="AH167">
        <f t="shared" si="23"/>
        <v>277</v>
      </c>
      <c r="AI167">
        <f t="shared" si="24"/>
        <v>437</v>
      </c>
      <c r="AJ167" t="str">
        <f t="shared" si="25"/>
        <v/>
      </c>
      <c r="AK167">
        <f t="shared" si="26"/>
        <v>237</v>
      </c>
      <c r="AL167">
        <f t="shared" si="19"/>
        <v>372</v>
      </c>
      <c r="AM167">
        <f t="shared" si="20"/>
        <v>391</v>
      </c>
      <c r="AN167">
        <f t="shared" si="21"/>
        <v>274</v>
      </c>
      <c r="AO167" t="str">
        <f t="shared" si="22"/>
        <v/>
      </c>
    </row>
    <row r="168" spans="1:41">
      <c r="A168">
        <f t="shared" si="27"/>
        <v>164</v>
      </c>
      <c r="B168" t="s">
        <v>273</v>
      </c>
      <c r="C168">
        <v>5</v>
      </c>
      <c r="D168">
        <v>5</v>
      </c>
      <c r="E168" t="s">
        <v>385</v>
      </c>
      <c r="F168">
        <v>412</v>
      </c>
      <c r="G168">
        <v>2</v>
      </c>
      <c r="H168">
        <v>73</v>
      </c>
      <c r="I168" t="s">
        <v>386</v>
      </c>
      <c r="J168" t="s">
        <v>386</v>
      </c>
      <c r="K168">
        <v>10000</v>
      </c>
      <c r="L168">
        <v>289</v>
      </c>
      <c r="M168">
        <v>289</v>
      </c>
      <c r="N168">
        <v>455</v>
      </c>
      <c r="O168">
        <v>0</v>
      </c>
      <c r="P168">
        <v>267</v>
      </c>
      <c r="Q168">
        <v>421</v>
      </c>
      <c r="R168">
        <v>442</v>
      </c>
      <c r="S168">
        <v>309</v>
      </c>
      <c r="T168">
        <v>0</v>
      </c>
      <c r="U168">
        <v>5086</v>
      </c>
      <c r="V168">
        <v>18603.950909880001</v>
      </c>
      <c r="AH168">
        <f t="shared" si="23"/>
        <v>289</v>
      </c>
      <c r="AI168">
        <f t="shared" si="24"/>
        <v>455</v>
      </c>
      <c r="AJ168" t="str">
        <f t="shared" si="25"/>
        <v/>
      </c>
      <c r="AK168">
        <f t="shared" si="26"/>
        <v>267</v>
      </c>
      <c r="AL168">
        <f t="shared" si="19"/>
        <v>421</v>
      </c>
      <c r="AM168">
        <f t="shared" si="20"/>
        <v>442</v>
      </c>
      <c r="AN168">
        <f t="shared" si="21"/>
        <v>309</v>
      </c>
      <c r="AO168" t="str">
        <f t="shared" si="22"/>
        <v/>
      </c>
    </row>
    <row r="169" spans="1:41">
      <c r="A169">
        <f t="shared" si="27"/>
        <v>165</v>
      </c>
      <c r="B169" t="s">
        <v>273</v>
      </c>
      <c r="C169">
        <v>5</v>
      </c>
      <c r="D169">
        <v>5</v>
      </c>
      <c r="E169" t="s">
        <v>385</v>
      </c>
      <c r="F169">
        <v>412</v>
      </c>
      <c r="G169">
        <v>2</v>
      </c>
      <c r="H169">
        <v>74</v>
      </c>
      <c r="I169" t="s">
        <v>386</v>
      </c>
      <c r="J169" t="s">
        <v>386</v>
      </c>
      <c r="K169">
        <v>10000</v>
      </c>
      <c r="L169">
        <v>301</v>
      </c>
      <c r="M169">
        <v>301</v>
      </c>
      <c r="N169">
        <v>475</v>
      </c>
      <c r="O169">
        <v>0</v>
      </c>
      <c r="P169">
        <v>299</v>
      </c>
      <c r="Q169">
        <v>468</v>
      </c>
      <c r="R169">
        <v>487</v>
      </c>
      <c r="S169">
        <v>334</v>
      </c>
      <c r="T169">
        <v>0</v>
      </c>
      <c r="U169">
        <v>5305</v>
      </c>
      <c r="V169">
        <v>18640.864190370001</v>
      </c>
      <c r="AH169">
        <f t="shared" si="23"/>
        <v>301</v>
      </c>
      <c r="AI169">
        <f t="shared" si="24"/>
        <v>475</v>
      </c>
      <c r="AJ169" t="str">
        <f t="shared" si="25"/>
        <v/>
      </c>
      <c r="AK169">
        <f t="shared" si="26"/>
        <v>299</v>
      </c>
      <c r="AL169">
        <f t="shared" si="19"/>
        <v>468</v>
      </c>
      <c r="AM169">
        <f t="shared" si="20"/>
        <v>487</v>
      </c>
      <c r="AN169">
        <f t="shared" si="21"/>
        <v>334</v>
      </c>
      <c r="AO169" t="str">
        <f t="shared" si="22"/>
        <v/>
      </c>
    </row>
    <row r="170" spans="1:41">
      <c r="A170">
        <f t="shared" si="27"/>
        <v>166</v>
      </c>
      <c r="B170" t="s">
        <v>273</v>
      </c>
      <c r="C170">
        <v>5</v>
      </c>
      <c r="D170">
        <v>5</v>
      </c>
      <c r="E170" t="s">
        <v>385</v>
      </c>
      <c r="F170">
        <v>412</v>
      </c>
      <c r="G170">
        <v>2</v>
      </c>
      <c r="H170">
        <v>75</v>
      </c>
      <c r="I170" t="s">
        <v>386</v>
      </c>
      <c r="J170" t="s">
        <v>386</v>
      </c>
      <c r="K170">
        <v>10000</v>
      </c>
      <c r="L170">
        <v>314</v>
      </c>
      <c r="M170">
        <v>314</v>
      </c>
      <c r="N170">
        <v>495</v>
      </c>
      <c r="O170">
        <v>0</v>
      </c>
      <c r="P170">
        <v>321</v>
      </c>
      <c r="Q170">
        <v>496</v>
      </c>
      <c r="R170">
        <v>502</v>
      </c>
      <c r="S170">
        <v>331</v>
      </c>
      <c r="T170">
        <v>0</v>
      </c>
      <c r="U170">
        <v>5536</v>
      </c>
      <c r="V170">
        <v>18679.695513899998</v>
      </c>
      <c r="AH170">
        <f t="shared" si="23"/>
        <v>314</v>
      </c>
      <c r="AI170">
        <f t="shared" si="24"/>
        <v>495</v>
      </c>
      <c r="AJ170" t="str">
        <f t="shared" si="25"/>
        <v/>
      </c>
      <c r="AK170">
        <f t="shared" si="26"/>
        <v>321</v>
      </c>
      <c r="AL170">
        <f t="shared" si="19"/>
        <v>496</v>
      </c>
      <c r="AM170">
        <f t="shared" si="20"/>
        <v>502</v>
      </c>
      <c r="AN170">
        <f t="shared" si="21"/>
        <v>331</v>
      </c>
      <c r="AO170" t="str">
        <f t="shared" si="22"/>
        <v/>
      </c>
    </row>
    <row r="171" spans="1:41">
      <c r="A171">
        <f t="shared" si="27"/>
        <v>167</v>
      </c>
      <c r="B171" t="s">
        <v>273</v>
      </c>
      <c r="C171">
        <v>4</v>
      </c>
      <c r="D171">
        <v>4</v>
      </c>
      <c r="E171" t="s">
        <v>385</v>
      </c>
      <c r="F171">
        <v>412</v>
      </c>
      <c r="G171">
        <v>2</v>
      </c>
      <c r="H171">
        <v>76</v>
      </c>
      <c r="I171" t="s">
        <v>386</v>
      </c>
      <c r="J171" t="s">
        <v>386</v>
      </c>
      <c r="K171">
        <v>10000</v>
      </c>
      <c r="L171">
        <v>321</v>
      </c>
      <c r="M171">
        <v>321</v>
      </c>
      <c r="N171">
        <v>547</v>
      </c>
      <c r="O171">
        <v>0</v>
      </c>
      <c r="P171">
        <v>252</v>
      </c>
      <c r="Q171">
        <v>338</v>
      </c>
      <c r="R171">
        <v>248</v>
      </c>
      <c r="S171">
        <v>0</v>
      </c>
      <c r="T171" t="s">
        <v>386</v>
      </c>
      <c r="U171">
        <v>6107</v>
      </c>
      <c r="V171">
        <v>18509.906185079999</v>
      </c>
      <c r="AH171">
        <f t="shared" si="23"/>
        <v>321</v>
      </c>
      <c r="AI171">
        <f t="shared" si="24"/>
        <v>547</v>
      </c>
      <c r="AJ171" t="str">
        <f t="shared" si="25"/>
        <v/>
      </c>
      <c r="AK171">
        <f t="shared" si="26"/>
        <v>252</v>
      </c>
      <c r="AL171">
        <f t="shared" si="19"/>
        <v>338</v>
      </c>
      <c r="AM171">
        <f t="shared" si="20"/>
        <v>248</v>
      </c>
      <c r="AN171" t="str">
        <f t="shared" si="21"/>
        <v/>
      </c>
      <c r="AO171" t="e">
        <f t="shared" si="22"/>
        <v>#VALUE!</v>
      </c>
    </row>
    <row r="172" spans="1:41">
      <c r="A172">
        <f t="shared" si="27"/>
        <v>168</v>
      </c>
      <c r="B172" t="s">
        <v>273</v>
      </c>
      <c r="C172">
        <v>3</v>
      </c>
      <c r="D172">
        <v>3</v>
      </c>
      <c r="E172" t="s">
        <v>385</v>
      </c>
      <c r="F172">
        <v>412</v>
      </c>
      <c r="G172">
        <v>2</v>
      </c>
      <c r="H172">
        <v>77</v>
      </c>
      <c r="I172" t="s">
        <v>386</v>
      </c>
      <c r="J172" t="s">
        <v>386</v>
      </c>
      <c r="K172">
        <v>10000</v>
      </c>
      <c r="L172">
        <v>329</v>
      </c>
      <c r="M172">
        <v>329</v>
      </c>
      <c r="N172">
        <v>646</v>
      </c>
      <c r="O172">
        <v>0</v>
      </c>
      <c r="P172">
        <v>168</v>
      </c>
      <c r="Q172">
        <v>162</v>
      </c>
      <c r="R172">
        <v>0</v>
      </c>
      <c r="S172" t="s">
        <v>386</v>
      </c>
      <c r="T172" t="s">
        <v>386</v>
      </c>
      <c r="U172">
        <v>7192</v>
      </c>
      <c r="V172">
        <v>18332.210578490001</v>
      </c>
      <c r="AH172">
        <f t="shared" si="23"/>
        <v>329</v>
      </c>
      <c r="AI172">
        <f t="shared" si="24"/>
        <v>646</v>
      </c>
      <c r="AJ172" t="str">
        <f t="shared" si="25"/>
        <v/>
      </c>
      <c r="AK172">
        <f t="shared" si="26"/>
        <v>168</v>
      </c>
      <c r="AL172">
        <f t="shared" si="19"/>
        <v>162</v>
      </c>
      <c r="AM172" t="str">
        <f t="shared" si="20"/>
        <v/>
      </c>
      <c r="AN172" t="e">
        <f t="shared" si="21"/>
        <v>#VALUE!</v>
      </c>
      <c r="AO172" t="e">
        <f t="shared" si="22"/>
        <v>#VALUE!</v>
      </c>
    </row>
    <row r="173" spans="1:41">
      <c r="A173">
        <f t="shared" si="27"/>
        <v>169</v>
      </c>
      <c r="B173" t="s">
        <v>273</v>
      </c>
      <c r="C173">
        <v>2</v>
      </c>
      <c r="D173">
        <v>2</v>
      </c>
      <c r="E173" t="s">
        <v>385</v>
      </c>
      <c r="F173">
        <v>412</v>
      </c>
      <c r="G173">
        <v>2</v>
      </c>
      <c r="H173">
        <v>78</v>
      </c>
      <c r="I173" t="s">
        <v>386</v>
      </c>
      <c r="J173" t="s">
        <v>386</v>
      </c>
      <c r="K173">
        <v>10000</v>
      </c>
      <c r="L173">
        <v>336</v>
      </c>
      <c r="M173">
        <v>336</v>
      </c>
      <c r="N173">
        <v>640</v>
      </c>
      <c r="O173">
        <v>0</v>
      </c>
      <c r="P173">
        <v>77</v>
      </c>
      <c r="Q173">
        <v>0</v>
      </c>
      <c r="R173" t="s">
        <v>386</v>
      </c>
      <c r="S173" t="s">
        <v>386</v>
      </c>
      <c r="T173" t="s">
        <v>386</v>
      </c>
      <c r="U173">
        <v>4581</v>
      </c>
      <c r="V173">
        <v>18145.783274400001</v>
      </c>
      <c r="AH173">
        <f t="shared" si="23"/>
        <v>336</v>
      </c>
      <c r="AI173">
        <f t="shared" si="24"/>
        <v>640</v>
      </c>
      <c r="AJ173" t="str">
        <f t="shared" si="25"/>
        <v/>
      </c>
      <c r="AK173">
        <f t="shared" si="26"/>
        <v>77</v>
      </c>
      <c r="AL173" t="str">
        <f t="shared" si="19"/>
        <v/>
      </c>
      <c r="AM173" t="e">
        <f t="shared" si="20"/>
        <v>#VALUE!</v>
      </c>
      <c r="AN173" t="e">
        <f t="shared" si="21"/>
        <v>#VALUE!</v>
      </c>
      <c r="AO173" t="e">
        <f t="shared" si="22"/>
        <v>#VALUE!</v>
      </c>
    </row>
    <row r="174" spans="1:41">
      <c r="A174">
        <f t="shared" si="27"/>
        <v>170</v>
      </c>
      <c r="B174" t="s">
        <v>273</v>
      </c>
      <c r="C174">
        <v>1</v>
      </c>
      <c r="D174">
        <v>1</v>
      </c>
      <c r="E174" t="s">
        <v>385</v>
      </c>
      <c r="F174">
        <v>412</v>
      </c>
      <c r="G174">
        <v>2</v>
      </c>
      <c r="H174">
        <v>79</v>
      </c>
      <c r="I174" t="s">
        <v>386</v>
      </c>
      <c r="J174" t="s">
        <v>386</v>
      </c>
      <c r="K174">
        <v>10000</v>
      </c>
      <c r="L174">
        <v>342</v>
      </c>
      <c r="M174">
        <v>342</v>
      </c>
      <c r="N174">
        <v>1072</v>
      </c>
      <c r="O174">
        <v>0</v>
      </c>
      <c r="P174">
        <v>0</v>
      </c>
      <c r="Q174" t="s">
        <v>386</v>
      </c>
      <c r="R174" t="s">
        <v>386</v>
      </c>
      <c r="S174" t="s">
        <v>386</v>
      </c>
      <c r="T174" t="s">
        <v>386</v>
      </c>
      <c r="U174">
        <v>6372</v>
      </c>
      <c r="V174">
        <v>17950.486189769999</v>
      </c>
      <c r="AH174">
        <f t="shared" si="23"/>
        <v>342</v>
      </c>
      <c r="AI174">
        <f t="shared" si="24"/>
        <v>1072</v>
      </c>
      <c r="AJ174" t="str">
        <f t="shared" si="25"/>
        <v/>
      </c>
      <c r="AK174" t="str">
        <f t="shared" si="26"/>
        <v/>
      </c>
      <c r="AL174" t="e">
        <f t="shared" si="19"/>
        <v>#VALUE!</v>
      </c>
      <c r="AM174" t="e">
        <f t="shared" si="20"/>
        <v>#VALUE!</v>
      </c>
      <c r="AN174" t="e">
        <f t="shared" si="21"/>
        <v>#VALUE!</v>
      </c>
      <c r="AO174" t="e">
        <f t="shared" si="22"/>
        <v>#VALUE!</v>
      </c>
    </row>
    <row r="175" spans="1:41">
      <c r="A175">
        <f t="shared" si="27"/>
        <v>171</v>
      </c>
      <c r="B175" t="s">
        <v>273</v>
      </c>
      <c r="C175">
        <v>5</v>
      </c>
      <c r="D175">
        <v>5</v>
      </c>
      <c r="E175" t="s">
        <v>387</v>
      </c>
      <c r="F175">
        <v>412</v>
      </c>
      <c r="G175">
        <v>2</v>
      </c>
      <c r="H175">
        <v>30</v>
      </c>
      <c r="I175" t="s">
        <v>386</v>
      </c>
      <c r="J175" t="s">
        <v>386</v>
      </c>
      <c r="K175">
        <v>10000</v>
      </c>
      <c r="L175">
        <v>175</v>
      </c>
      <c r="M175">
        <v>175</v>
      </c>
      <c r="N175">
        <v>276</v>
      </c>
      <c r="O175">
        <v>0</v>
      </c>
      <c r="P175">
        <v>-64</v>
      </c>
      <c r="Q175">
        <v>-96</v>
      </c>
      <c r="R175">
        <v>-97</v>
      </c>
      <c r="S175">
        <v>-66</v>
      </c>
      <c r="T175">
        <v>0</v>
      </c>
      <c r="U175">
        <v>3086</v>
      </c>
      <c r="V175">
        <v>18267.268636019999</v>
      </c>
      <c r="AH175">
        <f t="shared" si="23"/>
        <v>175</v>
      </c>
      <c r="AI175">
        <f t="shared" si="24"/>
        <v>276</v>
      </c>
      <c r="AJ175" t="str">
        <f t="shared" si="25"/>
        <v/>
      </c>
      <c r="AK175">
        <f t="shared" si="26"/>
        <v>-64</v>
      </c>
      <c r="AL175">
        <f t="shared" si="19"/>
        <v>-96</v>
      </c>
      <c r="AM175">
        <f t="shared" si="20"/>
        <v>-97</v>
      </c>
      <c r="AN175">
        <f t="shared" si="21"/>
        <v>-66</v>
      </c>
      <c r="AO175" t="str">
        <f t="shared" si="22"/>
        <v/>
      </c>
    </row>
    <row r="176" spans="1:41">
      <c r="A176">
        <f t="shared" si="27"/>
        <v>172</v>
      </c>
      <c r="B176" t="s">
        <v>273</v>
      </c>
      <c r="C176">
        <v>5</v>
      </c>
      <c r="D176">
        <v>5</v>
      </c>
      <c r="E176" t="s">
        <v>387</v>
      </c>
      <c r="F176">
        <v>412</v>
      </c>
      <c r="G176">
        <v>2</v>
      </c>
      <c r="H176">
        <v>31</v>
      </c>
      <c r="I176" t="s">
        <v>386</v>
      </c>
      <c r="J176" t="s">
        <v>386</v>
      </c>
      <c r="K176">
        <v>10000</v>
      </c>
      <c r="L176">
        <v>173</v>
      </c>
      <c r="M176">
        <v>173</v>
      </c>
      <c r="N176">
        <v>272</v>
      </c>
      <c r="O176">
        <v>0</v>
      </c>
      <c r="P176">
        <v>-64</v>
      </c>
      <c r="Q176">
        <v>-97</v>
      </c>
      <c r="R176">
        <v>-98</v>
      </c>
      <c r="S176">
        <v>-66</v>
      </c>
      <c r="T176">
        <v>0</v>
      </c>
      <c r="U176">
        <v>3039</v>
      </c>
      <c r="V176">
        <v>18259.26195109</v>
      </c>
      <c r="AH176">
        <f t="shared" si="23"/>
        <v>173</v>
      </c>
      <c r="AI176">
        <f t="shared" si="24"/>
        <v>272</v>
      </c>
      <c r="AJ176" t="str">
        <f t="shared" si="25"/>
        <v/>
      </c>
      <c r="AK176">
        <f t="shared" si="26"/>
        <v>-64</v>
      </c>
      <c r="AL176">
        <f t="shared" si="19"/>
        <v>-97</v>
      </c>
      <c r="AM176">
        <f t="shared" si="20"/>
        <v>-98</v>
      </c>
      <c r="AN176">
        <f t="shared" si="21"/>
        <v>-66</v>
      </c>
      <c r="AO176" t="str">
        <f t="shared" si="22"/>
        <v/>
      </c>
    </row>
    <row r="177" spans="1:41">
      <c r="A177">
        <f t="shared" si="27"/>
        <v>173</v>
      </c>
      <c r="B177" t="s">
        <v>273</v>
      </c>
      <c r="C177">
        <v>5</v>
      </c>
      <c r="D177">
        <v>5</v>
      </c>
      <c r="E177" t="s">
        <v>387</v>
      </c>
      <c r="F177">
        <v>412</v>
      </c>
      <c r="G177">
        <v>2</v>
      </c>
      <c r="H177">
        <v>32</v>
      </c>
      <c r="I177" t="s">
        <v>386</v>
      </c>
      <c r="J177" t="s">
        <v>386</v>
      </c>
      <c r="K177">
        <v>10000</v>
      </c>
      <c r="L177">
        <v>170</v>
      </c>
      <c r="M177">
        <v>170</v>
      </c>
      <c r="N177">
        <v>268</v>
      </c>
      <c r="O177">
        <v>0</v>
      </c>
      <c r="P177">
        <v>-64</v>
      </c>
      <c r="Q177">
        <v>-98</v>
      </c>
      <c r="R177">
        <v>-99</v>
      </c>
      <c r="S177">
        <v>-67</v>
      </c>
      <c r="T177">
        <v>0</v>
      </c>
      <c r="U177">
        <v>2991</v>
      </c>
      <c r="V177">
        <v>18251.209620810001</v>
      </c>
      <c r="AH177">
        <f t="shared" si="23"/>
        <v>170</v>
      </c>
      <c r="AI177">
        <f t="shared" si="24"/>
        <v>268</v>
      </c>
      <c r="AJ177" t="str">
        <f t="shared" si="25"/>
        <v/>
      </c>
      <c r="AK177">
        <f t="shared" si="26"/>
        <v>-64</v>
      </c>
      <c r="AL177">
        <f t="shared" si="19"/>
        <v>-98</v>
      </c>
      <c r="AM177">
        <f t="shared" si="20"/>
        <v>-99</v>
      </c>
      <c r="AN177">
        <f t="shared" si="21"/>
        <v>-67</v>
      </c>
      <c r="AO177" t="str">
        <f t="shared" si="22"/>
        <v/>
      </c>
    </row>
    <row r="178" spans="1:41">
      <c r="A178">
        <f t="shared" si="27"/>
        <v>174</v>
      </c>
      <c r="B178" t="s">
        <v>273</v>
      </c>
      <c r="C178">
        <v>5</v>
      </c>
      <c r="D178">
        <v>5</v>
      </c>
      <c r="E178" t="s">
        <v>387</v>
      </c>
      <c r="F178">
        <v>412</v>
      </c>
      <c r="G178">
        <v>2</v>
      </c>
      <c r="H178">
        <v>33</v>
      </c>
      <c r="I178" t="s">
        <v>386</v>
      </c>
      <c r="J178" t="s">
        <v>386</v>
      </c>
      <c r="K178">
        <v>10000</v>
      </c>
      <c r="L178">
        <v>167</v>
      </c>
      <c r="M178">
        <v>167</v>
      </c>
      <c r="N178">
        <v>263</v>
      </c>
      <c r="O178">
        <v>0</v>
      </c>
      <c r="P178">
        <v>-65</v>
      </c>
      <c r="Q178">
        <v>-98</v>
      </c>
      <c r="R178">
        <v>-100</v>
      </c>
      <c r="S178">
        <v>-67</v>
      </c>
      <c r="T178">
        <v>0</v>
      </c>
      <c r="U178">
        <v>2943</v>
      </c>
      <c r="V178">
        <v>18243.09810453</v>
      </c>
      <c r="AH178">
        <f t="shared" si="23"/>
        <v>167</v>
      </c>
      <c r="AI178">
        <f t="shared" si="24"/>
        <v>263</v>
      </c>
      <c r="AJ178" t="str">
        <f t="shared" si="25"/>
        <v/>
      </c>
      <c r="AK178">
        <f t="shared" si="26"/>
        <v>-65</v>
      </c>
      <c r="AL178">
        <f t="shared" si="19"/>
        <v>-98</v>
      </c>
      <c r="AM178">
        <f t="shared" si="20"/>
        <v>-100</v>
      </c>
      <c r="AN178">
        <f t="shared" si="21"/>
        <v>-67</v>
      </c>
      <c r="AO178" t="str">
        <f t="shared" si="22"/>
        <v/>
      </c>
    </row>
    <row r="179" spans="1:41">
      <c r="A179">
        <f t="shared" si="27"/>
        <v>175</v>
      </c>
      <c r="B179" t="s">
        <v>273</v>
      </c>
      <c r="C179">
        <v>5</v>
      </c>
      <c r="D179">
        <v>5</v>
      </c>
      <c r="E179" t="s">
        <v>387</v>
      </c>
      <c r="F179">
        <v>412</v>
      </c>
      <c r="G179">
        <v>2</v>
      </c>
      <c r="H179">
        <v>34</v>
      </c>
      <c r="I179" t="s">
        <v>386</v>
      </c>
      <c r="J179" t="s">
        <v>386</v>
      </c>
      <c r="K179">
        <v>10000</v>
      </c>
      <c r="L179">
        <v>164</v>
      </c>
      <c r="M179">
        <v>164</v>
      </c>
      <c r="N179">
        <v>259</v>
      </c>
      <c r="O179">
        <v>0</v>
      </c>
      <c r="P179">
        <v>-65</v>
      </c>
      <c r="Q179">
        <v>-99</v>
      </c>
      <c r="R179">
        <v>-100</v>
      </c>
      <c r="S179">
        <v>-68</v>
      </c>
      <c r="T179">
        <v>0</v>
      </c>
      <c r="U179">
        <v>2895</v>
      </c>
      <c r="V179">
        <v>18234.925761490002</v>
      </c>
      <c r="AH179">
        <f t="shared" si="23"/>
        <v>164</v>
      </c>
      <c r="AI179">
        <f t="shared" si="24"/>
        <v>259</v>
      </c>
      <c r="AJ179" t="str">
        <f t="shared" si="25"/>
        <v/>
      </c>
      <c r="AK179">
        <f t="shared" si="26"/>
        <v>-65</v>
      </c>
      <c r="AL179">
        <f t="shared" si="19"/>
        <v>-99</v>
      </c>
      <c r="AM179">
        <f t="shared" si="20"/>
        <v>-100</v>
      </c>
      <c r="AN179">
        <f t="shared" si="21"/>
        <v>-68</v>
      </c>
      <c r="AO179" t="str">
        <f t="shared" si="22"/>
        <v/>
      </c>
    </row>
    <row r="180" spans="1:41">
      <c r="A180">
        <f t="shared" si="27"/>
        <v>176</v>
      </c>
      <c r="B180" t="s">
        <v>273</v>
      </c>
      <c r="C180">
        <v>5</v>
      </c>
      <c r="D180">
        <v>5</v>
      </c>
      <c r="E180" t="s">
        <v>387</v>
      </c>
      <c r="F180">
        <v>412</v>
      </c>
      <c r="G180">
        <v>2</v>
      </c>
      <c r="H180">
        <v>35</v>
      </c>
      <c r="I180" t="s">
        <v>386</v>
      </c>
      <c r="J180" t="s">
        <v>386</v>
      </c>
      <c r="K180">
        <v>10000</v>
      </c>
      <c r="L180">
        <v>162</v>
      </c>
      <c r="M180">
        <v>162</v>
      </c>
      <c r="N180">
        <v>255</v>
      </c>
      <c r="O180">
        <v>0</v>
      </c>
      <c r="P180">
        <v>-66</v>
      </c>
      <c r="Q180">
        <v>-100</v>
      </c>
      <c r="R180">
        <v>-101</v>
      </c>
      <c r="S180">
        <v>-68</v>
      </c>
      <c r="T180">
        <v>0</v>
      </c>
      <c r="U180">
        <v>2845</v>
      </c>
      <c r="V180">
        <v>18226.704766930001</v>
      </c>
      <c r="AH180">
        <f t="shared" si="23"/>
        <v>162</v>
      </c>
      <c r="AI180">
        <f t="shared" si="24"/>
        <v>255</v>
      </c>
      <c r="AJ180" t="str">
        <f t="shared" si="25"/>
        <v/>
      </c>
      <c r="AK180">
        <f t="shared" si="26"/>
        <v>-66</v>
      </c>
      <c r="AL180">
        <f t="shared" si="19"/>
        <v>-100</v>
      </c>
      <c r="AM180">
        <f t="shared" si="20"/>
        <v>-101</v>
      </c>
      <c r="AN180">
        <f t="shared" si="21"/>
        <v>-68</v>
      </c>
      <c r="AO180" t="str">
        <f t="shared" si="22"/>
        <v/>
      </c>
    </row>
    <row r="181" spans="1:41">
      <c r="A181">
        <f t="shared" si="27"/>
        <v>177</v>
      </c>
      <c r="B181" t="s">
        <v>273</v>
      </c>
      <c r="C181">
        <v>5</v>
      </c>
      <c r="D181">
        <v>5</v>
      </c>
      <c r="E181" t="s">
        <v>387</v>
      </c>
      <c r="F181">
        <v>412</v>
      </c>
      <c r="G181">
        <v>2</v>
      </c>
      <c r="H181">
        <v>36</v>
      </c>
      <c r="I181" t="s">
        <v>386</v>
      </c>
      <c r="J181" t="s">
        <v>386</v>
      </c>
      <c r="K181">
        <v>10000</v>
      </c>
      <c r="L181">
        <v>159</v>
      </c>
      <c r="M181">
        <v>159</v>
      </c>
      <c r="N181">
        <v>250</v>
      </c>
      <c r="O181">
        <v>0</v>
      </c>
      <c r="P181">
        <v>-66</v>
      </c>
      <c r="Q181">
        <v>-100</v>
      </c>
      <c r="R181">
        <v>-101</v>
      </c>
      <c r="S181">
        <v>-68</v>
      </c>
      <c r="T181">
        <v>0</v>
      </c>
      <c r="U181">
        <v>2797</v>
      </c>
      <c r="V181">
        <v>18218.453916890001</v>
      </c>
      <c r="AH181">
        <f t="shared" si="23"/>
        <v>159</v>
      </c>
      <c r="AI181">
        <f t="shared" si="24"/>
        <v>250</v>
      </c>
      <c r="AJ181" t="str">
        <f t="shared" si="25"/>
        <v/>
      </c>
      <c r="AK181">
        <f t="shared" si="26"/>
        <v>-66</v>
      </c>
      <c r="AL181">
        <f t="shared" si="19"/>
        <v>-100</v>
      </c>
      <c r="AM181">
        <f t="shared" si="20"/>
        <v>-101</v>
      </c>
      <c r="AN181">
        <f t="shared" si="21"/>
        <v>-68</v>
      </c>
      <c r="AO181" t="str">
        <f t="shared" si="22"/>
        <v/>
      </c>
    </row>
    <row r="182" spans="1:41">
      <c r="A182">
        <f t="shared" si="27"/>
        <v>178</v>
      </c>
      <c r="B182" t="s">
        <v>273</v>
      </c>
      <c r="C182">
        <v>5</v>
      </c>
      <c r="D182">
        <v>5</v>
      </c>
      <c r="E182" t="s">
        <v>387</v>
      </c>
      <c r="F182">
        <v>412</v>
      </c>
      <c r="G182">
        <v>2</v>
      </c>
      <c r="H182">
        <v>37</v>
      </c>
      <c r="I182" t="s">
        <v>386</v>
      </c>
      <c r="J182" t="s">
        <v>386</v>
      </c>
      <c r="K182">
        <v>10000</v>
      </c>
      <c r="L182">
        <v>156</v>
      </c>
      <c r="M182">
        <v>156</v>
      </c>
      <c r="N182">
        <v>246</v>
      </c>
      <c r="O182">
        <v>0</v>
      </c>
      <c r="P182">
        <v>-66</v>
      </c>
      <c r="Q182">
        <v>-101</v>
      </c>
      <c r="R182">
        <v>-102</v>
      </c>
      <c r="S182">
        <v>-69</v>
      </c>
      <c r="T182">
        <v>0</v>
      </c>
      <c r="U182">
        <v>2747</v>
      </c>
      <c r="V182">
        <v>18210.122418219999</v>
      </c>
      <c r="AH182">
        <f t="shared" si="23"/>
        <v>156</v>
      </c>
      <c r="AI182">
        <f t="shared" si="24"/>
        <v>246</v>
      </c>
      <c r="AJ182" t="str">
        <f t="shared" si="25"/>
        <v/>
      </c>
      <c r="AK182">
        <f t="shared" si="26"/>
        <v>-66</v>
      </c>
      <c r="AL182">
        <f t="shared" si="19"/>
        <v>-101</v>
      </c>
      <c r="AM182">
        <f t="shared" si="20"/>
        <v>-102</v>
      </c>
      <c r="AN182">
        <f t="shared" si="21"/>
        <v>-69</v>
      </c>
      <c r="AO182" t="str">
        <f t="shared" si="22"/>
        <v/>
      </c>
    </row>
    <row r="183" spans="1:41">
      <c r="A183">
        <f t="shared" si="27"/>
        <v>179</v>
      </c>
      <c r="B183" t="s">
        <v>273</v>
      </c>
      <c r="C183">
        <v>5</v>
      </c>
      <c r="D183">
        <v>5</v>
      </c>
      <c r="E183" t="s">
        <v>387</v>
      </c>
      <c r="F183">
        <v>412</v>
      </c>
      <c r="G183">
        <v>2</v>
      </c>
      <c r="H183">
        <v>38</v>
      </c>
      <c r="I183" t="s">
        <v>386</v>
      </c>
      <c r="J183" t="s">
        <v>386</v>
      </c>
      <c r="K183">
        <v>10000</v>
      </c>
      <c r="L183">
        <v>153</v>
      </c>
      <c r="M183">
        <v>153</v>
      </c>
      <c r="N183">
        <v>241</v>
      </c>
      <c r="O183">
        <v>0</v>
      </c>
      <c r="P183">
        <v>-67</v>
      </c>
      <c r="Q183">
        <v>-102</v>
      </c>
      <c r="R183">
        <v>-104</v>
      </c>
      <c r="S183">
        <v>-71</v>
      </c>
      <c r="T183">
        <v>0</v>
      </c>
      <c r="U183">
        <v>2697</v>
      </c>
      <c r="V183">
        <v>18201.635449130001</v>
      </c>
      <c r="AH183">
        <f t="shared" si="23"/>
        <v>153</v>
      </c>
      <c r="AI183">
        <f t="shared" si="24"/>
        <v>241</v>
      </c>
      <c r="AJ183" t="str">
        <f t="shared" si="25"/>
        <v/>
      </c>
      <c r="AK183">
        <f t="shared" si="26"/>
        <v>-67</v>
      </c>
      <c r="AL183">
        <f t="shared" si="19"/>
        <v>-102</v>
      </c>
      <c r="AM183">
        <f t="shared" si="20"/>
        <v>-104</v>
      </c>
      <c r="AN183">
        <f t="shared" si="21"/>
        <v>-71</v>
      </c>
      <c r="AO183" t="str">
        <f t="shared" si="22"/>
        <v/>
      </c>
    </row>
    <row r="184" spans="1:41">
      <c r="A184">
        <f t="shared" si="27"/>
        <v>180</v>
      </c>
      <c r="B184" t="s">
        <v>273</v>
      </c>
      <c r="C184">
        <v>5</v>
      </c>
      <c r="D184">
        <v>5</v>
      </c>
      <c r="E184" t="s">
        <v>387</v>
      </c>
      <c r="F184">
        <v>412</v>
      </c>
      <c r="G184">
        <v>2</v>
      </c>
      <c r="H184">
        <v>39</v>
      </c>
      <c r="I184" t="s">
        <v>386</v>
      </c>
      <c r="J184" t="s">
        <v>386</v>
      </c>
      <c r="K184">
        <v>10000</v>
      </c>
      <c r="L184">
        <v>150</v>
      </c>
      <c r="M184">
        <v>150</v>
      </c>
      <c r="N184">
        <v>237</v>
      </c>
      <c r="O184">
        <v>0</v>
      </c>
      <c r="P184">
        <v>-68</v>
      </c>
      <c r="Q184">
        <v>-104</v>
      </c>
      <c r="R184">
        <v>-105</v>
      </c>
      <c r="S184">
        <v>-70</v>
      </c>
      <c r="T184">
        <v>0</v>
      </c>
      <c r="U184">
        <v>2647</v>
      </c>
      <c r="V184">
        <v>18193.174117260001</v>
      </c>
      <c r="AH184">
        <f t="shared" si="23"/>
        <v>150</v>
      </c>
      <c r="AI184">
        <f t="shared" si="24"/>
        <v>237</v>
      </c>
      <c r="AJ184" t="str">
        <f t="shared" si="25"/>
        <v/>
      </c>
      <c r="AK184">
        <f t="shared" si="26"/>
        <v>-68</v>
      </c>
      <c r="AL184">
        <f t="shared" si="19"/>
        <v>-104</v>
      </c>
      <c r="AM184">
        <f t="shared" si="20"/>
        <v>-105</v>
      </c>
      <c r="AN184">
        <f t="shared" si="21"/>
        <v>-70</v>
      </c>
      <c r="AO184" t="str">
        <f t="shared" si="22"/>
        <v/>
      </c>
    </row>
    <row r="185" spans="1:41">
      <c r="A185">
        <f t="shared" si="27"/>
        <v>181</v>
      </c>
      <c r="B185" t="s">
        <v>273</v>
      </c>
      <c r="C185">
        <v>5</v>
      </c>
      <c r="D185">
        <v>5</v>
      </c>
      <c r="E185" t="s">
        <v>387</v>
      </c>
      <c r="F185">
        <v>412</v>
      </c>
      <c r="G185">
        <v>2</v>
      </c>
      <c r="H185">
        <v>40</v>
      </c>
      <c r="I185" t="s">
        <v>386</v>
      </c>
      <c r="J185" t="s">
        <v>386</v>
      </c>
      <c r="K185">
        <v>10000</v>
      </c>
      <c r="L185">
        <v>148</v>
      </c>
      <c r="M185">
        <v>148</v>
      </c>
      <c r="N185">
        <v>233</v>
      </c>
      <c r="O185">
        <v>0</v>
      </c>
      <c r="P185">
        <v>-66</v>
      </c>
      <c r="Q185">
        <v>-99</v>
      </c>
      <c r="R185">
        <v>-95</v>
      </c>
      <c r="S185">
        <v>-57</v>
      </c>
      <c r="T185">
        <v>0</v>
      </c>
      <c r="U185">
        <v>2601</v>
      </c>
      <c r="V185">
        <v>18185.384419350001</v>
      </c>
      <c r="AH185">
        <f t="shared" si="23"/>
        <v>148</v>
      </c>
      <c r="AI185">
        <f t="shared" si="24"/>
        <v>233</v>
      </c>
      <c r="AJ185" t="str">
        <f t="shared" si="25"/>
        <v/>
      </c>
      <c r="AK185">
        <f t="shared" si="26"/>
        <v>-66</v>
      </c>
      <c r="AL185">
        <f t="shared" si="19"/>
        <v>-99</v>
      </c>
      <c r="AM185">
        <f t="shared" si="20"/>
        <v>-95</v>
      </c>
      <c r="AN185">
        <f t="shared" si="21"/>
        <v>-57</v>
      </c>
      <c r="AO185" t="str">
        <f t="shared" si="22"/>
        <v/>
      </c>
    </row>
    <row r="186" spans="1:41">
      <c r="A186">
        <f t="shared" si="27"/>
        <v>182</v>
      </c>
      <c r="B186" t="s">
        <v>273</v>
      </c>
      <c r="C186">
        <v>5</v>
      </c>
      <c r="D186">
        <v>5</v>
      </c>
      <c r="E186" t="s">
        <v>387</v>
      </c>
      <c r="F186">
        <v>412</v>
      </c>
      <c r="G186">
        <v>2</v>
      </c>
      <c r="H186">
        <v>41</v>
      </c>
      <c r="I186" t="s">
        <v>386</v>
      </c>
      <c r="J186" t="s">
        <v>386</v>
      </c>
      <c r="K186">
        <v>10000</v>
      </c>
      <c r="L186">
        <v>146</v>
      </c>
      <c r="M186">
        <v>146</v>
      </c>
      <c r="N186">
        <v>229</v>
      </c>
      <c r="O186">
        <v>0</v>
      </c>
      <c r="P186">
        <v>-56</v>
      </c>
      <c r="Q186">
        <v>-76</v>
      </c>
      <c r="R186">
        <v>-63</v>
      </c>
      <c r="S186">
        <v>-31</v>
      </c>
      <c r="T186">
        <v>0</v>
      </c>
      <c r="U186">
        <v>2564</v>
      </c>
      <c r="V186">
        <v>18179.28500421</v>
      </c>
      <c r="AH186">
        <f t="shared" si="23"/>
        <v>146</v>
      </c>
      <c r="AI186">
        <f t="shared" si="24"/>
        <v>229</v>
      </c>
      <c r="AJ186" t="str">
        <f t="shared" si="25"/>
        <v/>
      </c>
      <c r="AK186">
        <f t="shared" si="26"/>
        <v>-56</v>
      </c>
      <c r="AL186">
        <f t="shared" si="19"/>
        <v>-76</v>
      </c>
      <c r="AM186">
        <f t="shared" si="20"/>
        <v>-63</v>
      </c>
      <c r="AN186">
        <f t="shared" si="21"/>
        <v>-31</v>
      </c>
      <c r="AO186" t="str">
        <f t="shared" si="22"/>
        <v/>
      </c>
    </row>
    <row r="187" spans="1:41">
      <c r="A187">
        <f t="shared" si="27"/>
        <v>183</v>
      </c>
      <c r="B187" t="s">
        <v>273</v>
      </c>
      <c r="C187">
        <v>5</v>
      </c>
      <c r="D187">
        <v>5</v>
      </c>
      <c r="E187" t="s">
        <v>387</v>
      </c>
      <c r="F187">
        <v>412</v>
      </c>
      <c r="G187">
        <v>2</v>
      </c>
      <c r="H187">
        <v>42</v>
      </c>
      <c r="I187" t="s">
        <v>386</v>
      </c>
      <c r="J187" t="s">
        <v>386</v>
      </c>
      <c r="K187">
        <v>10000</v>
      </c>
      <c r="L187">
        <v>144</v>
      </c>
      <c r="M187">
        <v>144</v>
      </c>
      <c r="N187">
        <v>228</v>
      </c>
      <c r="O187">
        <v>0</v>
      </c>
      <c r="P187">
        <v>-32</v>
      </c>
      <c r="Q187">
        <v>-32</v>
      </c>
      <c r="R187">
        <v>-12</v>
      </c>
      <c r="S187">
        <v>6</v>
      </c>
      <c r="T187">
        <v>0</v>
      </c>
      <c r="U187">
        <v>2545</v>
      </c>
      <c r="V187">
        <v>18175.998181210001</v>
      </c>
      <c r="AH187">
        <f t="shared" si="23"/>
        <v>144</v>
      </c>
      <c r="AI187">
        <f t="shared" si="24"/>
        <v>228</v>
      </c>
      <c r="AJ187" t="str">
        <f t="shared" si="25"/>
        <v/>
      </c>
      <c r="AK187">
        <f t="shared" si="26"/>
        <v>-32</v>
      </c>
      <c r="AL187">
        <f t="shared" si="19"/>
        <v>-32</v>
      </c>
      <c r="AM187">
        <f t="shared" si="20"/>
        <v>-12</v>
      </c>
      <c r="AN187">
        <f t="shared" si="21"/>
        <v>6</v>
      </c>
      <c r="AO187" t="str">
        <f t="shared" si="22"/>
        <v/>
      </c>
    </row>
    <row r="188" spans="1:41">
      <c r="A188">
        <f t="shared" si="27"/>
        <v>184</v>
      </c>
      <c r="B188" t="s">
        <v>273</v>
      </c>
      <c r="C188">
        <v>5</v>
      </c>
      <c r="D188">
        <v>5</v>
      </c>
      <c r="E188" t="s">
        <v>387</v>
      </c>
      <c r="F188">
        <v>412</v>
      </c>
      <c r="G188">
        <v>2</v>
      </c>
      <c r="H188">
        <v>43</v>
      </c>
      <c r="I188" t="s">
        <v>386</v>
      </c>
      <c r="J188" t="s">
        <v>386</v>
      </c>
      <c r="K188">
        <v>10000</v>
      </c>
      <c r="L188">
        <v>145</v>
      </c>
      <c r="M188">
        <v>145</v>
      </c>
      <c r="N188">
        <v>228</v>
      </c>
      <c r="O188">
        <v>0</v>
      </c>
      <c r="P188">
        <v>3</v>
      </c>
      <c r="Q188">
        <v>24</v>
      </c>
      <c r="R188">
        <v>45</v>
      </c>
      <c r="S188">
        <v>41</v>
      </c>
      <c r="T188">
        <v>0</v>
      </c>
      <c r="U188">
        <v>2547</v>
      </c>
      <c r="V188">
        <v>18176.336418300001</v>
      </c>
      <c r="AH188">
        <f t="shared" si="23"/>
        <v>145</v>
      </c>
      <c r="AI188">
        <f t="shared" si="24"/>
        <v>228</v>
      </c>
      <c r="AJ188" t="str">
        <f t="shared" si="25"/>
        <v/>
      </c>
      <c r="AK188">
        <f t="shared" si="26"/>
        <v>3</v>
      </c>
      <c r="AL188">
        <f t="shared" si="19"/>
        <v>24</v>
      </c>
      <c r="AM188">
        <f t="shared" si="20"/>
        <v>45</v>
      </c>
      <c r="AN188">
        <f t="shared" si="21"/>
        <v>41</v>
      </c>
      <c r="AO188" t="str">
        <f t="shared" si="22"/>
        <v/>
      </c>
    </row>
    <row r="189" spans="1:41">
      <c r="A189">
        <f t="shared" si="27"/>
        <v>185</v>
      </c>
      <c r="B189" t="s">
        <v>273</v>
      </c>
      <c r="C189">
        <v>5</v>
      </c>
      <c r="D189">
        <v>5</v>
      </c>
      <c r="E189" t="s">
        <v>387</v>
      </c>
      <c r="F189">
        <v>412</v>
      </c>
      <c r="G189">
        <v>2</v>
      </c>
      <c r="H189">
        <v>44</v>
      </c>
      <c r="I189" t="s">
        <v>386</v>
      </c>
      <c r="J189" t="s">
        <v>386</v>
      </c>
      <c r="K189">
        <v>10000</v>
      </c>
      <c r="L189">
        <v>146</v>
      </c>
      <c r="M189">
        <v>146</v>
      </c>
      <c r="N189">
        <v>230</v>
      </c>
      <c r="O189">
        <v>0</v>
      </c>
      <c r="P189">
        <v>38</v>
      </c>
      <c r="Q189">
        <v>75</v>
      </c>
      <c r="R189">
        <v>89</v>
      </c>
      <c r="S189">
        <v>66</v>
      </c>
      <c r="T189">
        <v>0</v>
      </c>
      <c r="U189">
        <v>2571</v>
      </c>
      <c r="V189">
        <v>18180.367860620001</v>
      </c>
      <c r="AH189">
        <f t="shared" si="23"/>
        <v>146</v>
      </c>
      <c r="AI189">
        <f t="shared" si="24"/>
        <v>230</v>
      </c>
      <c r="AJ189" t="str">
        <f t="shared" si="25"/>
        <v/>
      </c>
      <c r="AK189">
        <f t="shared" si="26"/>
        <v>38</v>
      </c>
      <c r="AL189">
        <f t="shared" si="19"/>
        <v>75</v>
      </c>
      <c r="AM189">
        <f t="shared" si="20"/>
        <v>89</v>
      </c>
      <c r="AN189">
        <f t="shared" si="21"/>
        <v>66</v>
      </c>
      <c r="AO189" t="str">
        <f t="shared" si="22"/>
        <v/>
      </c>
    </row>
    <row r="190" spans="1:41">
      <c r="A190">
        <f t="shared" si="27"/>
        <v>186</v>
      </c>
      <c r="B190" t="s">
        <v>273</v>
      </c>
      <c r="C190">
        <v>5</v>
      </c>
      <c r="D190">
        <v>5</v>
      </c>
      <c r="E190" t="s">
        <v>387</v>
      </c>
      <c r="F190">
        <v>412</v>
      </c>
      <c r="G190">
        <v>2</v>
      </c>
      <c r="H190">
        <v>45</v>
      </c>
      <c r="I190" t="s">
        <v>386</v>
      </c>
      <c r="J190" t="s">
        <v>386</v>
      </c>
      <c r="K190">
        <v>10000</v>
      </c>
      <c r="L190">
        <v>148</v>
      </c>
      <c r="M190">
        <v>148</v>
      </c>
      <c r="N190">
        <v>234</v>
      </c>
      <c r="O190">
        <v>0</v>
      </c>
      <c r="P190">
        <v>65</v>
      </c>
      <c r="Q190">
        <v>107</v>
      </c>
      <c r="R190">
        <v>113</v>
      </c>
      <c r="S190">
        <v>77</v>
      </c>
      <c r="T190">
        <v>0</v>
      </c>
      <c r="U190">
        <v>2612</v>
      </c>
      <c r="V190">
        <v>18187.367504739999</v>
      </c>
      <c r="AH190">
        <f t="shared" si="23"/>
        <v>148</v>
      </c>
      <c r="AI190">
        <f t="shared" si="24"/>
        <v>234</v>
      </c>
      <c r="AJ190" t="str">
        <f t="shared" si="25"/>
        <v/>
      </c>
      <c r="AK190">
        <f t="shared" si="26"/>
        <v>65</v>
      </c>
      <c r="AL190">
        <f t="shared" si="19"/>
        <v>107</v>
      </c>
      <c r="AM190">
        <f t="shared" si="20"/>
        <v>113</v>
      </c>
      <c r="AN190">
        <f t="shared" si="21"/>
        <v>77</v>
      </c>
      <c r="AO190" t="str">
        <f t="shared" si="22"/>
        <v/>
      </c>
    </row>
    <row r="191" spans="1:41">
      <c r="A191">
        <f t="shared" si="27"/>
        <v>187</v>
      </c>
      <c r="B191" t="s">
        <v>273</v>
      </c>
      <c r="C191">
        <v>5</v>
      </c>
      <c r="D191">
        <v>5</v>
      </c>
      <c r="E191" t="s">
        <v>387</v>
      </c>
      <c r="F191">
        <v>412</v>
      </c>
      <c r="G191">
        <v>2</v>
      </c>
      <c r="H191">
        <v>46</v>
      </c>
      <c r="I191" t="s">
        <v>386</v>
      </c>
      <c r="J191" t="s">
        <v>386</v>
      </c>
      <c r="K191">
        <v>10000</v>
      </c>
      <c r="L191">
        <v>151</v>
      </c>
      <c r="M191">
        <v>151</v>
      </c>
      <c r="N191">
        <v>238</v>
      </c>
      <c r="O191">
        <v>0</v>
      </c>
      <c r="P191">
        <v>77</v>
      </c>
      <c r="Q191">
        <v>118</v>
      </c>
      <c r="R191">
        <v>119</v>
      </c>
      <c r="S191">
        <v>79</v>
      </c>
      <c r="T191">
        <v>0</v>
      </c>
      <c r="U191">
        <v>2665</v>
      </c>
      <c r="V191">
        <v>18196.20612304</v>
      </c>
      <c r="AH191">
        <f t="shared" si="23"/>
        <v>151</v>
      </c>
      <c r="AI191">
        <f t="shared" si="24"/>
        <v>238</v>
      </c>
      <c r="AJ191" t="str">
        <f t="shared" si="25"/>
        <v/>
      </c>
      <c r="AK191">
        <f t="shared" si="26"/>
        <v>77</v>
      </c>
      <c r="AL191">
        <f t="shared" si="19"/>
        <v>118</v>
      </c>
      <c r="AM191">
        <f t="shared" si="20"/>
        <v>119</v>
      </c>
      <c r="AN191">
        <f t="shared" si="21"/>
        <v>79</v>
      </c>
      <c r="AO191" t="str">
        <f t="shared" si="22"/>
        <v/>
      </c>
    </row>
    <row r="192" spans="1:41">
      <c r="A192">
        <f t="shared" si="27"/>
        <v>188</v>
      </c>
      <c r="B192" t="s">
        <v>273</v>
      </c>
      <c r="C192">
        <v>5</v>
      </c>
      <c r="D192">
        <v>5</v>
      </c>
      <c r="E192" t="s">
        <v>387</v>
      </c>
      <c r="F192">
        <v>412</v>
      </c>
      <c r="G192">
        <v>2</v>
      </c>
      <c r="H192">
        <v>47</v>
      </c>
      <c r="I192" t="s">
        <v>386</v>
      </c>
      <c r="J192" t="s">
        <v>386</v>
      </c>
      <c r="K192">
        <v>10000</v>
      </c>
      <c r="L192">
        <v>155</v>
      </c>
      <c r="M192">
        <v>155</v>
      </c>
      <c r="N192">
        <v>244</v>
      </c>
      <c r="O192">
        <v>0</v>
      </c>
      <c r="P192">
        <v>79</v>
      </c>
      <c r="Q192">
        <v>117</v>
      </c>
      <c r="R192">
        <v>117</v>
      </c>
      <c r="S192">
        <v>78</v>
      </c>
      <c r="T192">
        <v>0</v>
      </c>
      <c r="U192">
        <v>2722</v>
      </c>
      <c r="V192">
        <v>18205.809000419998</v>
      </c>
      <c r="AH192">
        <f t="shared" si="23"/>
        <v>155</v>
      </c>
      <c r="AI192">
        <f t="shared" si="24"/>
        <v>244</v>
      </c>
      <c r="AJ192" t="str">
        <f t="shared" si="25"/>
        <v/>
      </c>
      <c r="AK192">
        <f t="shared" si="26"/>
        <v>79</v>
      </c>
      <c r="AL192">
        <f t="shared" si="19"/>
        <v>117</v>
      </c>
      <c r="AM192">
        <f t="shared" si="20"/>
        <v>117</v>
      </c>
      <c r="AN192">
        <f t="shared" si="21"/>
        <v>78</v>
      </c>
      <c r="AO192" t="str">
        <f t="shared" si="22"/>
        <v/>
      </c>
    </row>
    <row r="193" spans="1:41">
      <c r="A193">
        <f t="shared" si="27"/>
        <v>189</v>
      </c>
      <c r="B193" t="s">
        <v>273</v>
      </c>
      <c r="C193">
        <v>5</v>
      </c>
      <c r="D193">
        <v>5</v>
      </c>
      <c r="E193" t="s">
        <v>387</v>
      </c>
      <c r="F193">
        <v>412</v>
      </c>
      <c r="G193">
        <v>2</v>
      </c>
      <c r="H193">
        <v>48</v>
      </c>
      <c r="I193" t="s">
        <v>386</v>
      </c>
      <c r="J193" t="s">
        <v>386</v>
      </c>
      <c r="K193">
        <v>10000</v>
      </c>
      <c r="L193">
        <v>158</v>
      </c>
      <c r="M193">
        <v>158</v>
      </c>
      <c r="N193">
        <v>249</v>
      </c>
      <c r="O193">
        <v>0</v>
      </c>
      <c r="P193">
        <v>76</v>
      </c>
      <c r="Q193">
        <v>115</v>
      </c>
      <c r="R193">
        <v>116</v>
      </c>
      <c r="S193">
        <v>78</v>
      </c>
      <c r="T193">
        <v>0</v>
      </c>
      <c r="U193">
        <v>2779</v>
      </c>
      <c r="V193">
        <v>18215.480853609999</v>
      </c>
      <c r="AH193">
        <f t="shared" si="23"/>
        <v>158</v>
      </c>
      <c r="AI193">
        <f t="shared" si="24"/>
        <v>249</v>
      </c>
      <c r="AJ193" t="str">
        <f t="shared" si="25"/>
        <v/>
      </c>
      <c r="AK193">
        <f t="shared" si="26"/>
        <v>76</v>
      </c>
      <c r="AL193">
        <f t="shared" si="19"/>
        <v>115</v>
      </c>
      <c r="AM193">
        <f t="shared" si="20"/>
        <v>116</v>
      </c>
      <c r="AN193">
        <f t="shared" si="21"/>
        <v>78</v>
      </c>
      <c r="AO193" t="str">
        <f t="shared" si="22"/>
        <v/>
      </c>
    </row>
    <row r="194" spans="1:41">
      <c r="A194">
        <f t="shared" si="27"/>
        <v>190</v>
      </c>
      <c r="B194" t="s">
        <v>273</v>
      </c>
      <c r="C194">
        <v>5</v>
      </c>
      <c r="D194">
        <v>5</v>
      </c>
      <c r="E194" t="s">
        <v>387</v>
      </c>
      <c r="F194">
        <v>412</v>
      </c>
      <c r="G194">
        <v>2</v>
      </c>
      <c r="H194">
        <v>49</v>
      </c>
      <c r="I194" t="s">
        <v>386</v>
      </c>
      <c r="J194" t="s">
        <v>386</v>
      </c>
      <c r="K194">
        <v>10000</v>
      </c>
      <c r="L194">
        <v>161</v>
      </c>
      <c r="M194">
        <v>161</v>
      </c>
      <c r="N194">
        <v>254</v>
      </c>
      <c r="O194">
        <v>0</v>
      </c>
      <c r="P194">
        <v>75</v>
      </c>
      <c r="Q194">
        <v>114</v>
      </c>
      <c r="R194">
        <v>115</v>
      </c>
      <c r="S194">
        <v>77</v>
      </c>
      <c r="T194">
        <v>0</v>
      </c>
      <c r="U194">
        <v>2836</v>
      </c>
      <c r="V194">
        <v>18224.979473529998</v>
      </c>
      <c r="AH194">
        <f t="shared" si="23"/>
        <v>161</v>
      </c>
      <c r="AI194">
        <f t="shared" si="24"/>
        <v>254</v>
      </c>
      <c r="AJ194" t="str">
        <f t="shared" si="25"/>
        <v/>
      </c>
      <c r="AK194">
        <f t="shared" si="26"/>
        <v>75</v>
      </c>
      <c r="AL194">
        <f t="shared" si="19"/>
        <v>114</v>
      </c>
      <c r="AM194">
        <f t="shared" si="20"/>
        <v>115</v>
      </c>
      <c r="AN194">
        <f t="shared" si="21"/>
        <v>77</v>
      </c>
      <c r="AO194" t="str">
        <f t="shared" si="22"/>
        <v/>
      </c>
    </row>
    <row r="195" spans="1:41">
      <c r="A195">
        <f t="shared" si="27"/>
        <v>191</v>
      </c>
      <c r="B195" t="s">
        <v>273</v>
      </c>
      <c r="C195">
        <v>5</v>
      </c>
      <c r="D195">
        <v>5</v>
      </c>
      <c r="E195" t="s">
        <v>387</v>
      </c>
      <c r="F195">
        <v>412</v>
      </c>
      <c r="G195">
        <v>2</v>
      </c>
      <c r="H195">
        <v>50</v>
      </c>
      <c r="I195" t="s">
        <v>386</v>
      </c>
      <c r="J195" t="s">
        <v>386</v>
      </c>
      <c r="K195">
        <v>10000</v>
      </c>
      <c r="L195">
        <v>164</v>
      </c>
      <c r="M195">
        <v>164</v>
      </c>
      <c r="N195">
        <v>259</v>
      </c>
      <c r="O195">
        <v>0</v>
      </c>
      <c r="P195">
        <v>75</v>
      </c>
      <c r="Q195">
        <v>113</v>
      </c>
      <c r="R195">
        <v>113</v>
      </c>
      <c r="S195">
        <v>75</v>
      </c>
      <c r="T195">
        <v>0</v>
      </c>
      <c r="U195">
        <v>2891</v>
      </c>
      <c r="V195">
        <v>18234.271895099999</v>
      </c>
      <c r="AH195">
        <f t="shared" si="23"/>
        <v>164</v>
      </c>
      <c r="AI195">
        <f t="shared" si="24"/>
        <v>259</v>
      </c>
      <c r="AJ195" t="str">
        <f t="shared" si="25"/>
        <v/>
      </c>
      <c r="AK195">
        <f t="shared" si="26"/>
        <v>75</v>
      </c>
      <c r="AL195">
        <f t="shared" si="19"/>
        <v>113</v>
      </c>
      <c r="AM195">
        <f t="shared" si="20"/>
        <v>113</v>
      </c>
      <c r="AN195">
        <f t="shared" si="21"/>
        <v>75</v>
      </c>
      <c r="AO195" t="str">
        <f t="shared" si="22"/>
        <v/>
      </c>
    </row>
    <row r="196" spans="1:41">
      <c r="A196">
        <f t="shared" si="27"/>
        <v>192</v>
      </c>
      <c r="B196" t="s">
        <v>273</v>
      </c>
      <c r="C196">
        <v>5</v>
      </c>
      <c r="D196">
        <v>5</v>
      </c>
      <c r="E196" t="s">
        <v>387</v>
      </c>
      <c r="F196">
        <v>412</v>
      </c>
      <c r="G196">
        <v>2</v>
      </c>
      <c r="H196">
        <v>51</v>
      </c>
      <c r="I196" t="s">
        <v>386</v>
      </c>
      <c r="J196" t="s">
        <v>386</v>
      </c>
      <c r="K196">
        <v>10000</v>
      </c>
      <c r="L196">
        <v>167</v>
      </c>
      <c r="M196">
        <v>167</v>
      </c>
      <c r="N196">
        <v>263</v>
      </c>
      <c r="O196">
        <v>0</v>
      </c>
      <c r="P196">
        <v>73</v>
      </c>
      <c r="Q196">
        <v>109</v>
      </c>
      <c r="R196">
        <v>107</v>
      </c>
      <c r="S196">
        <v>70</v>
      </c>
      <c r="T196">
        <v>0</v>
      </c>
      <c r="U196">
        <v>2944</v>
      </c>
      <c r="V196">
        <v>18243.232255070001</v>
      </c>
      <c r="AH196">
        <f t="shared" si="23"/>
        <v>167</v>
      </c>
      <c r="AI196">
        <f t="shared" si="24"/>
        <v>263</v>
      </c>
      <c r="AJ196" t="str">
        <f t="shared" si="25"/>
        <v/>
      </c>
      <c r="AK196">
        <f t="shared" si="26"/>
        <v>73</v>
      </c>
      <c r="AL196">
        <f t="shared" si="19"/>
        <v>109</v>
      </c>
      <c r="AM196">
        <f t="shared" si="20"/>
        <v>107</v>
      </c>
      <c r="AN196">
        <f t="shared" si="21"/>
        <v>70</v>
      </c>
      <c r="AO196" t="str">
        <f t="shared" si="22"/>
        <v/>
      </c>
    </row>
    <row r="197" spans="1:41">
      <c r="A197">
        <f t="shared" si="27"/>
        <v>193</v>
      </c>
      <c r="B197" t="s">
        <v>273</v>
      </c>
      <c r="C197">
        <v>5</v>
      </c>
      <c r="D197">
        <v>5</v>
      </c>
      <c r="E197" t="s">
        <v>387</v>
      </c>
      <c r="F197">
        <v>412</v>
      </c>
      <c r="G197">
        <v>2</v>
      </c>
      <c r="H197">
        <v>52</v>
      </c>
      <c r="I197" t="s">
        <v>386</v>
      </c>
      <c r="J197" t="s">
        <v>386</v>
      </c>
      <c r="K197">
        <v>10000</v>
      </c>
      <c r="L197">
        <v>170</v>
      </c>
      <c r="M197">
        <v>170</v>
      </c>
      <c r="N197">
        <v>268</v>
      </c>
      <c r="O197">
        <v>0</v>
      </c>
      <c r="P197">
        <v>68</v>
      </c>
      <c r="Q197">
        <v>100</v>
      </c>
      <c r="R197">
        <v>97</v>
      </c>
      <c r="S197">
        <v>63</v>
      </c>
      <c r="T197">
        <v>0</v>
      </c>
      <c r="U197">
        <v>2994</v>
      </c>
      <c r="V197">
        <v>18251.638998390001</v>
      </c>
      <c r="AH197">
        <f t="shared" si="23"/>
        <v>170</v>
      </c>
      <c r="AI197">
        <f t="shared" si="24"/>
        <v>268</v>
      </c>
      <c r="AJ197" t="str">
        <f t="shared" si="25"/>
        <v/>
      </c>
      <c r="AK197">
        <f t="shared" si="26"/>
        <v>68</v>
      </c>
      <c r="AL197">
        <f t="shared" ref="AL197:AL260" si="28">IF(Q197=AC197, "", Q197-AC197)</f>
        <v>100</v>
      </c>
      <c r="AM197">
        <f t="shared" ref="AM197:AM260" si="29">IF(R197=AD197, "", R197-AD197)</f>
        <v>97</v>
      </c>
      <c r="AN197">
        <f t="shared" ref="AN197:AN260" si="30">IF(S197=AE197, "", S197-AE197)</f>
        <v>63</v>
      </c>
      <c r="AO197" t="str">
        <f t="shared" ref="AO197:AO260" si="31">IF(T197=AF197, "", T197-AF197)</f>
        <v/>
      </c>
    </row>
    <row r="198" spans="1:41">
      <c r="A198">
        <f t="shared" si="27"/>
        <v>194</v>
      </c>
      <c r="B198" t="s">
        <v>273</v>
      </c>
      <c r="C198">
        <v>5</v>
      </c>
      <c r="D198">
        <v>5</v>
      </c>
      <c r="E198" t="s">
        <v>387</v>
      </c>
      <c r="F198">
        <v>412</v>
      </c>
      <c r="G198">
        <v>2</v>
      </c>
      <c r="H198">
        <v>53</v>
      </c>
      <c r="I198" t="s">
        <v>386</v>
      </c>
      <c r="J198" t="s">
        <v>386</v>
      </c>
      <c r="K198">
        <v>10000</v>
      </c>
      <c r="L198">
        <v>173</v>
      </c>
      <c r="M198">
        <v>173</v>
      </c>
      <c r="N198">
        <v>272</v>
      </c>
      <c r="O198">
        <v>0</v>
      </c>
      <c r="P198">
        <v>62</v>
      </c>
      <c r="Q198">
        <v>89</v>
      </c>
      <c r="R198">
        <v>86</v>
      </c>
      <c r="S198">
        <v>56</v>
      </c>
      <c r="T198">
        <v>0</v>
      </c>
      <c r="U198">
        <v>3039</v>
      </c>
      <c r="V198">
        <v>18259.333310530001</v>
      </c>
      <c r="AH198">
        <f t="shared" ref="AH198:AH261" si="32">IF(L198=Y198, "",L198-Y198)</f>
        <v>173</v>
      </c>
      <c r="AI198">
        <f t="shared" ref="AI198:AI261" si="33">IF(N198=Z198, "", N198-Z198)</f>
        <v>272</v>
      </c>
      <c r="AJ198" t="str">
        <f t="shared" ref="AJ198:AJ261" si="34">IF(O198=AA198, "", O198-AA198)</f>
        <v/>
      </c>
      <c r="AK198">
        <f t="shared" ref="AK198:AK261" si="35">IF(P198=AB198, "", P198-AB198)</f>
        <v>62</v>
      </c>
      <c r="AL198">
        <f t="shared" si="28"/>
        <v>89</v>
      </c>
      <c r="AM198">
        <f t="shared" si="29"/>
        <v>86</v>
      </c>
      <c r="AN198">
        <f t="shared" si="30"/>
        <v>56</v>
      </c>
      <c r="AO198" t="str">
        <f t="shared" si="31"/>
        <v/>
      </c>
    </row>
    <row r="199" spans="1:41">
      <c r="A199">
        <f t="shared" ref="A199:A262" si="36">A198+1</f>
        <v>195</v>
      </c>
      <c r="B199" t="s">
        <v>273</v>
      </c>
      <c r="C199">
        <v>5</v>
      </c>
      <c r="D199">
        <v>5</v>
      </c>
      <c r="E199" t="s">
        <v>387</v>
      </c>
      <c r="F199">
        <v>412</v>
      </c>
      <c r="G199">
        <v>2</v>
      </c>
      <c r="H199">
        <v>54</v>
      </c>
      <c r="I199" t="s">
        <v>386</v>
      </c>
      <c r="J199" t="s">
        <v>386</v>
      </c>
      <c r="K199">
        <v>10000</v>
      </c>
      <c r="L199">
        <v>175</v>
      </c>
      <c r="M199">
        <v>175</v>
      </c>
      <c r="N199">
        <v>276</v>
      </c>
      <c r="O199">
        <v>0</v>
      </c>
      <c r="P199">
        <v>55</v>
      </c>
      <c r="Q199">
        <v>79</v>
      </c>
      <c r="R199">
        <v>77</v>
      </c>
      <c r="S199">
        <v>51</v>
      </c>
      <c r="T199">
        <v>0</v>
      </c>
      <c r="U199">
        <v>3081</v>
      </c>
      <c r="V199">
        <v>18266.302665679999</v>
      </c>
      <c r="AH199">
        <f t="shared" si="32"/>
        <v>175</v>
      </c>
      <c r="AI199">
        <f t="shared" si="33"/>
        <v>276</v>
      </c>
      <c r="AJ199" t="str">
        <f t="shared" si="34"/>
        <v/>
      </c>
      <c r="AK199">
        <f t="shared" si="35"/>
        <v>55</v>
      </c>
      <c r="AL199">
        <f t="shared" si="28"/>
        <v>79</v>
      </c>
      <c r="AM199">
        <f t="shared" si="29"/>
        <v>77</v>
      </c>
      <c r="AN199">
        <f t="shared" si="30"/>
        <v>51</v>
      </c>
      <c r="AO199" t="str">
        <f t="shared" si="31"/>
        <v/>
      </c>
    </row>
    <row r="200" spans="1:41">
      <c r="A200">
        <f t="shared" si="36"/>
        <v>196</v>
      </c>
      <c r="B200" t="s">
        <v>273</v>
      </c>
      <c r="C200">
        <v>5</v>
      </c>
      <c r="D200">
        <v>5</v>
      </c>
      <c r="E200" t="s">
        <v>387</v>
      </c>
      <c r="F200">
        <v>412</v>
      </c>
      <c r="G200">
        <v>2</v>
      </c>
      <c r="H200">
        <v>55</v>
      </c>
      <c r="I200" t="s">
        <v>386</v>
      </c>
      <c r="J200" t="s">
        <v>386</v>
      </c>
      <c r="K200">
        <v>10000</v>
      </c>
      <c r="L200">
        <v>177</v>
      </c>
      <c r="M200">
        <v>177</v>
      </c>
      <c r="N200">
        <v>279</v>
      </c>
      <c r="O200">
        <v>0</v>
      </c>
      <c r="P200">
        <v>49</v>
      </c>
      <c r="Q200">
        <v>73</v>
      </c>
      <c r="R200">
        <v>72</v>
      </c>
      <c r="S200">
        <v>49</v>
      </c>
      <c r="T200">
        <v>0</v>
      </c>
      <c r="U200">
        <v>3119</v>
      </c>
      <c r="V200">
        <v>18272.687828049999</v>
      </c>
      <c r="AH200">
        <f t="shared" si="32"/>
        <v>177</v>
      </c>
      <c r="AI200">
        <f t="shared" si="33"/>
        <v>279</v>
      </c>
      <c r="AJ200" t="str">
        <f t="shared" si="34"/>
        <v/>
      </c>
      <c r="AK200">
        <f t="shared" si="35"/>
        <v>49</v>
      </c>
      <c r="AL200">
        <f t="shared" si="28"/>
        <v>73</v>
      </c>
      <c r="AM200">
        <f t="shared" si="29"/>
        <v>72</v>
      </c>
      <c r="AN200">
        <f t="shared" si="30"/>
        <v>49</v>
      </c>
      <c r="AO200" t="str">
        <f t="shared" si="31"/>
        <v/>
      </c>
    </row>
    <row r="201" spans="1:41">
      <c r="A201">
        <f t="shared" si="36"/>
        <v>197</v>
      </c>
      <c r="B201" t="s">
        <v>273</v>
      </c>
      <c r="C201">
        <v>5</v>
      </c>
      <c r="D201">
        <v>5</v>
      </c>
      <c r="E201" t="s">
        <v>387</v>
      </c>
      <c r="F201">
        <v>412</v>
      </c>
      <c r="G201">
        <v>2</v>
      </c>
      <c r="H201">
        <v>56</v>
      </c>
      <c r="I201" t="s">
        <v>386</v>
      </c>
      <c r="J201" t="s">
        <v>386</v>
      </c>
      <c r="K201">
        <v>10000</v>
      </c>
      <c r="L201">
        <v>179</v>
      </c>
      <c r="M201">
        <v>179</v>
      </c>
      <c r="N201">
        <v>282</v>
      </c>
      <c r="O201">
        <v>0</v>
      </c>
      <c r="P201">
        <v>47</v>
      </c>
      <c r="Q201">
        <v>71</v>
      </c>
      <c r="R201">
        <v>71</v>
      </c>
      <c r="S201">
        <v>48</v>
      </c>
      <c r="T201">
        <v>0</v>
      </c>
      <c r="U201">
        <v>3155</v>
      </c>
      <c r="V201">
        <v>18278.712053759999</v>
      </c>
      <c r="AH201">
        <f t="shared" si="32"/>
        <v>179</v>
      </c>
      <c r="AI201">
        <f t="shared" si="33"/>
        <v>282</v>
      </c>
      <c r="AJ201" t="str">
        <f t="shared" si="34"/>
        <v/>
      </c>
      <c r="AK201">
        <f t="shared" si="35"/>
        <v>47</v>
      </c>
      <c r="AL201">
        <f t="shared" si="28"/>
        <v>71</v>
      </c>
      <c r="AM201">
        <f t="shared" si="29"/>
        <v>71</v>
      </c>
      <c r="AN201">
        <f t="shared" si="30"/>
        <v>48</v>
      </c>
      <c r="AO201" t="str">
        <f t="shared" si="31"/>
        <v/>
      </c>
    </row>
    <row r="202" spans="1:41">
      <c r="A202">
        <f t="shared" si="36"/>
        <v>198</v>
      </c>
      <c r="B202" t="s">
        <v>273</v>
      </c>
      <c r="C202">
        <v>5</v>
      </c>
      <c r="D202">
        <v>5</v>
      </c>
      <c r="E202" t="s">
        <v>387</v>
      </c>
      <c r="F202">
        <v>412</v>
      </c>
      <c r="G202">
        <v>2</v>
      </c>
      <c r="H202">
        <v>57</v>
      </c>
      <c r="I202" t="s">
        <v>386</v>
      </c>
      <c r="J202" t="s">
        <v>386</v>
      </c>
      <c r="K202">
        <v>10000</v>
      </c>
      <c r="L202">
        <v>181</v>
      </c>
      <c r="M202">
        <v>181</v>
      </c>
      <c r="N202">
        <v>285</v>
      </c>
      <c r="O202">
        <v>0</v>
      </c>
      <c r="P202">
        <v>46</v>
      </c>
      <c r="Q202">
        <v>70</v>
      </c>
      <c r="R202">
        <v>71</v>
      </c>
      <c r="S202">
        <v>47</v>
      </c>
      <c r="T202">
        <v>0</v>
      </c>
      <c r="U202">
        <v>3189</v>
      </c>
      <c r="V202">
        <v>18284.510632130001</v>
      </c>
      <c r="AH202">
        <f t="shared" si="32"/>
        <v>181</v>
      </c>
      <c r="AI202">
        <f t="shared" si="33"/>
        <v>285</v>
      </c>
      <c r="AJ202" t="str">
        <f t="shared" si="34"/>
        <v/>
      </c>
      <c r="AK202">
        <f t="shared" si="35"/>
        <v>46</v>
      </c>
      <c r="AL202">
        <f t="shared" si="28"/>
        <v>70</v>
      </c>
      <c r="AM202">
        <f t="shared" si="29"/>
        <v>71</v>
      </c>
      <c r="AN202">
        <f t="shared" si="30"/>
        <v>47</v>
      </c>
      <c r="AO202" t="str">
        <f t="shared" si="31"/>
        <v/>
      </c>
    </row>
    <row r="203" spans="1:41">
      <c r="A203">
        <f t="shared" si="36"/>
        <v>199</v>
      </c>
      <c r="B203" t="s">
        <v>273</v>
      </c>
      <c r="C203">
        <v>5</v>
      </c>
      <c r="D203">
        <v>5</v>
      </c>
      <c r="E203" t="s">
        <v>387</v>
      </c>
      <c r="F203">
        <v>412</v>
      </c>
      <c r="G203">
        <v>2</v>
      </c>
      <c r="H203">
        <v>58</v>
      </c>
      <c r="I203" t="s">
        <v>386</v>
      </c>
      <c r="J203" t="s">
        <v>386</v>
      </c>
      <c r="K203">
        <v>10000</v>
      </c>
      <c r="L203">
        <v>183</v>
      </c>
      <c r="M203">
        <v>183</v>
      </c>
      <c r="N203">
        <v>288</v>
      </c>
      <c r="O203">
        <v>0</v>
      </c>
      <c r="P203">
        <v>46</v>
      </c>
      <c r="Q203">
        <v>69</v>
      </c>
      <c r="R203">
        <v>68</v>
      </c>
      <c r="S203">
        <v>44</v>
      </c>
      <c r="T203">
        <v>0</v>
      </c>
      <c r="U203">
        <v>3223</v>
      </c>
      <c r="V203">
        <v>18290.12365464</v>
      </c>
      <c r="AH203">
        <f t="shared" si="32"/>
        <v>183</v>
      </c>
      <c r="AI203">
        <f t="shared" si="33"/>
        <v>288</v>
      </c>
      <c r="AJ203" t="str">
        <f t="shared" si="34"/>
        <v/>
      </c>
      <c r="AK203">
        <f t="shared" si="35"/>
        <v>46</v>
      </c>
      <c r="AL203">
        <f t="shared" si="28"/>
        <v>69</v>
      </c>
      <c r="AM203">
        <f t="shared" si="29"/>
        <v>68</v>
      </c>
      <c r="AN203">
        <f t="shared" si="30"/>
        <v>44</v>
      </c>
      <c r="AO203" t="str">
        <f t="shared" si="31"/>
        <v/>
      </c>
    </row>
    <row r="204" spans="1:41">
      <c r="A204">
        <f t="shared" si="36"/>
        <v>200</v>
      </c>
      <c r="B204" t="s">
        <v>273</v>
      </c>
      <c r="C204">
        <v>5</v>
      </c>
      <c r="D204">
        <v>5</v>
      </c>
      <c r="E204" t="s">
        <v>387</v>
      </c>
      <c r="F204">
        <v>412</v>
      </c>
      <c r="G204">
        <v>2</v>
      </c>
      <c r="H204">
        <v>59</v>
      </c>
      <c r="I204" t="s">
        <v>386</v>
      </c>
      <c r="J204" t="s">
        <v>386</v>
      </c>
      <c r="K204">
        <v>10000</v>
      </c>
      <c r="L204">
        <v>185</v>
      </c>
      <c r="M204">
        <v>185</v>
      </c>
      <c r="N204">
        <v>291</v>
      </c>
      <c r="O204">
        <v>0</v>
      </c>
      <c r="P204">
        <v>45</v>
      </c>
      <c r="Q204">
        <v>67</v>
      </c>
      <c r="R204">
        <v>67</v>
      </c>
      <c r="S204">
        <v>46</v>
      </c>
      <c r="T204">
        <v>0</v>
      </c>
      <c r="U204">
        <v>3257</v>
      </c>
      <c r="V204">
        <v>18295.796461559999</v>
      </c>
      <c r="AH204">
        <f t="shared" si="32"/>
        <v>185</v>
      </c>
      <c r="AI204">
        <f t="shared" si="33"/>
        <v>291</v>
      </c>
      <c r="AJ204" t="str">
        <f t="shared" si="34"/>
        <v/>
      </c>
      <c r="AK204">
        <f t="shared" si="35"/>
        <v>45</v>
      </c>
      <c r="AL204">
        <f t="shared" si="28"/>
        <v>67</v>
      </c>
      <c r="AM204">
        <f t="shared" si="29"/>
        <v>67</v>
      </c>
      <c r="AN204">
        <f t="shared" si="30"/>
        <v>46</v>
      </c>
      <c r="AO204" t="str">
        <f t="shared" si="31"/>
        <v/>
      </c>
    </row>
    <row r="205" spans="1:41">
      <c r="A205">
        <f t="shared" si="36"/>
        <v>201</v>
      </c>
      <c r="B205" t="s">
        <v>273</v>
      </c>
      <c r="C205">
        <v>5</v>
      </c>
      <c r="D205">
        <v>5</v>
      </c>
      <c r="E205" t="s">
        <v>387</v>
      </c>
      <c r="F205">
        <v>412</v>
      </c>
      <c r="G205">
        <v>2</v>
      </c>
      <c r="H205">
        <v>60</v>
      </c>
      <c r="I205" t="s">
        <v>386</v>
      </c>
      <c r="J205" t="s">
        <v>386</v>
      </c>
      <c r="K205">
        <v>10000</v>
      </c>
      <c r="L205">
        <v>187</v>
      </c>
      <c r="M205">
        <v>187</v>
      </c>
      <c r="N205">
        <v>295</v>
      </c>
      <c r="O205">
        <v>0</v>
      </c>
      <c r="P205">
        <v>47</v>
      </c>
      <c r="Q205">
        <v>73</v>
      </c>
      <c r="R205">
        <v>79</v>
      </c>
      <c r="S205">
        <v>60</v>
      </c>
      <c r="T205">
        <v>0</v>
      </c>
      <c r="U205">
        <v>3294</v>
      </c>
      <c r="V205">
        <v>18302.25372895</v>
      </c>
      <c r="AH205">
        <f t="shared" si="32"/>
        <v>187</v>
      </c>
      <c r="AI205">
        <f t="shared" si="33"/>
        <v>295</v>
      </c>
      <c r="AJ205" t="str">
        <f t="shared" si="34"/>
        <v/>
      </c>
      <c r="AK205">
        <f t="shared" si="35"/>
        <v>47</v>
      </c>
      <c r="AL205">
        <f t="shared" si="28"/>
        <v>73</v>
      </c>
      <c r="AM205">
        <f t="shared" si="29"/>
        <v>79</v>
      </c>
      <c r="AN205">
        <f t="shared" si="30"/>
        <v>60</v>
      </c>
      <c r="AO205" t="str">
        <f t="shared" si="31"/>
        <v/>
      </c>
    </row>
    <row r="206" spans="1:41">
      <c r="A206">
        <f t="shared" si="36"/>
        <v>202</v>
      </c>
      <c r="B206" t="s">
        <v>273</v>
      </c>
      <c r="C206">
        <v>5</v>
      </c>
      <c r="D206">
        <v>5</v>
      </c>
      <c r="E206" t="s">
        <v>387</v>
      </c>
      <c r="F206">
        <v>412</v>
      </c>
      <c r="G206">
        <v>2</v>
      </c>
      <c r="H206">
        <v>61</v>
      </c>
      <c r="I206" t="s">
        <v>386</v>
      </c>
      <c r="J206" t="s">
        <v>386</v>
      </c>
      <c r="K206">
        <v>10000</v>
      </c>
      <c r="L206">
        <v>190</v>
      </c>
      <c r="M206">
        <v>190</v>
      </c>
      <c r="N206">
        <v>299</v>
      </c>
      <c r="O206">
        <v>0</v>
      </c>
      <c r="P206">
        <v>59</v>
      </c>
      <c r="Q206">
        <v>99</v>
      </c>
      <c r="R206">
        <v>115</v>
      </c>
      <c r="S206">
        <v>91</v>
      </c>
      <c r="T206">
        <v>0</v>
      </c>
      <c r="U206">
        <v>3344</v>
      </c>
      <c r="V206">
        <v>18310.65008666</v>
      </c>
      <c r="AH206">
        <f t="shared" si="32"/>
        <v>190</v>
      </c>
      <c r="AI206">
        <f t="shared" si="33"/>
        <v>299</v>
      </c>
      <c r="AJ206" t="str">
        <f t="shared" si="34"/>
        <v/>
      </c>
      <c r="AK206">
        <f t="shared" si="35"/>
        <v>59</v>
      </c>
      <c r="AL206">
        <f t="shared" si="28"/>
        <v>99</v>
      </c>
      <c r="AM206">
        <f t="shared" si="29"/>
        <v>115</v>
      </c>
      <c r="AN206">
        <f t="shared" si="30"/>
        <v>91</v>
      </c>
      <c r="AO206" t="str">
        <f t="shared" si="31"/>
        <v/>
      </c>
    </row>
    <row r="207" spans="1:41">
      <c r="A207">
        <f t="shared" si="36"/>
        <v>203</v>
      </c>
      <c r="B207" t="s">
        <v>273</v>
      </c>
      <c r="C207">
        <v>5</v>
      </c>
      <c r="D207">
        <v>5</v>
      </c>
      <c r="E207" t="s">
        <v>387</v>
      </c>
      <c r="F207">
        <v>412</v>
      </c>
      <c r="G207">
        <v>2</v>
      </c>
      <c r="H207">
        <v>62</v>
      </c>
      <c r="I207" t="s">
        <v>386</v>
      </c>
      <c r="J207" t="s">
        <v>386</v>
      </c>
      <c r="K207">
        <v>10000</v>
      </c>
      <c r="L207">
        <v>194</v>
      </c>
      <c r="M207">
        <v>194</v>
      </c>
      <c r="N207">
        <v>305</v>
      </c>
      <c r="O207">
        <v>0</v>
      </c>
      <c r="P207">
        <v>86</v>
      </c>
      <c r="Q207">
        <v>150</v>
      </c>
      <c r="R207">
        <v>174</v>
      </c>
      <c r="S207">
        <v>133</v>
      </c>
      <c r="T207">
        <v>0</v>
      </c>
      <c r="U207">
        <v>3413</v>
      </c>
      <c r="V207">
        <v>18322.274739929999</v>
      </c>
      <c r="AH207">
        <f t="shared" si="32"/>
        <v>194</v>
      </c>
      <c r="AI207">
        <f t="shared" si="33"/>
        <v>305</v>
      </c>
      <c r="AJ207" t="str">
        <f t="shared" si="34"/>
        <v/>
      </c>
      <c r="AK207">
        <f t="shared" si="35"/>
        <v>86</v>
      </c>
      <c r="AL207">
        <f t="shared" si="28"/>
        <v>150</v>
      </c>
      <c r="AM207">
        <f t="shared" si="29"/>
        <v>174</v>
      </c>
      <c r="AN207">
        <f t="shared" si="30"/>
        <v>133</v>
      </c>
      <c r="AO207" t="str">
        <f t="shared" si="31"/>
        <v/>
      </c>
    </row>
    <row r="208" spans="1:41">
      <c r="A208">
        <f t="shared" si="36"/>
        <v>204</v>
      </c>
      <c r="B208" t="s">
        <v>273</v>
      </c>
      <c r="C208">
        <v>5</v>
      </c>
      <c r="D208">
        <v>5</v>
      </c>
      <c r="E208" t="s">
        <v>387</v>
      </c>
      <c r="F208">
        <v>412</v>
      </c>
      <c r="G208">
        <v>2</v>
      </c>
      <c r="H208">
        <v>63</v>
      </c>
      <c r="I208" t="s">
        <v>386</v>
      </c>
      <c r="J208" t="s">
        <v>386</v>
      </c>
      <c r="K208">
        <v>10000</v>
      </c>
      <c r="L208">
        <v>199</v>
      </c>
      <c r="M208">
        <v>199</v>
      </c>
      <c r="N208">
        <v>314</v>
      </c>
      <c r="O208">
        <v>0</v>
      </c>
      <c r="P208">
        <v>126</v>
      </c>
      <c r="Q208">
        <v>214</v>
      </c>
      <c r="R208">
        <v>239</v>
      </c>
      <c r="S208">
        <v>174</v>
      </c>
      <c r="T208">
        <v>0</v>
      </c>
      <c r="U208">
        <v>3507</v>
      </c>
      <c r="V208">
        <v>18338.059734210001</v>
      </c>
      <c r="AH208">
        <f t="shared" si="32"/>
        <v>199</v>
      </c>
      <c r="AI208">
        <f t="shared" si="33"/>
        <v>314</v>
      </c>
      <c r="AJ208" t="str">
        <f t="shared" si="34"/>
        <v/>
      </c>
      <c r="AK208">
        <f t="shared" si="35"/>
        <v>126</v>
      </c>
      <c r="AL208">
        <f t="shared" si="28"/>
        <v>214</v>
      </c>
      <c r="AM208">
        <f t="shared" si="29"/>
        <v>239</v>
      </c>
      <c r="AN208">
        <f t="shared" si="30"/>
        <v>174</v>
      </c>
      <c r="AO208" t="str">
        <f t="shared" si="31"/>
        <v/>
      </c>
    </row>
    <row r="209" spans="1:41">
      <c r="A209">
        <f t="shared" si="36"/>
        <v>205</v>
      </c>
      <c r="B209" t="s">
        <v>273</v>
      </c>
      <c r="C209">
        <v>5</v>
      </c>
      <c r="D209">
        <v>5</v>
      </c>
      <c r="E209" t="s">
        <v>387</v>
      </c>
      <c r="F209">
        <v>412</v>
      </c>
      <c r="G209">
        <v>2</v>
      </c>
      <c r="H209">
        <v>64</v>
      </c>
      <c r="I209" t="s">
        <v>386</v>
      </c>
      <c r="J209" t="s">
        <v>386</v>
      </c>
      <c r="K209">
        <v>10000</v>
      </c>
      <c r="L209">
        <v>206</v>
      </c>
      <c r="M209">
        <v>206</v>
      </c>
      <c r="N209">
        <v>325</v>
      </c>
      <c r="O209">
        <v>0</v>
      </c>
      <c r="P209">
        <v>167</v>
      </c>
      <c r="Q209">
        <v>273</v>
      </c>
      <c r="R209">
        <v>290</v>
      </c>
      <c r="S209">
        <v>202</v>
      </c>
      <c r="T209">
        <v>0</v>
      </c>
      <c r="U209">
        <v>3626</v>
      </c>
      <c r="V209">
        <v>18358.082076589999</v>
      </c>
      <c r="AH209">
        <f t="shared" si="32"/>
        <v>206</v>
      </c>
      <c r="AI209">
        <f t="shared" si="33"/>
        <v>325</v>
      </c>
      <c r="AJ209" t="str">
        <f t="shared" si="34"/>
        <v/>
      </c>
      <c r="AK209">
        <f t="shared" si="35"/>
        <v>167</v>
      </c>
      <c r="AL209">
        <f t="shared" si="28"/>
        <v>273</v>
      </c>
      <c r="AM209">
        <f t="shared" si="29"/>
        <v>290</v>
      </c>
      <c r="AN209">
        <f t="shared" si="30"/>
        <v>202</v>
      </c>
      <c r="AO209" t="str">
        <f t="shared" si="31"/>
        <v/>
      </c>
    </row>
    <row r="210" spans="1:41">
      <c r="A210">
        <f t="shared" si="36"/>
        <v>206</v>
      </c>
      <c r="B210" t="s">
        <v>273</v>
      </c>
      <c r="C210">
        <v>5</v>
      </c>
      <c r="D210">
        <v>5</v>
      </c>
      <c r="E210" t="s">
        <v>387</v>
      </c>
      <c r="F210">
        <v>412</v>
      </c>
      <c r="G210">
        <v>2</v>
      </c>
      <c r="H210">
        <v>65</v>
      </c>
      <c r="I210" t="s">
        <v>386</v>
      </c>
      <c r="J210" t="s">
        <v>386</v>
      </c>
      <c r="K210">
        <v>10000</v>
      </c>
      <c r="L210">
        <v>214</v>
      </c>
      <c r="M210">
        <v>214</v>
      </c>
      <c r="N210">
        <v>337</v>
      </c>
      <c r="O210">
        <v>0</v>
      </c>
      <c r="P210">
        <v>197</v>
      </c>
      <c r="Q210">
        <v>309</v>
      </c>
      <c r="R210">
        <v>317</v>
      </c>
      <c r="S210">
        <v>214</v>
      </c>
      <c r="T210">
        <v>0</v>
      </c>
      <c r="U210">
        <v>3765</v>
      </c>
      <c r="V210">
        <v>18381.51072531</v>
      </c>
      <c r="AH210">
        <f t="shared" si="32"/>
        <v>214</v>
      </c>
      <c r="AI210">
        <f t="shared" si="33"/>
        <v>337</v>
      </c>
      <c r="AJ210" t="str">
        <f t="shared" si="34"/>
        <v/>
      </c>
      <c r="AK210">
        <f t="shared" si="35"/>
        <v>197</v>
      </c>
      <c r="AL210">
        <f t="shared" si="28"/>
        <v>309</v>
      </c>
      <c r="AM210">
        <f t="shared" si="29"/>
        <v>317</v>
      </c>
      <c r="AN210">
        <f t="shared" si="30"/>
        <v>214</v>
      </c>
      <c r="AO210" t="str">
        <f t="shared" si="31"/>
        <v/>
      </c>
    </row>
    <row r="211" spans="1:41">
      <c r="A211">
        <f t="shared" si="36"/>
        <v>207</v>
      </c>
      <c r="B211" t="s">
        <v>273</v>
      </c>
      <c r="C211">
        <v>5</v>
      </c>
      <c r="D211">
        <v>5</v>
      </c>
      <c r="E211" t="s">
        <v>387</v>
      </c>
      <c r="F211">
        <v>412</v>
      </c>
      <c r="G211">
        <v>2</v>
      </c>
      <c r="H211">
        <v>66</v>
      </c>
      <c r="I211" t="s">
        <v>386</v>
      </c>
      <c r="J211" t="s">
        <v>386</v>
      </c>
      <c r="K211">
        <v>10000</v>
      </c>
      <c r="L211">
        <v>222</v>
      </c>
      <c r="M211">
        <v>222</v>
      </c>
      <c r="N211">
        <v>351</v>
      </c>
      <c r="O211">
        <v>0</v>
      </c>
      <c r="P211">
        <v>212</v>
      </c>
      <c r="Q211">
        <v>322</v>
      </c>
      <c r="R211">
        <v>324</v>
      </c>
      <c r="S211">
        <v>217</v>
      </c>
      <c r="T211">
        <v>0</v>
      </c>
      <c r="U211">
        <v>3917</v>
      </c>
      <c r="V211">
        <v>18407.050174700002</v>
      </c>
      <c r="AH211">
        <f t="shared" si="32"/>
        <v>222</v>
      </c>
      <c r="AI211">
        <f t="shared" si="33"/>
        <v>351</v>
      </c>
      <c r="AJ211" t="str">
        <f t="shared" si="34"/>
        <v/>
      </c>
      <c r="AK211">
        <f t="shared" si="35"/>
        <v>212</v>
      </c>
      <c r="AL211">
        <f t="shared" si="28"/>
        <v>322</v>
      </c>
      <c r="AM211">
        <f t="shared" si="29"/>
        <v>324</v>
      </c>
      <c r="AN211">
        <f t="shared" si="30"/>
        <v>217</v>
      </c>
      <c r="AO211" t="str">
        <f t="shared" si="31"/>
        <v/>
      </c>
    </row>
    <row r="212" spans="1:41">
      <c r="A212">
        <f t="shared" si="36"/>
        <v>208</v>
      </c>
      <c r="B212" t="s">
        <v>273</v>
      </c>
      <c r="C212">
        <v>5</v>
      </c>
      <c r="D212">
        <v>5</v>
      </c>
      <c r="E212" t="s">
        <v>387</v>
      </c>
      <c r="F212">
        <v>412</v>
      </c>
      <c r="G212">
        <v>2</v>
      </c>
      <c r="H212">
        <v>67</v>
      </c>
      <c r="I212" t="s">
        <v>386</v>
      </c>
      <c r="J212" t="s">
        <v>386</v>
      </c>
      <c r="K212">
        <v>10000</v>
      </c>
      <c r="L212">
        <v>231</v>
      </c>
      <c r="M212">
        <v>231</v>
      </c>
      <c r="N212">
        <v>365</v>
      </c>
      <c r="O212">
        <v>0</v>
      </c>
      <c r="P212">
        <v>213</v>
      </c>
      <c r="Q212">
        <v>320</v>
      </c>
      <c r="R212">
        <v>321</v>
      </c>
      <c r="S212">
        <v>215</v>
      </c>
      <c r="T212">
        <v>0</v>
      </c>
      <c r="U212">
        <v>4073</v>
      </c>
      <c r="V212">
        <v>18433.394549420002</v>
      </c>
      <c r="AH212">
        <f t="shared" si="32"/>
        <v>231</v>
      </c>
      <c r="AI212">
        <f t="shared" si="33"/>
        <v>365</v>
      </c>
      <c r="AJ212" t="str">
        <f t="shared" si="34"/>
        <v/>
      </c>
      <c r="AK212">
        <f t="shared" si="35"/>
        <v>213</v>
      </c>
      <c r="AL212">
        <f t="shared" si="28"/>
        <v>320</v>
      </c>
      <c r="AM212">
        <f t="shared" si="29"/>
        <v>321</v>
      </c>
      <c r="AN212">
        <f t="shared" si="30"/>
        <v>215</v>
      </c>
      <c r="AO212" t="str">
        <f t="shared" si="31"/>
        <v/>
      </c>
    </row>
    <row r="213" spans="1:41">
      <c r="A213">
        <f t="shared" si="36"/>
        <v>209</v>
      </c>
      <c r="B213" t="s">
        <v>273</v>
      </c>
      <c r="C213">
        <v>5</v>
      </c>
      <c r="D213">
        <v>5</v>
      </c>
      <c r="E213" t="s">
        <v>387</v>
      </c>
      <c r="F213">
        <v>412</v>
      </c>
      <c r="G213">
        <v>2</v>
      </c>
      <c r="H213">
        <v>68</v>
      </c>
      <c r="I213" t="s">
        <v>386</v>
      </c>
      <c r="J213" t="s">
        <v>386</v>
      </c>
      <c r="K213">
        <v>10000</v>
      </c>
      <c r="L213">
        <v>240</v>
      </c>
      <c r="M213">
        <v>240</v>
      </c>
      <c r="N213">
        <v>378</v>
      </c>
      <c r="O213">
        <v>0</v>
      </c>
      <c r="P213">
        <v>210</v>
      </c>
      <c r="Q213">
        <v>316</v>
      </c>
      <c r="R213">
        <v>317</v>
      </c>
      <c r="S213">
        <v>212</v>
      </c>
      <c r="T213">
        <v>0</v>
      </c>
      <c r="U213">
        <v>4229</v>
      </c>
      <c r="V213">
        <v>18459.656655089999</v>
      </c>
      <c r="AH213">
        <f t="shared" si="32"/>
        <v>240</v>
      </c>
      <c r="AI213">
        <f t="shared" si="33"/>
        <v>378</v>
      </c>
      <c r="AJ213" t="str">
        <f t="shared" si="34"/>
        <v/>
      </c>
      <c r="AK213">
        <f t="shared" si="35"/>
        <v>210</v>
      </c>
      <c r="AL213">
        <f t="shared" si="28"/>
        <v>316</v>
      </c>
      <c r="AM213">
        <f t="shared" si="29"/>
        <v>317</v>
      </c>
      <c r="AN213">
        <f t="shared" si="30"/>
        <v>212</v>
      </c>
      <c r="AO213" t="str">
        <f t="shared" si="31"/>
        <v/>
      </c>
    </row>
    <row r="214" spans="1:41">
      <c r="A214">
        <f t="shared" si="36"/>
        <v>210</v>
      </c>
      <c r="B214" t="s">
        <v>273</v>
      </c>
      <c r="C214">
        <v>5</v>
      </c>
      <c r="D214">
        <v>5</v>
      </c>
      <c r="E214" t="s">
        <v>387</v>
      </c>
      <c r="F214">
        <v>412</v>
      </c>
      <c r="G214">
        <v>2</v>
      </c>
      <c r="H214">
        <v>69</v>
      </c>
      <c r="I214" t="s">
        <v>386</v>
      </c>
      <c r="J214" t="s">
        <v>386</v>
      </c>
      <c r="K214">
        <v>10000</v>
      </c>
      <c r="L214">
        <v>249</v>
      </c>
      <c r="M214">
        <v>249</v>
      </c>
      <c r="N214">
        <v>392</v>
      </c>
      <c r="O214">
        <v>0</v>
      </c>
      <c r="P214">
        <v>208</v>
      </c>
      <c r="Q214">
        <v>313</v>
      </c>
      <c r="R214">
        <v>315</v>
      </c>
      <c r="S214">
        <v>213</v>
      </c>
      <c r="T214">
        <v>0</v>
      </c>
      <c r="U214">
        <v>4384</v>
      </c>
      <c r="V214">
        <v>18485.745360699999</v>
      </c>
      <c r="AH214">
        <f t="shared" si="32"/>
        <v>249</v>
      </c>
      <c r="AI214">
        <f t="shared" si="33"/>
        <v>392</v>
      </c>
      <c r="AJ214" t="str">
        <f t="shared" si="34"/>
        <v/>
      </c>
      <c r="AK214">
        <f t="shared" si="35"/>
        <v>208</v>
      </c>
      <c r="AL214">
        <f t="shared" si="28"/>
        <v>313</v>
      </c>
      <c r="AM214">
        <f t="shared" si="29"/>
        <v>315</v>
      </c>
      <c r="AN214">
        <f t="shared" si="30"/>
        <v>213</v>
      </c>
      <c r="AO214" t="str">
        <f t="shared" si="31"/>
        <v/>
      </c>
    </row>
    <row r="215" spans="1:41">
      <c r="A215">
        <f t="shared" si="36"/>
        <v>211</v>
      </c>
      <c r="B215" t="s">
        <v>273</v>
      </c>
      <c r="C215">
        <v>5</v>
      </c>
      <c r="D215">
        <v>5</v>
      </c>
      <c r="E215" t="s">
        <v>387</v>
      </c>
      <c r="F215">
        <v>412</v>
      </c>
      <c r="G215">
        <v>2</v>
      </c>
      <c r="H215">
        <v>70</v>
      </c>
      <c r="I215" t="s">
        <v>386</v>
      </c>
      <c r="J215" t="s">
        <v>386</v>
      </c>
      <c r="K215">
        <v>10000</v>
      </c>
      <c r="L215">
        <v>258</v>
      </c>
      <c r="M215">
        <v>258</v>
      </c>
      <c r="N215">
        <v>406</v>
      </c>
      <c r="O215">
        <v>0</v>
      </c>
      <c r="P215">
        <v>209</v>
      </c>
      <c r="Q215">
        <v>318</v>
      </c>
      <c r="R215">
        <v>324</v>
      </c>
      <c r="S215">
        <v>223</v>
      </c>
      <c r="T215">
        <v>0</v>
      </c>
      <c r="U215">
        <v>4542</v>
      </c>
      <c r="V215">
        <v>18512.294450419999</v>
      </c>
      <c r="AH215">
        <f t="shared" si="32"/>
        <v>258</v>
      </c>
      <c r="AI215">
        <f t="shared" si="33"/>
        <v>406</v>
      </c>
      <c r="AJ215" t="str">
        <f t="shared" si="34"/>
        <v/>
      </c>
      <c r="AK215">
        <f t="shared" si="35"/>
        <v>209</v>
      </c>
      <c r="AL215">
        <f t="shared" si="28"/>
        <v>318</v>
      </c>
      <c r="AM215">
        <f t="shared" si="29"/>
        <v>324</v>
      </c>
      <c r="AN215">
        <f t="shared" si="30"/>
        <v>223</v>
      </c>
      <c r="AO215" t="str">
        <f t="shared" si="31"/>
        <v/>
      </c>
    </row>
    <row r="216" spans="1:41">
      <c r="A216">
        <f t="shared" si="36"/>
        <v>212</v>
      </c>
      <c r="B216" t="s">
        <v>273</v>
      </c>
      <c r="C216">
        <v>5</v>
      </c>
      <c r="D216">
        <v>5</v>
      </c>
      <c r="E216" t="s">
        <v>387</v>
      </c>
      <c r="F216">
        <v>412</v>
      </c>
      <c r="G216">
        <v>2</v>
      </c>
      <c r="H216">
        <v>71</v>
      </c>
      <c r="I216" t="s">
        <v>386</v>
      </c>
      <c r="J216" t="s">
        <v>386</v>
      </c>
      <c r="K216">
        <v>10000</v>
      </c>
      <c r="L216">
        <v>267</v>
      </c>
      <c r="M216">
        <v>267</v>
      </c>
      <c r="N216">
        <v>421</v>
      </c>
      <c r="O216">
        <v>0</v>
      </c>
      <c r="P216">
        <v>218</v>
      </c>
      <c r="Q216">
        <v>336</v>
      </c>
      <c r="R216">
        <v>350</v>
      </c>
      <c r="S216">
        <v>245</v>
      </c>
      <c r="T216">
        <v>0</v>
      </c>
      <c r="U216">
        <v>4708</v>
      </c>
      <c r="V216">
        <v>18540.223964820001</v>
      </c>
      <c r="AH216">
        <f t="shared" si="32"/>
        <v>267</v>
      </c>
      <c r="AI216">
        <f t="shared" si="33"/>
        <v>421</v>
      </c>
      <c r="AJ216" t="str">
        <f t="shared" si="34"/>
        <v/>
      </c>
      <c r="AK216">
        <f t="shared" si="35"/>
        <v>218</v>
      </c>
      <c r="AL216">
        <f t="shared" si="28"/>
        <v>336</v>
      </c>
      <c r="AM216">
        <f t="shared" si="29"/>
        <v>350</v>
      </c>
      <c r="AN216">
        <f t="shared" si="30"/>
        <v>245</v>
      </c>
      <c r="AO216" t="str">
        <f t="shared" si="31"/>
        <v/>
      </c>
    </row>
    <row r="217" spans="1:41">
      <c r="A217">
        <f t="shared" si="36"/>
        <v>213</v>
      </c>
      <c r="B217" t="s">
        <v>273</v>
      </c>
      <c r="C217">
        <v>5</v>
      </c>
      <c r="D217">
        <v>5</v>
      </c>
      <c r="E217" t="s">
        <v>387</v>
      </c>
      <c r="F217">
        <v>412</v>
      </c>
      <c r="G217">
        <v>2</v>
      </c>
      <c r="H217">
        <v>72</v>
      </c>
      <c r="I217" t="s">
        <v>386</v>
      </c>
      <c r="J217" t="s">
        <v>386</v>
      </c>
      <c r="K217">
        <v>10000</v>
      </c>
      <c r="L217">
        <v>277</v>
      </c>
      <c r="M217">
        <v>277</v>
      </c>
      <c r="N217">
        <v>437</v>
      </c>
      <c r="O217">
        <v>0</v>
      </c>
      <c r="P217">
        <v>237</v>
      </c>
      <c r="Q217">
        <v>372</v>
      </c>
      <c r="R217">
        <v>391</v>
      </c>
      <c r="S217">
        <v>274</v>
      </c>
      <c r="T217">
        <v>0</v>
      </c>
      <c r="U217">
        <v>4887</v>
      </c>
      <c r="V217">
        <v>18570.45049322</v>
      </c>
      <c r="AH217">
        <f t="shared" si="32"/>
        <v>277</v>
      </c>
      <c r="AI217">
        <f t="shared" si="33"/>
        <v>437</v>
      </c>
      <c r="AJ217" t="str">
        <f t="shared" si="34"/>
        <v/>
      </c>
      <c r="AK217">
        <f t="shared" si="35"/>
        <v>237</v>
      </c>
      <c r="AL217">
        <f t="shared" si="28"/>
        <v>372</v>
      </c>
      <c r="AM217">
        <f t="shared" si="29"/>
        <v>391</v>
      </c>
      <c r="AN217">
        <f t="shared" si="30"/>
        <v>274</v>
      </c>
      <c r="AO217" t="str">
        <f t="shared" si="31"/>
        <v/>
      </c>
    </row>
    <row r="218" spans="1:41">
      <c r="A218">
        <f t="shared" si="36"/>
        <v>214</v>
      </c>
      <c r="B218" t="s">
        <v>273</v>
      </c>
      <c r="C218">
        <v>5</v>
      </c>
      <c r="D218">
        <v>5</v>
      </c>
      <c r="E218" t="s">
        <v>387</v>
      </c>
      <c r="F218">
        <v>412</v>
      </c>
      <c r="G218">
        <v>2</v>
      </c>
      <c r="H218">
        <v>73</v>
      </c>
      <c r="I218" t="s">
        <v>386</v>
      </c>
      <c r="J218" t="s">
        <v>386</v>
      </c>
      <c r="K218">
        <v>10000</v>
      </c>
      <c r="L218">
        <v>289</v>
      </c>
      <c r="M218">
        <v>289</v>
      </c>
      <c r="N218">
        <v>455</v>
      </c>
      <c r="O218">
        <v>0</v>
      </c>
      <c r="P218">
        <v>267</v>
      </c>
      <c r="Q218">
        <v>421</v>
      </c>
      <c r="R218">
        <v>442</v>
      </c>
      <c r="S218">
        <v>309</v>
      </c>
      <c r="T218">
        <v>0</v>
      </c>
      <c r="U218">
        <v>5086</v>
      </c>
      <c r="V218">
        <v>18603.950909880001</v>
      </c>
      <c r="AH218">
        <f t="shared" si="32"/>
        <v>289</v>
      </c>
      <c r="AI218">
        <f t="shared" si="33"/>
        <v>455</v>
      </c>
      <c r="AJ218" t="str">
        <f t="shared" si="34"/>
        <v/>
      </c>
      <c r="AK218">
        <f t="shared" si="35"/>
        <v>267</v>
      </c>
      <c r="AL218">
        <f t="shared" si="28"/>
        <v>421</v>
      </c>
      <c r="AM218">
        <f t="shared" si="29"/>
        <v>442</v>
      </c>
      <c r="AN218">
        <f t="shared" si="30"/>
        <v>309</v>
      </c>
      <c r="AO218" t="str">
        <f t="shared" si="31"/>
        <v/>
      </c>
    </row>
    <row r="219" spans="1:41">
      <c r="A219">
        <f t="shared" si="36"/>
        <v>215</v>
      </c>
      <c r="B219" t="s">
        <v>273</v>
      </c>
      <c r="C219">
        <v>5</v>
      </c>
      <c r="D219">
        <v>5</v>
      </c>
      <c r="E219" t="s">
        <v>387</v>
      </c>
      <c r="F219">
        <v>412</v>
      </c>
      <c r="G219">
        <v>2</v>
      </c>
      <c r="H219">
        <v>74</v>
      </c>
      <c r="I219" t="s">
        <v>386</v>
      </c>
      <c r="J219" t="s">
        <v>386</v>
      </c>
      <c r="K219">
        <v>10000</v>
      </c>
      <c r="L219">
        <v>301</v>
      </c>
      <c r="M219">
        <v>301</v>
      </c>
      <c r="N219">
        <v>475</v>
      </c>
      <c r="O219">
        <v>0</v>
      </c>
      <c r="P219">
        <v>299</v>
      </c>
      <c r="Q219">
        <v>468</v>
      </c>
      <c r="R219">
        <v>487</v>
      </c>
      <c r="S219">
        <v>334</v>
      </c>
      <c r="T219">
        <v>0</v>
      </c>
      <c r="U219">
        <v>5305</v>
      </c>
      <c r="V219">
        <v>18640.864190370001</v>
      </c>
      <c r="AH219">
        <f t="shared" si="32"/>
        <v>301</v>
      </c>
      <c r="AI219">
        <f t="shared" si="33"/>
        <v>475</v>
      </c>
      <c r="AJ219" t="str">
        <f t="shared" si="34"/>
        <v/>
      </c>
      <c r="AK219">
        <f t="shared" si="35"/>
        <v>299</v>
      </c>
      <c r="AL219">
        <f t="shared" si="28"/>
        <v>468</v>
      </c>
      <c r="AM219">
        <f t="shared" si="29"/>
        <v>487</v>
      </c>
      <c r="AN219">
        <f t="shared" si="30"/>
        <v>334</v>
      </c>
      <c r="AO219" t="str">
        <f t="shared" si="31"/>
        <v/>
      </c>
    </row>
    <row r="220" spans="1:41">
      <c r="A220">
        <f t="shared" si="36"/>
        <v>216</v>
      </c>
      <c r="B220" t="s">
        <v>273</v>
      </c>
      <c r="C220">
        <v>5</v>
      </c>
      <c r="D220">
        <v>5</v>
      </c>
      <c r="E220" t="s">
        <v>387</v>
      </c>
      <c r="F220">
        <v>412</v>
      </c>
      <c r="G220">
        <v>2</v>
      </c>
      <c r="H220">
        <v>75</v>
      </c>
      <c r="I220" t="s">
        <v>386</v>
      </c>
      <c r="J220" t="s">
        <v>386</v>
      </c>
      <c r="K220">
        <v>10000</v>
      </c>
      <c r="L220">
        <v>314</v>
      </c>
      <c r="M220">
        <v>314</v>
      </c>
      <c r="N220">
        <v>495</v>
      </c>
      <c r="O220">
        <v>0</v>
      </c>
      <c r="P220">
        <v>321</v>
      </c>
      <c r="Q220">
        <v>496</v>
      </c>
      <c r="R220">
        <v>502</v>
      </c>
      <c r="S220">
        <v>331</v>
      </c>
      <c r="T220">
        <v>0</v>
      </c>
      <c r="U220">
        <v>5536</v>
      </c>
      <c r="V220">
        <v>18679.695513899998</v>
      </c>
      <c r="AH220">
        <f t="shared" si="32"/>
        <v>314</v>
      </c>
      <c r="AI220">
        <f t="shared" si="33"/>
        <v>495</v>
      </c>
      <c r="AJ220" t="str">
        <f t="shared" si="34"/>
        <v/>
      </c>
      <c r="AK220">
        <f t="shared" si="35"/>
        <v>321</v>
      </c>
      <c r="AL220">
        <f t="shared" si="28"/>
        <v>496</v>
      </c>
      <c r="AM220">
        <f t="shared" si="29"/>
        <v>502</v>
      </c>
      <c r="AN220">
        <f t="shared" si="30"/>
        <v>331</v>
      </c>
      <c r="AO220" t="str">
        <f t="shared" si="31"/>
        <v/>
      </c>
    </row>
    <row r="221" spans="1:41">
      <c r="A221">
        <f t="shared" si="36"/>
        <v>217</v>
      </c>
      <c r="B221" t="s">
        <v>273</v>
      </c>
      <c r="C221">
        <v>5</v>
      </c>
      <c r="D221">
        <v>5</v>
      </c>
      <c r="E221" t="s">
        <v>387</v>
      </c>
      <c r="F221">
        <v>412</v>
      </c>
      <c r="G221">
        <v>2</v>
      </c>
      <c r="H221">
        <v>76</v>
      </c>
      <c r="I221" t="s">
        <v>386</v>
      </c>
      <c r="J221" t="s">
        <v>386</v>
      </c>
      <c r="K221">
        <v>10000</v>
      </c>
      <c r="L221">
        <v>327</v>
      </c>
      <c r="M221">
        <v>327</v>
      </c>
      <c r="N221">
        <v>515</v>
      </c>
      <c r="O221">
        <v>0</v>
      </c>
      <c r="P221">
        <v>321</v>
      </c>
      <c r="Q221">
        <v>478</v>
      </c>
      <c r="R221">
        <v>462</v>
      </c>
      <c r="S221">
        <v>288</v>
      </c>
      <c r="T221">
        <v>0</v>
      </c>
      <c r="U221">
        <v>5760</v>
      </c>
      <c r="V221">
        <v>18717.451793849999</v>
      </c>
      <c r="AH221">
        <f t="shared" si="32"/>
        <v>327</v>
      </c>
      <c r="AI221">
        <f t="shared" si="33"/>
        <v>515</v>
      </c>
      <c r="AJ221" t="str">
        <f t="shared" si="34"/>
        <v/>
      </c>
      <c r="AK221">
        <f t="shared" si="35"/>
        <v>321</v>
      </c>
      <c r="AL221">
        <f t="shared" si="28"/>
        <v>478</v>
      </c>
      <c r="AM221">
        <f t="shared" si="29"/>
        <v>462</v>
      </c>
      <c r="AN221">
        <f t="shared" si="30"/>
        <v>288</v>
      </c>
      <c r="AO221" t="str">
        <f t="shared" si="31"/>
        <v/>
      </c>
    </row>
    <row r="222" spans="1:41">
      <c r="A222">
        <f t="shared" si="36"/>
        <v>218</v>
      </c>
      <c r="B222" t="s">
        <v>273</v>
      </c>
      <c r="C222">
        <v>5</v>
      </c>
      <c r="D222">
        <v>5</v>
      </c>
      <c r="E222" t="s">
        <v>387</v>
      </c>
      <c r="F222">
        <v>412</v>
      </c>
      <c r="G222">
        <v>2</v>
      </c>
      <c r="H222">
        <v>77</v>
      </c>
      <c r="I222" t="s">
        <v>386</v>
      </c>
      <c r="J222" t="s">
        <v>386</v>
      </c>
      <c r="K222">
        <v>10000</v>
      </c>
      <c r="L222">
        <v>338</v>
      </c>
      <c r="M222">
        <v>338</v>
      </c>
      <c r="N222">
        <v>533</v>
      </c>
      <c r="O222">
        <v>0</v>
      </c>
      <c r="P222">
        <v>285</v>
      </c>
      <c r="Q222">
        <v>399</v>
      </c>
      <c r="R222">
        <v>360</v>
      </c>
      <c r="S222">
        <v>210</v>
      </c>
      <c r="T222">
        <v>0</v>
      </c>
      <c r="U222">
        <v>5957</v>
      </c>
      <c r="V222">
        <v>18750.624115430001</v>
      </c>
      <c r="AH222">
        <f t="shared" si="32"/>
        <v>338</v>
      </c>
      <c r="AI222">
        <f t="shared" si="33"/>
        <v>533</v>
      </c>
      <c r="AJ222" t="str">
        <f t="shared" si="34"/>
        <v/>
      </c>
      <c r="AK222">
        <f t="shared" si="35"/>
        <v>285</v>
      </c>
      <c r="AL222">
        <f t="shared" si="28"/>
        <v>399</v>
      </c>
      <c r="AM222">
        <f t="shared" si="29"/>
        <v>360</v>
      </c>
      <c r="AN222">
        <f t="shared" si="30"/>
        <v>210</v>
      </c>
      <c r="AO222" t="str">
        <f t="shared" si="31"/>
        <v/>
      </c>
    </row>
    <row r="223" spans="1:41">
      <c r="A223">
        <f t="shared" si="36"/>
        <v>219</v>
      </c>
      <c r="B223" t="s">
        <v>273</v>
      </c>
      <c r="C223">
        <v>5</v>
      </c>
      <c r="D223">
        <v>5</v>
      </c>
      <c r="E223" t="s">
        <v>387</v>
      </c>
      <c r="F223">
        <v>412</v>
      </c>
      <c r="G223">
        <v>2</v>
      </c>
      <c r="H223">
        <v>78</v>
      </c>
      <c r="I223" t="s">
        <v>386</v>
      </c>
      <c r="J223" t="s">
        <v>386</v>
      </c>
      <c r="K223">
        <v>10000</v>
      </c>
      <c r="L223">
        <v>347</v>
      </c>
      <c r="M223">
        <v>347</v>
      </c>
      <c r="N223">
        <v>547</v>
      </c>
      <c r="O223">
        <v>0</v>
      </c>
      <c r="P223">
        <v>212</v>
      </c>
      <c r="Q223">
        <v>273</v>
      </c>
      <c r="R223">
        <v>224</v>
      </c>
      <c r="S223">
        <v>119</v>
      </c>
      <c r="T223">
        <v>0</v>
      </c>
      <c r="U223">
        <v>6109</v>
      </c>
      <c r="V223">
        <v>18776.08823456</v>
      </c>
      <c r="AH223">
        <f t="shared" si="32"/>
        <v>347</v>
      </c>
      <c r="AI223">
        <f t="shared" si="33"/>
        <v>547</v>
      </c>
      <c r="AJ223" t="str">
        <f t="shared" si="34"/>
        <v/>
      </c>
      <c r="AK223">
        <f t="shared" si="35"/>
        <v>212</v>
      </c>
      <c r="AL223">
        <f t="shared" si="28"/>
        <v>273</v>
      </c>
      <c r="AM223">
        <f t="shared" si="29"/>
        <v>224</v>
      </c>
      <c r="AN223">
        <f t="shared" si="30"/>
        <v>119</v>
      </c>
      <c r="AO223" t="str">
        <f t="shared" si="31"/>
        <v/>
      </c>
    </row>
    <row r="224" spans="1:41">
      <c r="A224">
        <f t="shared" si="36"/>
        <v>220</v>
      </c>
      <c r="B224" t="s">
        <v>273</v>
      </c>
      <c r="C224">
        <v>5</v>
      </c>
      <c r="D224">
        <v>5</v>
      </c>
      <c r="E224" t="s">
        <v>387</v>
      </c>
      <c r="F224">
        <v>412</v>
      </c>
      <c r="G224">
        <v>2</v>
      </c>
      <c r="H224">
        <v>79</v>
      </c>
      <c r="I224" t="s">
        <v>386</v>
      </c>
      <c r="J224" t="s">
        <v>386</v>
      </c>
      <c r="K224">
        <v>10000</v>
      </c>
      <c r="L224">
        <v>352</v>
      </c>
      <c r="M224">
        <v>352</v>
      </c>
      <c r="N224">
        <v>555</v>
      </c>
      <c r="O224">
        <v>0</v>
      </c>
      <c r="P224">
        <v>123</v>
      </c>
      <c r="Q224">
        <v>138</v>
      </c>
      <c r="R224">
        <v>98</v>
      </c>
      <c r="S224">
        <v>45</v>
      </c>
      <c r="T224">
        <v>0</v>
      </c>
      <c r="U224">
        <v>6206</v>
      </c>
      <c r="V224">
        <v>18792.48224872</v>
      </c>
      <c r="AH224">
        <f t="shared" si="32"/>
        <v>352</v>
      </c>
      <c r="AI224">
        <f t="shared" si="33"/>
        <v>555</v>
      </c>
      <c r="AJ224" t="str">
        <f t="shared" si="34"/>
        <v/>
      </c>
      <c r="AK224">
        <f t="shared" si="35"/>
        <v>123</v>
      </c>
      <c r="AL224">
        <f t="shared" si="28"/>
        <v>138</v>
      </c>
      <c r="AM224">
        <f t="shared" si="29"/>
        <v>98</v>
      </c>
      <c r="AN224">
        <f t="shared" si="30"/>
        <v>45</v>
      </c>
      <c r="AO224" t="str">
        <f t="shared" si="31"/>
        <v/>
      </c>
    </row>
    <row r="225" spans="1:41">
      <c r="A225">
        <f t="shared" si="36"/>
        <v>221</v>
      </c>
      <c r="B225" t="s">
        <v>273</v>
      </c>
      <c r="C225">
        <v>5</v>
      </c>
      <c r="D225">
        <v>5</v>
      </c>
      <c r="E225" t="s">
        <v>387</v>
      </c>
      <c r="F225">
        <v>412</v>
      </c>
      <c r="G225">
        <v>2</v>
      </c>
      <c r="H225">
        <v>80</v>
      </c>
      <c r="I225" t="s">
        <v>386</v>
      </c>
      <c r="J225" t="s">
        <v>386</v>
      </c>
      <c r="K225">
        <v>10000</v>
      </c>
      <c r="L225">
        <v>355</v>
      </c>
      <c r="M225">
        <v>355</v>
      </c>
      <c r="N225">
        <v>560</v>
      </c>
      <c r="O225">
        <v>0</v>
      </c>
      <c r="P225">
        <v>46</v>
      </c>
      <c r="Q225">
        <v>38</v>
      </c>
      <c r="R225">
        <v>18</v>
      </c>
      <c r="S225">
        <v>6</v>
      </c>
      <c r="T225">
        <v>0</v>
      </c>
      <c r="U225">
        <v>6255</v>
      </c>
      <c r="V225">
        <v>18800.768438899999</v>
      </c>
      <c r="AH225">
        <f t="shared" si="32"/>
        <v>355</v>
      </c>
      <c r="AI225">
        <f t="shared" si="33"/>
        <v>560</v>
      </c>
      <c r="AJ225" t="str">
        <f t="shared" si="34"/>
        <v/>
      </c>
      <c r="AK225">
        <f t="shared" si="35"/>
        <v>46</v>
      </c>
      <c r="AL225">
        <f t="shared" si="28"/>
        <v>38</v>
      </c>
      <c r="AM225">
        <f t="shared" si="29"/>
        <v>18</v>
      </c>
      <c r="AN225">
        <f t="shared" si="30"/>
        <v>6</v>
      </c>
      <c r="AO225" t="str">
        <f t="shared" si="31"/>
        <v/>
      </c>
    </row>
    <row r="226" spans="1:41">
      <c r="A226">
        <f t="shared" si="36"/>
        <v>222</v>
      </c>
      <c r="B226" t="s">
        <v>273</v>
      </c>
      <c r="C226">
        <v>5</v>
      </c>
      <c r="D226">
        <v>5</v>
      </c>
      <c r="E226" t="s">
        <v>387</v>
      </c>
      <c r="F226">
        <v>412</v>
      </c>
      <c r="G226">
        <v>2</v>
      </c>
      <c r="H226">
        <v>81</v>
      </c>
      <c r="I226" t="s">
        <v>386</v>
      </c>
      <c r="J226" t="s">
        <v>386</v>
      </c>
      <c r="K226">
        <v>10000</v>
      </c>
      <c r="L226">
        <v>356</v>
      </c>
      <c r="M226">
        <v>356</v>
      </c>
      <c r="N226">
        <v>561</v>
      </c>
      <c r="O226">
        <v>0</v>
      </c>
      <c r="P226">
        <v>1</v>
      </c>
      <c r="Q226">
        <v>-8</v>
      </c>
      <c r="R226">
        <v>-10</v>
      </c>
      <c r="S226">
        <v>-5</v>
      </c>
      <c r="T226">
        <v>0</v>
      </c>
      <c r="U226">
        <v>6271</v>
      </c>
      <c r="V226">
        <v>18803.44967564</v>
      </c>
      <c r="AH226">
        <f t="shared" si="32"/>
        <v>356</v>
      </c>
      <c r="AI226">
        <f t="shared" si="33"/>
        <v>561</v>
      </c>
      <c r="AJ226" t="str">
        <f t="shared" si="34"/>
        <v/>
      </c>
      <c r="AK226">
        <f t="shared" si="35"/>
        <v>1</v>
      </c>
      <c r="AL226">
        <f t="shared" si="28"/>
        <v>-8</v>
      </c>
      <c r="AM226">
        <f t="shared" si="29"/>
        <v>-10</v>
      </c>
      <c r="AN226">
        <f t="shared" si="30"/>
        <v>-5</v>
      </c>
      <c r="AO226" t="str">
        <f t="shared" si="31"/>
        <v/>
      </c>
    </row>
    <row r="227" spans="1:41">
      <c r="A227">
        <f t="shared" si="36"/>
        <v>223</v>
      </c>
      <c r="B227" t="s">
        <v>273</v>
      </c>
      <c r="C227">
        <v>5</v>
      </c>
      <c r="D227">
        <v>5</v>
      </c>
      <c r="E227" t="s">
        <v>387</v>
      </c>
      <c r="F227">
        <v>412</v>
      </c>
      <c r="G227">
        <v>2</v>
      </c>
      <c r="H227">
        <v>82</v>
      </c>
      <c r="I227" t="s">
        <v>386</v>
      </c>
      <c r="J227" t="s">
        <v>386</v>
      </c>
      <c r="K227">
        <v>10000</v>
      </c>
      <c r="L227">
        <v>356</v>
      </c>
      <c r="M227">
        <v>356</v>
      </c>
      <c r="N227">
        <v>561</v>
      </c>
      <c r="O227">
        <v>0</v>
      </c>
      <c r="P227">
        <v>-11</v>
      </c>
      <c r="Q227">
        <v>-13</v>
      </c>
      <c r="R227">
        <v>-9</v>
      </c>
      <c r="S227">
        <v>-4</v>
      </c>
      <c r="T227">
        <v>0</v>
      </c>
      <c r="U227">
        <v>6270</v>
      </c>
      <c r="V227">
        <v>18803.277272570002</v>
      </c>
      <c r="AH227">
        <f t="shared" si="32"/>
        <v>356</v>
      </c>
      <c r="AI227">
        <f t="shared" si="33"/>
        <v>561</v>
      </c>
      <c r="AJ227" t="str">
        <f t="shared" si="34"/>
        <v/>
      </c>
      <c r="AK227">
        <f t="shared" si="35"/>
        <v>-11</v>
      </c>
      <c r="AL227">
        <f t="shared" si="28"/>
        <v>-13</v>
      </c>
      <c r="AM227">
        <f t="shared" si="29"/>
        <v>-9</v>
      </c>
      <c r="AN227">
        <f t="shared" si="30"/>
        <v>-4</v>
      </c>
      <c r="AO227" t="str">
        <f t="shared" si="31"/>
        <v/>
      </c>
    </row>
    <row r="228" spans="1:41">
      <c r="A228">
        <f t="shared" si="36"/>
        <v>224</v>
      </c>
      <c r="B228" t="s">
        <v>273</v>
      </c>
      <c r="C228">
        <v>5</v>
      </c>
      <c r="D228">
        <v>5</v>
      </c>
      <c r="E228" t="s">
        <v>387</v>
      </c>
      <c r="F228">
        <v>412</v>
      </c>
      <c r="G228">
        <v>2</v>
      </c>
      <c r="H228">
        <v>83</v>
      </c>
      <c r="I228" t="s">
        <v>386</v>
      </c>
      <c r="J228" t="s">
        <v>386</v>
      </c>
      <c r="K228">
        <v>10000</v>
      </c>
      <c r="L228">
        <v>356</v>
      </c>
      <c r="M228">
        <v>356</v>
      </c>
      <c r="N228">
        <v>561</v>
      </c>
      <c r="O228">
        <v>0</v>
      </c>
      <c r="P228">
        <v>-5</v>
      </c>
      <c r="Q228">
        <v>-4</v>
      </c>
      <c r="R228">
        <v>-3</v>
      </c>
      <c r="S228">
        <v>-1</v>
      </c>
      <c r="T228">
        <v>0</v>
      </c>
      <c r="U228">
        <v>6265</v>
      </c>
      <c r="V228">
        <v>18802.507389530001</v>
      </c>
      <c r="AH228">
        <f t="shared" si="32"/>
        <v>356</v>
      </c>
      <c r="AI228">
        <f t="shared" si="33"/>
        <v>561</v>
      </c>
      <c r="AJ228" t="str">
        <f t="shared" si="34"/>
        <v/>
      </c>
      <c r="AK228">
        <f t="shared" si="35"/>
        <v>-5</v>
      </c>
      <c r="AL228">
        <f t="shared" si="28"/>
        <v>-4</v>
      </c>
      <c r="AM228">
        <f t="shared" si="29"/>
        <v>-3</v>
      </c>
      <c r="AN228">
        <f t="shared" si="30"/>
        <v>-1</v>
      </c>
      <c r="AO228" t="str">
        <f t="shared" si="31"/>
        <v/>
      </c>
    </row>
    <row r="229" spans="1:41">
      <c r="A229">
        <f t="shared" si="36"/>
        <v>225</v>
      </c>
      <c r="B229" t="s">
        <v>273</v>
      </c>
      <c r="C229">
        <v>5</v>
      </c>
      <c r="D229">
        <v>5</v>
      </c>
      <c r="E229" t="s">
        <v>387</v>
      </c>
      <c r="F229">
        <v>412</v>
      </c>
      <c r="G229">
        <v>2</v>
      </c>
      <c r="H229">
        <v>84</v>
      </c>
      <c r="I229" t="s">
        <v>386</v>
      </c>
      <c r="J229" t="s">
        <v>386</v>
      </c>
      <c r="K229">
        <v>10000</v>
      </c>
      <c r="L229">
        <v>356</v>
      </c>
      <c r="M229">
        <v>356</v>
      </c>
      <c r="N229">
        <v>561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6264</v>
      </c>
      <c r="V229">
        <v>18802.160479260001</v>
      </c>
      <c r="AH229">
        <f t="shared" si="32"/>
        <v>356</v>
      </c>
      <c r="AI229">
        <f t="shared" si="33"/>
        <v>561</v>
      </c>
      <c r="AJ229" t="str">
        <f t="shared" si="34"/>
        <v/>
      </c>
      <c r="AK229" t="str">
        <f t="shared" si="35"/>
        <v/>
      </c>
      <c r="AL229" t="str">
        <f t="shared" si="28"/>
        <v/>
      </c>
      <c r="AM229" t="str">
        <f t="shared" si="29"/>
        <v/>
      </c>
      <c r="AN229" t="str">
        <f t="shared" si="30"/>
        <v/>
      </c>
      <c r="AO229" t="str">
        <f t="shared" si="31"/>
        <v/>
      </c>
    </row>
    <row r="230" spans="1:41">
      <c r="A230">
        <f t="shared" si="36"/>
        <v>226</v>
      </c>
      <c r="B230" t="s">
        <v>273</v>
      </c>
      <c r="C230">
        <v>5</v>
      </c>
      <c r="D230">
        <v>5</v>
      </c>
      <c r="E230" t="s">
        <v>387</v>
      </c>
      <c r="F230">
        <v>412</v>
      </c>
      <c r="G230">
        <v>2</v>
      </c>
      <c r="H230">
        <v>85</v>
      </c>
      <c r="I230" t="s">
        <v>386</v>
      </c>
      <c r="J230" t="s">
        <v>386</v>
      </c>
      <c r="K230">
        <v>10000</v>
      </c>
      <c r="L230">
        <v>356</v>
      </c>
      <c r="M230">
        <v>356</v>
      </c>
      <c r="N230">
        <v>561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6264</v>
      </c>
      <c r="V230">
        <v>18802.160479260001</v>
      </c>
      <c r="AH230">
        <f t="shared" si="32"/>
        <v>356</v>
      </c>
      <c r="AI230">
        <f t="shared" si="33"/>
        <v>561</v>
      </c>
      <c r="AJ230" t="str">
        <f t="shared" si="34"/>
        <v/>
      </c>
      <c r="AK230" t="str">
        <f t="shared" si="35"/>
        <v/>
      </c>
      <c r="AL230" t="str">
        <f t="shared" si="28"/>
        <v/>
      </c>
      <c r="AM230" t="str">
        <f t="shared" si="29"/>
        <v/>
      </c>
      <c r="AN230" t="str">
        <f t="shared" si="30"/>
        <v/>
      </c>
      <c r="AO230" t="str">
        <f t="shared" si="31"/>
        <v/>
      </c>
    </row>
    <row r="231" spans="1:41">
      <c r="A231">
        <f t="shared" si="36"/>
        <v>227</v>
      </c>
      <c r="B231" t="s">
        <v>273</v>
      </c>
      <c r="C231">
        <v>5</v>
      </c>
      <c r="D231">
        <v>5</v>
      </c>
      <c r="E231" t="s">
        <v>387</v>
      </c>
      <c r="F231">
        <v>412</v>
      </c>
      <c r="G231">
        <v>2</v>
      </c>
      <c r="H231">
        <v>86</v>
      </c>
      <c r="I231" t="s">
        <v>386</v>
      </c>
      <c r="J231" t="s">
        <v>386</v>
      </c>
      <c r="K231">
        <v>10000</v>
      </c>
      <c r="L231">
        <v>356</v>
      </c>
      <c r="M231">
        <v>356</v>
      </c>
      <c r="N231">
        <v>561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6264</v>
      </c>
      <c r="V231">
        <v>18802.160479260001</v>
      </c>
      <c r="AH231">
        <f t="shared" si="32"/>
        <v>356</v>
      </c>
      <c r="AI231">
        <f t="shared" si="33"/>
        <v>561</v>
      </c>
      <c r="AJ231" t="str">
        <f t="shared" si="34"/>
        <v/>
      </c>
      <c r="AK231" t="str">
        <f t="shared" si="35"/>
        <v/>
      </c>
      <c r="AL231" t="str">
        <f t="shared" si="28"/>
        <v/>
      </c>
      <c r="AM231" t="str">
        <f t="shared" si="29"/>
        <v/>
      </c>
      <c r="AN231" t="str">
        <f t="shared" si="30"/>
        <v/>
      </c>
      <c r="AO231" t="str">
        <f t="shared" si="31"/>
        <v/>
      </c>
    </row>
    <row r="232" spans="1:41">
      <c r="A232">
        <f t="shared" si="36"/>
        <v>228</v>
      </c>
      <c r="B232" t="s">
        <v>273</v>
      </c>
      <c r="C232">
        <v>5</v>
      </c>
      <c r="D232">
        <v>5</v>
      </c>
      <c r="E232" t="s">
        <v>387</v>
      </c>
      <c r="F232">
        <v>412</v>
      </c>
      <c r="G232">
        <v>2</v>
      </c>
      <c r="H232">
        <v>87</v>
      </c>
      <c r="I232" t="s">
        <v>386</v>
      </c>
      <c r="J232" t="s">
        <v>386</v>
      </c>
      <c r="K232">
        <v>10000</v>
      </c>
      <c r="L232">
        <v>356</v>
      </c>
      <c r="M232">
        <v>356</v>
      </c>
      <c r="N232">
        <v>561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6264</v>
      </c>
      <c r="V232">
        <v>18802.160479260001</v>
      </c>
      <c r="AH232">
        <f t="shared" si="32"/>
        <v>356</v>
      </c>
      <c r="AI232">
        <f t="shared" si="33"/>
        <v>561</v>
      </c>
      <c r="AJ232" t="str">
        <f t="shared" si="34"/>
        <v/>
      </c>
      <c r="AK232" t="str">
        <f t="shared" si="35"/>
        <v/>
      </c>
      <c r="AL232" t="str">
        <f t="shared" si="28"/>
        <v/>
      </c>
      <c r="AM232" t="str">
        <f t="shared" si="29"/>
        <v/>
      </c>
      <c r="AN232" t="str">
        <f t="shared" si="30"/>
        <v/>
      </c>
      <c r="AO232" t="str">
        <f t="shared" si="31"/>
        <v/>
      </c>
    </row>
    <row r="233" spans="1:41">
      <c r="A233">
        <f t="shared" si="36"/>
        <v>229</v>
      </c>
      <c r="B233" t="s">
        <v>273</v>
      </c>
      <c r="C233">
        <v>5</v>
      </c>
      <c r="D233">
        <v>5</v>
      </c>
      <c r="E233" t="s">
        <v>387</v>
      </c>
      <c r="F233">
        <v>412</v>
      </c>
      <c r="G233">
        <v>2</v>
      </c>
      <c r="H233">
        <v>88</v>
      </c>
      <c r="I233" t="s">
        <v>386</v>
      </c>
      <c r="J233" t="s">
        <v>386</v>
      </c>
      <c r="K233">
        <v>10000</v>
      </c>
      <c r="L233">
        <v>356</v>
      </c>
      <c r="M233">
        <v>356</v>
      </c>
      <c r="N233">
        <v>561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6264</v>
      </c>
      <c r="V233">
        <v>18802.160479260001</v>
      </c>
      <c r="AH233">
        <f t="shared" si="32"/>
        <v>356</v>
      </c>
      <c r="AI233">
        <f t="shared" si="33"/>
        <v>561</v>
      </c>
      <c r="AJ233" t="str">
        <f t="shared" si="34"/>
        <v/>
      </c>
      <c r="AK233" t="str">
        <f t="shared" si="35"/>
        <v/>
      </c>
      <c r="AL233" t="str">
        <f t="shared" si="28"/>
        <v/>
      </c>
      <c r="AM233" t="str">
        <f t="shared" si="29"/>
        <v/>
      </c>
      <c r="AN233" t="str">
        <f t="shared" si="30"/>
        <v/>
      </c>
      <c r="AO233" t="str">
        <f t="shared" si="31"/>
        <v/>
      </c>
    </row>
    <row r="234" spans="1:41">
      <c r="A234">
        <f t="shared" si="36"/>
        <v>230</v>
      </c>
      <c r="B234" t="s">
        <v>273</v>
      </c>
      <c r="C234">
        <v>5</v>
      </c>
      <c r="D234">
        <v>5</v>
      </c>
      <c r="E234" t="s">
        <v>387</v>
      </c>
      <c r="F234">
        <v>412</v>
      </c>
      <c r="G234">
        <v>2</v>
      </c>
      <c r="H234">
        <v>89</v>
      </c>
      <c r="I234" t="s">
        <v>386</v>
      </c>
      <c r="J234" t="s">
        <v>386</v>
      </c>
      <c r="K234">
        <v>10000</v>
      </c>
      <c r="L234">
        <v>356</v>
      </c>
      <c r="M234">
        <v>356</v>
      </c>
      <c r="N234">
        <v>561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6264</v>
      </c>
      <c r="V234">
        <v>18802.160479260001</v>
      </c>
      <c r="AH234">
        <f t="shared" si="32"/>
        <v>356</v>
      </c>
      <c r="AI234">
        <f t="shared" si="33"/>
        <v>561</v>
      </c>
      <c r="AJ234" t="str">
        <f t="shared" si="34"/>
        <v/>
      </c>
      <c r="AK234" t="str">
        <f t="shared" si="35"/>
        <v/>
      </c>
      <c r="AL234" t="str">
        <f t="shared" si="28"/>
        <v/>
      </c>
      <c r="AM234" t="str">
        <f t="shared" si="29"/>
        <v/>
      </c>
      <c r="AN234" t="str">
        <f t="shared" si="30"/>
        <v/>
      </c>
      <c r="AO234" t="str">
        <f t="shared" si="31"/>
        <v/>
      </c>
    </row>
    <row r="235" spans="1:41">
      <c r="A235">
        <f t="shared" si="36"/>
        <v>231</v>
      </c>
      <c r="B235" t="s">
        <v>273</v>
      </c>
      <c r="C235">
        <v>5</v>
      </c>
      <c r="D235">
        <v>5</v>
      </c>
      <c r="E235" t="s">
        <v>387</v>
      </c>
      <c r="F235">
        <v>412</v>
      </c>
      <c r="G235">
        <v>2</v>
      </c>
      <c r="H235">
        <v>90</v>
      </c>
      <c r="I235" t="s">
        <v>386</v>
      </c>
      <c r="J235" t="s">
        <v>386</v>
      </c>
      <c r="K235">
        <v>10000</v>
      </c>
      <c r="L235">
        <v>356</v>
      </c>
      <c r="M235">
        <v>356</v>
      </c>
      <c r="N235">
        <v>561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6264</v>
      </c>
      <c r="V235">
        <v>18802.160479260001</v>
      </c>
      <c r="AH235">
        <f t="shared" si="32"/>
        <v>356</v>
      </c>
      <c r="AI235">
        <f t="shared" si="33"/>
        <v>561</v>
      </c>
      <c r="AJ235" t="str">
        <f t="shared" si="34"/>
        <v/>
      </c>
      <c r="AK235" t="str">
        <f t="shared" si="35"/>
        <v/>
      </c>
      <c r="AL235" t="str">
        <f t="shared" si="28"/>
        <v/>
      </c>
      <c r="AM235" t="str">
        <f t="shared" si="29"/>
        <v/>
      </c>
      <c r="AN235" t="str">
        <f t="shared" si="30"/>
        <v/>
      </c>
      <c r="AO235" t="str">
        <f t="shared" si="31"/>
        <v/>
      </c>
    </row>
    <row r="236" spans="1:41">
      <c r="A236">
        <f t="shared" si="36"/>
        <v>232</v>
      </c>
      <c r="B236" t="s">
        <v>273</v>
      </c>
      <c r="C236">
        <v>5</v>
      </c>
      <c r="D236">
        <v>5</v>
      </c>
      <c r="E236" t="s">
        <v>387</v>
      </c>
      <c r="F236">
        <v>412</v>
      </c>
      <c r="G236">
        <v>2</v>
      </c>
      <c r="H236">
        <v>91</v>
      </c>
      <c r="I236" t="s">
        <v>386</v>
      </c>
      <c r="J236" t="s">
        <v>386</v>
      </c>
      <c r="K236">
        <v>10000</v>
      </c>
      <c r="L236">
        <v>356</v>
      </c>
      <c r="M236">
        <v>356</v>
      </c>
      <c r="N236">
        <v>561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6264</v>
      </c>
      <c r="V236">
        <v>18802.160479260001</v>
      </c>
      <c r="AH236">
        <f t="shared" si="32"/>
        <v>356</v>
      </c>
      <c r="AI236">
        <f t="shared" si="33"/>
        <v>561</v>
      </c>
      <c r="AJ236" t="str">
        <f t="shared" si="34"/>
        <v/>
      </c>
      <c r="AK236" t="str">
        <f t="shared" si="35"/>
        <v/>
      </c>
      <c r="AL236" t="str">
        <f t="shared" si="28"/>
        <v/>
      </c>
      <c r="AM236" t="str">
        <f t="shared" si="29"/>
        <v/>
      </c>
      <c r="AN236" t="str">
        <f t="shared" si="30"/>
        <v/>
      </c>
      <c r="AO236" t="str">
        <f t="shared" si="31"/>
        <v/>
      </c>
    </row>
    <row r="237" spans="1:41">
      <c r="A237">
        <f t="shared" si="36"/>
        <v>233</v>
      </c>
      <c r="B237" t="s">
        <v>273</v>
      </c>
      <c r="C237">
        <v>5</v>
      </c>
      <c r="D237">
        <v>5</v>
      </c>
      <c r="E237" t="s">
        <v>387</v>
      </c>
      <c r="F237">
        <v>412</v>
      </c>
      <c r="G237">
        <v>2</v>
      </c>
      <c r="H237">
        <v>92</v>
      </c>
      <c r="I237" t="s">
        <v>386</v>
      </c>
      <c r="J237" t="s">
        <v>386</v>
      </c>
      <c r="K237">
        <v>10000</v>
      </c>
      <c r="L237">
        <v>356</v>
      </c>
      <c r="M237">
        <v>356</v>
      </c>
      <c r="N237">
        <v>561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6264</v>
      </c>
      <c r="V237">
        <v>18802.160479260001</v>
      </c>
      <c r="AH237">
        <f t="shared" si="32"/>
        <v>356</v>
      </c>
      <c r="AI237">
        <f t="shared" si="33"/>
        <v>561</v>
      </c>
      <c r="AJ237" t="str">
        <f t="shared" si="34"/>
        <v/>
      </c>
      <c r="AK237" t="str">
        <f t="shared" si="35"/>
        <v/>
      </c>
      <c r="AL237" t="str">
        <f t="shared" si="28"/>
        <v/>
      </c>
      <c r="AM237" t="str">
        <f t="shared" si="29"/>
        <v/>
      </c>
      <c r="AN237" t="str">
        <f t="shared" si="30"/>
        <v/>
      </c>
      <c r="AO237" t="str">
        <f t="shared" si="31"/>
        <v/>
      </c>
    </row>
    <row r="238" spans="1:41">
      <c r="A238">
        <f t="shared" si="36"/>
        <v>234</v>
      </c>
      <c r="B238" t="s">
        <v>273</v>
      </c>
      <c r="C238">
        <v>5</v>
      </c>
      <c r="D238">
        <v>5</v>
      </c>
      <c r="E238" t="s">
        <v>387</v>
      </c>
      <c r="F238">
        <v>412</v>
      </c>
      <c r="G238">
        <v>2</v>
      </c>
      <c r="H238">
        <v>93</v>
      </c>
      <c r="I238" t="s">
        <v>386</v>
      </c>
      <c r="J238" t="s">
        <v>386</v>
      </c>
      <c r="K238">
        <v>10000</v>
      </c>
      <c r="L238">
        <v>356</v>
      </c>
      <c r="M238">
        <v>356</v>
      </c>
      <c r="N238">
        <v>561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6264</v>
      </c>
      <c r="V238">
        <v>18802.160479260001</v>
      </c>
      <c r="AH238">
        <f t="shared" si="32"/>
        <v>356</v>
      </c>
      <c r="AI238">
        <f t="shared" si="33"/>
        <v>561</v>
      </c>
      <c r="AJ238" t="str">
        <f t="shared" si="34"/>
        <v/>
      </c>
      <c r="AK238" t="str">
        <f t="shared" si="35"/>
        <v/>
      </c>
      <c r="AL238" t="str">
        <f t="shared" si="28"/>
        <v/>
      </c>
      <c r="AM238" t="str">
        <f t="shared" si="29"/>
        <v/>
      </c>
      <c r="AN238" t="str">
        <f t="shared" si="30"/>
        <v/>
      </c>
      <c r="AO238" t="str">
        <f t="shared" si="31"/>
        <v/>
      </c>
    </row>
    <row r="239" spans="1:41">
      <c r="A239">
        <f t="shared" si="36"/>
        <v>235</v>
      </c>
      <c r="B239" t="s">
        <v>273</v>
      </c>
      <c r="C239">
        <v>5</v>
      </c>
      <c r="D239">
        <v>5</v>
      </c>
      <c r="E239" t="s">
        <v>387</v>
      </c>
      <c r="F239">
        <v>412</v>
      </c>
      <c r="G239">
        <v>2</v>
      </c>
      <c r="H239">
        <v>94</v>
      </c>
      <c r="I239" t="s">
        <v>386</v>
      </c>
      <c r="J239" t="s">
        <v>386</v>
      </c>
      <c r="K239">
        <v>10000</v>
      </c>
      <c r="L239">
        <v>356</v>
      </c>
      <c r="M239">
        <v>356</v>
      </c>
      <c r="N239">
        <v>561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6264</v>
      </c>
      <c r="V239">
        <v>18802.160479260001</v>
      </c>
      <c r="AH239">
        <f t="shared" si="32"/>
        <v>356</v>
      </c>
      <c r="AI239">
        <f t="shared" si="33"/>
        <v>561</v>
      </c>
      <c r="AJ239" t="str">
        <f t="shared" si="34"/>
        <v/>
      </c>
      <c r="AK239" t="str">
        <f t="shared" si="35"/>
        <v/>
      </c>
      <c r="AL239" t="str">
        <f t="shared" si="28"/>
        <v/>
      </c>
      <c r="AM239" t="str">
        <f t="shared" si="29"/>
        <v/>
      </c>
      <c r="AN239" t="str">
        <f t="shared" si="30"/>
        <v/>
      </c>
      <c r="AO239" t="str">
        <f t="shared" si="31"/>
        <v/>
      </c>
    </row>
    <row r="240" spans="1:41">
      <c r="A240">
        <f t="shared" si="36"/>
        <v>236</v>
      </c>
      <c r="B240" t="s">
        <v>273</v>
      </c>
      <c r="C240">
        <v>5</v>
      </c>
      <c r="D240">
        <v>5</v>
      </c>
      <c r="E240" t="s">
        <v>387</v>
      </c>
      <c r="F240">
        <v>412</v>
      </c>
      <c r="G240">
        <v>2</v>
      </c>
      <c r="H240">
        <v>95</v>
      </c>
      <c r="I240" t="s">
        <v>386</v>
      </c>
      <c r="J240" t="s">
        <v>386</v>
      </c>
      <c r="K240">
        <v>10000</v>
      </c>
      <c r="L240">
        <v>356</v>
      </c>
      <c r="M240">
        <v>356</v>
      </c>
      <c r="N240">
        <v>561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6264</v>
      </c>
      <c r="V240">
        <v>18802.160479260001</v>
      </c>
      <c r="AH240">
        <f t="shared" si="32"/>
        <v>356</v>
      </c>
      <c r="AI240">
        <f t="shared" si="33"/>
        <v>561</v>
      </c>
      <c r="AJ240" t="str">
        <f t="shared" si="34"/>
        <v/>
      </c>
      <c r="AK240" t="str">
        <f t="shared" si="35"/>
        <v/>
      </c>
      <c r="AL240" t="str">
        <f t="shared" si="28"/>
        <v/>
      </c>
      <c r="AM240" t="str">
        <f t="shared" si="29"/>
        <v/>
      </c>
      <c r="AN240" t="str">
        <f t="shared" si="30"/>
        <v/>
      </c>
      <c r="AO240" t="str">
        <f t="shared" si="31"/>
        <v/>
      </c>
    </row>
    <row r="241" spans="1:41">
      <c r="A241">
        <f t="shared" si="36"/>
        <v>237</v>
      </c>
      <c r="B241" t="s">
        <v>273</v>
      </c>
      <c r="C241">
        <v>4</v>
      </c>
      <c r="D241">
        <v>4</v>
      </c>
      <c r="E241" t="s">
        <v>387</v>
      </c>
      <c r="F241">
        <v>412</v>
      </c>
      <c r="G241">
        <v>2</v>
      </c>
      <c r="H241">
        <v>96</v>
      </c>
      <c r="I241" t="s">
        <v>386</v>
      </c>
      <c r="J241" t="s">
        <v>386</v>
      </c>
      <c r="K241">
        <v>10000</v>
      </c>
      <c r="L241">
        <v>356</v>
      </c>
      <c r="M241">
        <v>356</v>
      </c>
      <c r="N241">
        <v>606</v>
      </c>
      <c r="O241">
        <v>0</v>
      </c>
      <c r="P241">
        <v>0</v>
      </c>
      <c r="Q241">
        <v>0</v>
      </c>
      <c r="R241">
        <v>0</v>
      </c>
      <c r="S241">
        <v>0</v>
      </c>
      <c r="T241" t="s">
        <v>386</v>
      </c>
      <c r="U241">
        <v>6758</v>
      </c>
      <c r="V241">
        <v>18591.222922059998</v>
      </c>
      <c r="AH241">
        <f t="shared" si="32"/>
        <v>356</v>
      </c>
      <c r="AI241">
        <f t="shared" si="33"/>
        <v>606</v>
      </c>
      <c r="AJ241" t="str">
        <f t="shared" si="34"/>
        <v/>
      </c>
      <c r="AK241" t="str">
        <f t="shared" si="35"/>
        <v/>
      </c>
      <c r="AL241" t="str">
        <f t="shared" si="28"/>
        <v/>
      </c>
      <c r="AM241" t="str">
        <f t="shared" si="29"/>
        <v/>
      </c>
      <c r="AN241" t="str">
        <f t="shared" si="30"/>
        <v/>
      </c>
      <c r="AO241" t="e">
        <f t="shared" si="31"/>
        <v>#VALUE!</v>
      </c>
    </row>
    <row r="242" spans="1:41">
      <c r="A242">
        <f t="shared" si="36"/>
        <v>238</v>
      </c>
      <c r="B242" t="s">
        <v>273</v>
      </c>
      <c r="C242">
        <v>3</v>
      </c>
      <c r="D242">
        <v>3</v>
      </c>
      <c r="E242" t="s">
        <v>387</v>
      </c>
      <c r="F242">
        <v>412</v>
      </c>
      <c r="G242">
        <v>2</v>
      </c>
      <c r="H242">
        <v>97</v>
      </c>
      <c r="I242" t="s">
        <v>386</v>
      </c>
      <c r="J242" t="s">
        <v>386</v>
      </c>
      <c r="K242">
        <v>10000</v>
      </c>
      <c r="L242">
        <v>356</v>
      </c>
      <c r="M242">
        <v>356</v>
      </c>
      <c r="N242">
        <v>699</v>
      </c>
      <c r="O242">
        <v>0</v>
      </c>
      <c r="P242">
        <v>0</v>
      </c>
      <c r="Q242">
        <v>0</v>
      </c>
      <c r="R242">
        <v>0</v>
      </c>
      <c r="S242" t="s">
        <v>386</v>
      </c>
      <c r="T242" t="s">
        <v>386</v>
      </c>
      <c r="U242">
        <v>7784</v>
      </c>
      <c r="V242">
        <v>18380.285364859999</v>
      </c>
      <c r="AH242">
        <f t="shared" si="32"/>
        <v>356</v>
      </c>
      <c r="AI242">
        <f t="shared" si="33"/>
        <v>699</v>
      </c>
      <c r="AJ242" t="str">
        <f t="shared" si="34"/>
        <v/>
      </c>
      <c r="AK242" t="str">
        <f t="shared" si="35"/>
        <v/>
      </c>
      <c r="AL242" t="str">
        <f t="shared" si="28"/>
        <v/>
      </c>
      <c r="AM242" t="str">
        <f t="shared" si="29"/>
        <v/>
      </c>
      <c r="AN242" t="e">
        <f t="shared" si="30"/>
        <v>#VALUE!</v>
      </c>
      <c r="AO242" t="e">
        <f t="shared" si="31"/>
        <v>#VALUE!</v>
      </c>
    </row>
    <row r="243" spans="1:41">
      <c r="A243">
        <f t="shared" si="36"/>
        <v>239</v>
      </c>
      <c r="B243" t="s">
        <v>273</v>
      </c>
      <c r="C243">
        <v>2</v>
      </c>
      <c r="D243">
        <v>2</v>
      </c>
      <c r="E243" t="s">
        <v>387</v>
      </c>
      <c r="F243">
        <v>412</v>
      </c>
      <c r="G243">
        <v>2</v>
      </c>
      <c r="H243">
        <v>98</v>
      </c>
      <c r="I243" t="s">
        <v>386</v>
      </c>
      <c r="J243" t="s">
        <v>386</v>
      </c>
      <c r="K243">
        <v>10000</v>
      </c>
      <c r="L243">
        <v>356</v>
      </c>
      <c r="M243">
        <v>356</v>
      </c>
      <c r="N243">
        <v>678</v>
      </c>
      <c r="O243">
        <v>0</v>
      </c>
      <c r="P243">
        <v>0</v>
      </c>
      <c r="Q243">
        <v>0</v>
      </c>
      <c r="R243" t="s">
        <v>386</v>
      </c>
      <c r="S243" t="s">
        <v>386</v>
      </c>
      <c r="T243" t="s">
        <v>386</v>
      </c>
      <c r="U243">
        <v>4852</v>
      </c>
      <c r="V243">
        <v>18169.34780766</v>
      </c>
      <c r="AH243">
        <f t="shared" si="32"/>
        <v>356</v>
      </c>
      <c r="AI243">
        <f t="shared" si="33"/>
        <v>678</v>
      </c>
      <c r="AJ243" t="str">
        <f t="shared" si="34"/>
        <v/>
      </c>
      <c r="AK243" t="str">
        <f t="shared" si="35"/>
        <v/>
      </c>
      <c r="AL243" t="str">
        <f t="shared" si="28"/>
        <v/>
      </c>
      <c r="AM243" t="e">
        <f t="shared" si="29"/>
        <v>#VALUE!</v>
      </c>
      <c r="AN243" t="e">
        <f t="shared" si="30"/>
        <v>#VALUE!</v>
      </c>
      <c r="AO243" t="e">
        <f t="shared" si="31"/>
        <v>#VALUE!</v>
      </c>
    </row>
    <row r="244" spans="1:41">
      <c r="A244">
        <f t="shared" si="36"/>
        <v>240</v>
      </c>
      <c r="B244" t="s">
        <v>273</v>
      </c>
      <c r="C244">
        <v>1</v>
      </c>
      <c r="D244">
        <v>1</v>
      </c>
      <c r="E244" t="s">
        <v>387</v>
      </c>
      <c r="F244">
        <v>412</v>
      </c>
      <c r="G244">
        <v>2</v>
      </c>
      <c r="H244">
        <v>99</v>
      </c>
      <c r="I244" t="s">
        <v>386</v>
      </c>
      <c r="J244" t="s">
        <v>386</v>
      </c>
      <c r="K244">
        <v>10000</v>
      </c>
      <c r="L244">
        <v>356</v>
      </c>
      <c r="M244">
        <v>356</v>
      </c>
      <c r="N244">
        <v>1114</v>
      </c>
      <c r="O244">
        <v>0</v>
      </c>
      <c r="P244">
        <v>0</v>
      </c>
      <c r="Q244" t="s">
        <v>386</v>
      </c>
      <c r="R244" t="s">
        <v>386</v>
      </c>
      <c r="S244" t="s">
        <v>386</v>
      </c>
      <c r="T244" t="s">
        <v>386</v>
      </c>
      <c r="U244">
        <v>6620</v>
      </c>
      <c r="V244">
        <v>17958.410250460001</v>
      </c>
      <c r="AH244">
        <f t="shared" si="32"/>
        <v>356</v>
      </c>
      <c r="AI244">
        <f t="shared" si="33"/>
        <v>1114</v>
      </c>
      <c r="AJ244" t="str">
        <f t="shared" si="34"/>
        <v/>
      </c>
      <c r="AK244" t="str">
        <f t="shared" si="35"/>
        <v/>
      </c>
      <c r="AL244" t="e">
        <f t="shared" si="28"/>
        <v>#VALUE!</v>
      </c>
      <c r="AM244" t="e">
        <f t="shared" si="29"/>
        <v>#VALUE!</v>
      </c>
      <c r="AN244" t="e">
        <f t="shared" si="30"/>
        <v>#VALUE!</v>
      </c>
      <c r="AO244" t="e">
        <f t="shared" si="31"/>
        <v>#VALUE!</v>
      </c>
    </row>
    <row r="245" spans="1:41">
      <c r="A245">
        <f t="shared" si="36"/>
        <v>241</v>
      </c>
      <c r="B245" t="s">
        <v>268</v>
      </c>
      <c r="C245">
        <v>5</v>
      </c>
      <c r="D245">
        <v>5</v>
      </c>
      <c r="E245" t="s">
        <v>385</v>
      </c>
      <c r="F245">
        <v>412</v>
      </c>
      <c r="G245">
        <v>1</v>
      </c>
      <c r="H245">
        <v>30</v>
      </c>
      <c r="I245" t="s">
        <v>386</v>
      </c>
      <c r="J245" t="s">
        <v>386</v>
      </c>
      <c r="K245">
        <v>1000000</v>
      </c>
      <c r="L245">
        <v>25</v>
      </c>
      <c r="M245">
        <v>25</v>
      </c>
      <c r="N245">
        <v>66</v>
      </c>
      <c r="O245">
        <v>0</v>
      </c>
      <c r="P245">
        <v>51</v>
      </c>
      <c r="Q245">
        <v>81</v>
      </c>
      <c r="R245">
        <v>86</v>
      </c>
      <c r="S245">
        <v>60</v>
      </c>
      <c r="T245">
        <v>0</v>
      </c>
      <c r="U245">
        <v>1708</v>
      </c>
      <c r="V245">
        <v>8363.3844159399996</v>
      </c>
      <c r="AH245">
        <f t="shared" si="32"/>
        <v>25</v>
      </c>
      <c r="AI245">
        <f t="shared" si="33"/>
        <v>66</v>
      </c>
      <c r="AJ245" t="str">
        <f t="shared" si="34"/>
        <v/>
      </c>
      <c r="AK245">
        <f t="shared" si="35"/>
        <v>51</v>
      </c>
      <c r="AL245">
        <f t="shared" si="28"/>
        <v>81</v>
      </c>
      <c r="AM245">
        <f t="shared" si="29"/>
        <v>86</v>
      </c>
      <c r="AN245">
        <f t="shared" si="30"/>
        <v>60</v>
      </c>
      <c r="AO245" t="str">
        <f t="shared" si="31"/>
        <v/>
      </c>
    </row>
    <row r="246" spans="1:41">
      <c r="A246">
        <f t="shared" si="36"/>
        <v>242</v>
      </c>
      <c r="B246" t="s">
        <v>268</v>
      </c>
      <c r="C246">
        <v>5</v>
      </c>
      <c r="D246">
        <v>5</v>
      </c>
      <c r="E246" t="s">
        <v>385</v>
      </c>
      <c r="F246">
        <v>412</v>
      </c>
      <c r="G246">
        <v>1</v>
      </c>
      <c r="H246">
        <v>31</v>
      </c>
      <c r="I246" t="s">
        <v>386</v>
      </c>
      <c r="J246" t="s">
        <v>386</v>
      </c>
      <c r="K246">
        <v>1000000</v>
      </c>
      <c r="L246">
        <v>27</v>
      </c>
      <c r="M246">
        <v>27</v>
      </c>
      <c r="N246">
        <v>69</v>
      </c>
      <c r="O246">
        <v>0</v>
      </c>
      <c r="P246">
        <v>59</v>
      </c>
      <c r="Q246">
        <v>93</v>
      </c>
      <c r="R246">
        <v>98</v>
      </c>
      <c r="S246">
        <v>69</v>
      </c>
      <c r="T246">
        <v>0</v>
      </c>
      <c r="U246">
        <v>1721</v>
      </c>
      <c r="V246">
        <v>8370.7908519199991</v>
      </c>
      <c r="AH246">
        <f t="shared" si="32"/>
        <v>27</v>
      </c>
      <c r="AI246">
        <f t="shared" si="33"/>
        <v>69</v>
      </c>
      <c r="AJ246" t="str">
        <f t="shared" si="34"/>
        <v/>
      </c>
      <c r="AK246">
        <f t="shared" si="35"/>
        <v>59</v>
      </c>
      <c r="AL246">
        <f t="shared" si="28"/>
        <v>93</v>
      </c>
      <c r="AM246">
        <f t="shared" si="29"/>
        <v>98</v>
      </c>
      <c r="AN246">
        <f t="shared" si="30"/>
        <v>69</v>
      </c>
      <c r="AO246" t="str">
        <f t="shared" si="31"/>
        <v/>
      </c>
    </row>
    <row r="247" spans="1:41">
      <c r="A247">
        <f t="shared" si="36"/>
        <v>243</v>
      </c>
      <c r="B247" t="s">
        <v>268</v>
      </c>
      <c r="C247">
        <v>5</v>
      </c>
      <c r="D247">
        <v>5</v>
      </c>
      <c r="E247" t="s">
        <v>385</v>
      </c>
      <c r="F247">
        <v>412</v>
      </c>
      <c r="G247">
        <v>1</v>
      </c>
      <c r="H247">
        <v>32</v>
      </c>
      <c r="I247" t="s">
        <v>386</v>
      </c>
      <c r="J247" t="s">
        <v>386</v>
      </c>
      <c r="K247">
        <v>1000000</v>
      </c>
      <c r="L247">
        <v>30</v>
      </c>
      <c r="M247">
        <v>30</v>
      </c>
      <c r="N247">
        <v>73</v>
      </c>
      <c r="O247">
        <v>0</v>
      </c>
      <c r="P247">
        <v>68</v>
      </c>
      <c r="Q247">
        <v>108</v>
      </c>
      <c r="R247">
        <v>114</v>
      </c>
      <c r="S247">
        <v>81</v>
      </c>
      <c r="T247">
        <v>0</v>
      </c>
      <c r="U247">
        <v>1736</v>
      </c>
      <c r="V247">
        <v>8379.3206295</v>
      </c>
      <c r="AH247">
        <f t="shared" si="32"/>
        <v>30</v>
      </c>
      <c r="AI247">
        <f t="shared" si="33"/>
        <v>73</v>
      </c>
      <c r="AJ247" t="str">
        <f t="shared" si="34"/>
        <v/>
      </c>
      <c r="AK247">
        <f t="shared" si="35"/>
        <v>68</v>
      </c>
      <c r="AL247">
        <f t="shared" si="28"/>
        <v>108</v>
      </c>
      <c r="AM247">
        <f t="shared" si="29"/>
        <v>114</v>
      </c>
      <c r="AN247">
        <f t="shared" si="30"/>
        <v>81</v>
      </c>
      <c r="AO247" t="str">
        <f t="shared" si="31"/>
        <v/>
      </c>
    </row>
    <row r="248" spans="1:41">
      <c r="A248">
        <f t="shared" si="36"/>
        <v>244</v>
      </c>
      <c r="B248" t="s">
        <v>268</v>
      </c>
      <c r="C248">
        <v>5</v>
      </c>
      <c r="D248">
        <v>5</v>
      </c>
      <c r="E248" t="s">
        <v>385</v>
      </c>
      <c r="F248">
        <v>412</v>
      </c>
      <c r="G248">
        <v>1</v>
      </c>
      <c r="H248">
        <v>33</v>
      </c>
      <c r="I248" t="s">
        <v>386</v>
      </c>
      <c r="J248" t="s">
        <v>386</v>
      </c>
      <c r="K248">
        <v>1000000</v>
      </c>
      <c r="L248">
        <v>33</v>
      </c>
      <c r="M248">
        <v>33</v>
      </c>
      <c r="N248">
        <v>77</v>
      </c>
      <c r="O248">
        <v>0</v>
      </c>
      <c r="P248">
        <v>78</v>
      </c>
      <c r="Q248">
        <v>124</v>
      </c>
      <c r="R248">
        <v>132</v>
      </c>
      <c r="S248">
        <v>93</v>
      </c>
      <c r="T248">
        <v>0</v>
      </c>
      <c r="U248">
        <v>1754</v>
      </c>
      <c r="V248">
        <v>8389.2243401199994</v>
      </c>
      <c r="AH248">
        <f t="shared" si="32"/>
        <v>33</v>
      </c>
      <c r="AI248">
        <f t="shared" si="33"/>
        <v>77</v>
      </c>
      <c r="AJ248" t="str">
        <f t="shared" si="34"/>
        <v/>
      </c>
      <c r="AK248">
        <f t="shared" si="35"/>
        <v>78</v>
      </c>
      <c r="AL248">
        <f t="shared" si="28"/>
        <v>124</v>
      </c>
      <c r="AM248">
        <f t="shared" si="29"/>
        <v>132</v>
      </c>
      <c r="AN248">
        <f t="shared" si="30"/>
        <v>93</v>
      </c>
      <c r="AO248" t="str">
        <f t="shared" si="31"/>
        <v/>
      </c>
    </row>
    <row r="249" spans="1:41">
      <c r="A249">
        <f t="shared" si="36"/>
        <v>245</v>
      </c>
      <c r="B249" t="s">
        <v>268</v>
      </c>
      <c r="C249">
        <v>5</v>
      </c>
      <c r="D249">
        <v>5</v>
      </c>
      <c r="E249" t="s">
        <v>385</v>
      </c>
      <c r="F249">
        <v>412</v>
      </c>
      <c r="G249">
        <v>1</v>
      </c>
      <c r="H249">
        <v>34</v>
      </c>
      <c r="I249" t="s">
        <v>386</v>
      </c>
      <c r="J249" t="s">
        <v>386</v>
      </c>
      <c r="K249">
        <v>1000000</v>
      </c>
      <c r="L249">
        <v>37</v>
      </c>
      <c r="M249">
        <v>37</v>
      </c>
      <c r="N249">
        <v>82</v>
      </c>
      <c r="O249">
        <v>0</v>
      </c>
      <c r="P249">
        <v>91</v>
      </c>
      <c r="Q249">
        <v>145</v>
      </c>
      <c r="R249">
        <v>154</v>
      </c>
      <c r="S249">
        <v>110</v>
      </c>
      <c r="T249">
        <v>0</v>
      </c>
      <c r="U249">
        <v>1775</v>
      </c>
      <c r="V249">
        <v>8400.7401205999995</v>
      </c>
      <c r="AH249">
        <f t="shared" si="32"/>
        <v>37</v>
      </c>
      <c r="AI249">
        <f t="shared" si="33"/>
        <v>82</v>
      </c>
      <c r="AJ249" t="str">
        <f t="shared" si="34"/>
        <v/>
      </c>
      <c r="AK249">
        <f t="shared" si="35"/>
        <v>91</v>
      </c>
      <c r="AL249">
        <f t="shared" si="28"/>
        <v>145</v>
      </c>
      <c r="AM249">
        <f t="shared" si="29"/>
        <v>154</v>
      </c>
      <c r="AN249">
        <f t="shared" si="30"/>
        <v>110</v>
      </c>
      <c r="AO249" t="str">
        <f t="shared" si="31"/>
        <v/>
      </c>
    </row>
    <row r="250" spans="1:41">
      <c r="A250">
        <f t="shared" si="36"/>
        <v>246</v>
      </c>
      <c r="B250" t="s">
        <v>268</v>
      </c>
      <c r="C250">
        <v>5</v>
      </c>
      <c r="D250">
        <v>5</v>
      </c>
      <c r="E250" t="s">
        <v>385</v>
      </c>
      <c r="F250">
        <v>412</v>
      </c>
      <c r="G250">
        <v>1</v>
      </c>
      <c r="H250">
        <v>35</v>
      </c>
      <c r="I250" t="s">
        <v>386</v>
      </c>
      <c r="J250" t="s">
        <v>386</v>
      </c>
      <c r="K250">
        <v>1000000</v>
      </c>
      <c r="L250">
        <v>42</v>
      </c>
      <c r="M250">
        <v>42</v>
      </c>
      <c r="N250">
        <v>88</v>
      </c>
      <c r="O250">
        <v>0</v>
      </c>
      <c r="P250">
        <v>107</v>
      </c>
      <c r="Q250">
        <v>171</v>
      </c>
      <c r="R250">
        <v>182</v>
      </c>
      <c r="S250">
        <v>130</v>
      </c>
      <c r="T250">
        <v>0</v>
      </c>
      <c r="U250">
        <v>1799</v>
      </c>
      <c r="V250">
        <v>8414.2591575900005</v>
      </c>
      <c r="AH250">
        <f t="shared" si="32"/>
        <v>42</v>
      </c>
      <c r="AI250">
        <f t="shared" si="33"/>
        <v>88</v>
      </c>
      <c r="AJ250" t="str">
        <f t="shared" si="34"/>
        <v/>
      </c>
      <c r="AK250">
        <f t="shared" si="35"/>
        <v>107</v>
      </c>
      <c r="AL250">
        <f t="shared" si="28"/>
        <v>171</v>
      </c>
      <c r="AM250">
        <f t="shared" si="29"/>
        <v>182</v>
      </c>
      <c r="AN250">
        <f t="shared" si="30"/>
        <v>130</v>
      </c>
      <c r="AO250" t="str">
        <f t="shared" si="31"/>
        <v/>
      </c>
    </row>
    <row r="251" spans="1:41">
      <c r="A251">
        <f t="shared" si="36"/>
        <v>247</v>
      </c>
      <c r="B251" t="s">
        <v>268</v>
      </c>
      <c r="C251">
        <v>5</v>
      </c>
      <c r="D251">
        <v>5</v>
      </c>
      <c r="E251" t="s">
        <v>385</v>
      </c>
      <c r="F251">
        <v>412</v>
      </c>
      <c r="G251">
        <v>1</v>
      </c>
      <c r="H251">
        <v>36</v>
      </c>
      <c r="I251" t="s">
        <v>386</v>
      </c>
      <c r="J251" t="s">
        <v>386</v>
      </c>
      <c r="K251">
        <v>1000000</v>
      </c>
      <c r="L251">
        <v>47</v>
      </c>
      <c r="M251">
        <v>47</v>
      </c>
      <c r="N251">
        <v>95</v>
      </c>
      <c r="O251">
        <v>0</v>
      </c>
      <c r="P251">
        <v>126</v>
      </c>
      <c r="Q251">
        <v>201</v>
      </c>
      <c r="R251">
        <v>215</v>
      </c>
      <c r="S251">
        <v>153</v>
      </c>
      <c r="T251">
        <v>0</v>
      </c>
      <c r="U251">
        <v>1828</v>
      </c>
      <c r="V251">
        <v>8430.1762342000002</v>
      </c>
      <c r="AH251">
        <f t="shared" si="32"/>
        <v>47</v>
      </c>
      <c r="AI251">
        <f t="shared" si="33"/>
        <v>95</v>
      </c>
      <c r="AJ251" t="str">
        <f t="shared" si="34"/>
        <v/>
      </c>
      <c r="AK251">
        <f t="shared" si="35"/>
        <v>126</v>
      </c>
      <c r="AL251">
        <f t="shared" si="28"/>
        <v>201</v>
      </c>
      <c r="AM251">
        <f t="shared" si="29"/>
        <v>215</v>
      </c>
      <c r="AN251">
        <f t="shared" si="30"/>
        <v>153</v>
      </c>
      <c r="AO251" t="str">
        <f t="shared" si="31"/>
        <v/>
      </c>
    </row>
    <row r="252" spans="1:41">
      <c r="A252">
        <f t="shared" si="36"/>
        <v>248</v>
      </c>
      <c r="B252" t="s">
        <v>268</v>
      </c>
      <c r="C252">
        <v>5</v>
      </c>
      <c r="D252">
        <v>5</v>
      </c>
      <c r="E252" t="s">
        <v>385</v>
      </c>
      <c r="F252">
        <v>412</v>
      </c>
      <c r="G252">
        <v>1</v>
      </c>
      <c r="H252">
        <v>37</v>
      </c>
      <c r="I252" t="s">
        <v>386</v>
      </c>
      <c r="J252" t="s">
        <v>386</v>
      </c>
      <c r="K252">
        <v>1000000</v>
      </c>
      <c r="L252">
        <v>53</v>
      </c>
      <c r="M252">
        <v>53</v>
      </c>
      <c r="N252">
        <v>104</v>
      </c>
      <c r="O252">
        <v>0</v>
      </c>
      <c r="P252">
        <v>148</v>
      </c>
      <c r="Q252">
        <v>237</v>
      </c>
      <c r="R252">
        <v>251</v>
      </c>
      <c r="S252">
        <v>177</v>
      </c>
      <c r="T252">
        <v>0</v>
      </c>
      <c r="U252">
        <v>1861</v>
      </c>
      <c r="V252">
        <v>8448.7427798000008</v>
      </c>
      <c r="AH252">
        <f t="shared" si="32"/>
        <v>53</v>
      </c>
      <c r="AI252">
        <f t="shared" si="33"/>
        <v>104</v>
      </c>
      <c r="AJ252" t="str">
        <f t="shared" si="34"/>
        <v/>
      </c>
      <c r="AK252">
        <f t="shared" si="35"/>
        <v>148</v>
      </c>
      <c r="AL252">
        <f t="shared" si="28"/>
        <v>237</v>
      </c>
      <c r="AM252">
        <f t="shared" si="29"/>
        <v>251</v>
      </c>
      <c r="AN252">
        <f t="shared" si="30"/>
        <v>177</v>
      </c>
      <c r="AO252" t="str">
        <f t="shared" si="31"/>
        <v/>
      </c>
    </row>
    <row r="253" spans="1:41">
      <c r="A253">
        <f t="shared" si="36"/>
        <v>249</v>
      </c>
      <c r="B253" t="s">
        <v>268</v>
      </c>
      <c r="C253">
        <v>5</v>
      </c>
      <c r="D253">
        <v>5</v>
      </c>
      <c r="E253" t="s">
        <v>385</v>
      </c>
      <c r="F253">
        <v>412</v>
      </c>
      <c r="G253">
        <v>1</v>
      </c>
      <c r="H253">
        <v>38</v>
      </c>
      <c r="I253" t="s">
        <v>386</v>
      </c>
      <c r="J253" t="s">
        <v>386</v>
      </c>
      <c r="K253">
        <v>1000000</v>
      </c>
      <c r="L253">
        <v>61</v>
      </c>
      <c r="M253">
        <v>61</v>
      </c>
      <c r="N253">
        <v>113</v>
      </c>
      <c r="O253">
        <v>0</v>
      </c>
      <c r="P253">
        <v>172</v>
      </c>
      <c r="Q253">
        <v>272</v>
      </c>
      <c r="R253">
        <v>286</v>
      </c>
      <c r="S253">
        <v>199</v>
      </c>
      <c r="T253">
        <v>0</v>
      </c>
      <c r="U253">
        <v>1899</v>
      </c>
      <c r="V253">
        <v>8470.0290349700008</v>
      </c>
      <c r="AH253">
        <f t="shared" si="32"/>
        <v>61</v>
      </c>
      <c r="AI253">
        <f t="shared" si="33"/>
        <v>113</v>
      </c>
      <c r="AJ253" t="str">
        <f t="shared" si="34"/>
        <v/>
      </c>
      <c r="AK253">
        <f t="shared" si="35"/>
        <v>172</v>
      </c>
      <c r="AL253">
        <f t="shared" si="28"/>
        <v>272</v>
      </c>
      <c r="AM253">
        <f t="shared" si="29"/>
        <v>286</v>
      </c>
      <c r="AN253">
        <f t="shared" si="30"/>
        <v>199</v>
      </c>
      <c r="AO253" t="str">
        <f t="shared" si="31"/>
        <v/>
      </c>
    </row>
    <row r="254" spans="1:41">
      <c r="A254">
        <f t="shared" si="36"/>
        <v>250</v>
      </c>
      <c r="B254" t="s">
        <v>268</v>
      </c>
      <c r="C254">
        <v>5</v>
      </c>
      <c r="D254">
        <v>5</v>
      </c>
      <c r="E254" t="s">
        <v>385</v>
      </c>
      <c r="F254">
        <v>412</v>
      </c>
      <c r="G254">
        <v>1</v>
      </c>
      <c r="H254">
        <v>39</v>
      </c>
      <c r="I254" t="s">
        <v>386</v>
      </c>
      <c r="J254" t="s">
        <v>386</v>
      </c>
      <c r="K254">
        <v>1000000</v>
      </c>
      <c r="L254">
        <v>69</v>
      </c>
      <c r="M254">
        <v>69</v>
      </c>
      <c r="N254">
        <v>124</v>
      </c>
      <c r="O254">
        <v>0</v>
      </c>
      <c r="P254">
        <v>193</v>
      </c>
      <c r="Q254">
        <v>302</v>
      </c>
      <c r="R254">
        <v>312</v>
      </c>
      <c r="S254">
        <v>214</v>
      </c>
      <c r="T254">
        <v>0</v>
      </c>
      <c r="U254">
        <v>1942</v>
      </c>
      <c r="V254">
        <v>8493.7130447500003</v>
      </c>
      <c r="AH254">
        <f t="shared" si="32"/>
        <v>69</v>
      </c>
      <c r="AI254">
        <f t="shared" si="33"/>
        <v>124</v>
      </c>
      <c r="AJ254" t="str">
        <f t="shared" si="34"/>
        <v/>
      </c>
      <c r="AK254">
        <f t="shared" si="35"/>
        <v>193</v>
      </c>
      <c r="AL254">
        <f t="shared" si="28"/>
        <v>302</v>
      </c>
      <c r="AM254">
        <f t="shared" si="29"/>
        <v>312</v>
      </c>
      <c r="AN254">
        <f t="shared" si="30"/>
        <v>214</v>
      </c>
      <c r="AO254" t="str">
        <f t="shared" si="31"/>
        <v/>
      </c>
    </row>
    <row r="255" spans="1:41">
      <c r="A255">
        <f t="shared" si="36"/>
        <v>251</v>
      </c>
      <c r="B255" t="s">
        <v>268</v>
      </c>
      <c r="C255">
        <v>5</v>
      </c>
      <c r="D255">
        <v>5</v>
      </c>
      <c r="E255" t="s">
        <v>385</v>
      </c>
      <c r="F255">
        <v>412</v>
      </c>
      <c r="G255">
        <v>1</v>
      </c>
      <c r="H255">
        <v>40</v>
      </c>
      <c r="I255" t="s">
        <v>386</v>
      </c>
      <c r="J255" t="s">
        <v>386</v>
      </c>
      <c r="K255">
        <v>1000000</v>
      </c>
      <c r="L255">
        <v>77</v>
      </c>
      <c r="M255">
        <v>77</v>
      </c>
      <c r="N255">
        <v>135</v>
      </c>
      <c r="O255">
        <v>0</v>
      </c>
      <c r="P255">
        <v>208</v>
      </c>
      <c r="Q255">
        <v>320</v>
      </c>
      <c r="R255">
        <v>326</v>
      </c>
      <c r="S255">
        <v>220</v>
      </c>
      <c r="T255">
        <v>0</v>
      </c>
      <c r="U255">
        <v>1988</v>
      </c>
      <c r="V255">
        <v>8519.1239623900001</v>
      </c>
      <c r="AH255">
        <f t="shared" si="32"/>
        <v>77</v>
      </c>
      <c r="AI255">
        <f t="shared" si="33"/>
        <v>135</v>
      </c>
      <c r="AJ255" t="str">
        <f t="shared" si="34"/>
        <v/>
      </c>
      <c r="AK255">
        <f t="shared" si="35"/>
        <v>208</v>
      </c>
      <c r="AL255">
        <f t="shared" si="28"/>
        <v>320</v>
      </c>
      <c r="AM255">
        <f t="shared" si="29"/>
        <v>326</v>
      </c>
      <c r="AN255">
        <f t="shared" si="30"/>
        <v>220</v>
      </c>
      <c r="AO255" t="str">
        <f t="shared" si="31"/>
        <v/>
      </c>
    </row>
    <row r="256" spans="1:41">
      <c r="A256">
        <f t="shared" si="36"/>
        <v>252</v>
      </c>
      <c r="B256" t="s">
        <v>268</v>
      </c>
      <c r="C256">
        <v>5</v>
      </c>
      <c r="D256">
        <v>5</v>
      </c>
      <c r="E256" t="s">
        <v>385</v>
      </c>
      <c r="F256">
        <v>412</v>
      </c>
      <c r="G256">
        <v>1</v>
      </c>
      <c r="H256">
        <v>41</v>
      </c>
      <c r="I256" t="s">
        <v>386</v>
      </c>
      <c r="J256" t="s">
        <v>386</v>
      </c>
      <c r="K256">
        <v>1000000</v>
      </c>
      <c r="L256">
        <v>86</v>
      </c>
      <c r="M256">
        <v>86</v>
      </c>
      <c r="N256">
        <v>146</v>
      </c>
      <c r="O256">
        <v>0</v>
      </c>
      <c r="P256">
        <v>215</v>
      </c>
      <c r="Q256">
        <v>327</v>
      </c>
      <c r="R256">
        <v>329</v>
      </c>
      <c r="S256">
        <v>221</v>
      </c>
      <c r="T256">
        <v>0</v>
      </c>
      <c r="U256">
        <v>2035</v>
      </c>
      <c r="V256">
        <v>8545.5675489400001</v>
      </c>
      <c r="AH256">
        <f t="shared" si="32"/>
        <v>86</v>
      </c>
      <c r="AI256">
        <f t="shared" si="33"/>
        <v>146</v>
      </c>
      <c r="AJ256" t="str">
        <f t="shared" si="34"/>
        <v/>
      </c>
      <c r="AK256">
        <f t="shared" si="35"/>
        <v>215</v>
      </c>
      <c r="AL256">
        <f t="shared" si="28"/>
        <v>327</v>
      </c>
      <c r="AM256">
        <f t="shared" si="29"/>
        <v>329</v>
      </c>
      <c r="AN256">
        <f t="shared" si="30"/>
        <v>221</v>
      </c>
      <c r="AO256" t="str">
        <f t="shared" si="31"/>
        <v/>
      </c>
    </row>
    <row r="257" spans="1:41">
      <c r="A257">
        <f t="shared" si="36"/>
        <v>253</v>
      </c>
      <c r="B257" t="s">
        <v>268</v>
      </c>
      <c r="C257">
        <v>5</v>
      </c>
      <c r="D257">
        <v>5</v>
      </c>
      <c r="E257" t="s">
        <v>385</v>
      </c>
      <c r="F257">
        <v>412</v>
      </c>
      <c r="G257">
        <v>1</v>
      </c>
      <c r="H257">
        <v>42</v>
      </c>
      <c r="I257" t="s">
        <v>386</v>
      </c>
      <c r="J257" t="s">
        <v>386</v>
      </c>
      <c r="K257">
        <v>1000000</v>
      </c>
      <c r="L257">
        <v>95</v>
      </c>
      <c r="M257">
        <v>95</v>
      </c>
      <c r="N257">
        <v>158</v>
      </c>
      <c r="O257">
        <v>0</v>
      </c>
      <c r="P257">
        <v>216</v>
      </c>
      <c r="Q257">
        <v>326</v>
      </c>
      <c r="R257">
        <v>327</v>
      </c>
      <c r="S257">
        <v>220</v>
      </c>
      <c r="T257">
        <v>0</v>
      </c>
      <c r="U257">
        <v>2083</v>
      </c>
      <c r="V257">
        <v>8572.4316537899995</v>
      </c>
      <c r="AH257">
        <f t="shared" si="32"/>
        <v>95</v>
      </c>
      <c r="AI257">
        <f t="shared" si="33"/>
        <v>158</v>
      </c>
      <c r="AJ257" t="str">
        <f t="shared" si="34"/>
        <v/>
      </c>
      <c r="AK257">
        <f t="shared" si="35"/>
        <v>216</v>
      </c>
      <c r="AL257">
        <f t="shared" si="28"/>
        <v>326</v>
      </c>
      <c r="AM257">
        <f t="shared" si="29"/>
        <v>327</v>
      </c>
      <c r="AN257">
        <f t="shared" si="30"/>
        <v>220</v>
      </c>
      <c r="AO257" t="str">
        <f t="shared" si="31"/>
        <v/>
      </c>
    </row>
    <row r="258" spans="1:41">
      <c r="A258">
        <f t="shared" si="36"/>
        <v>254</v>
      </c>
      <c r="B258" t="s">
        <v>268</v>
      </c>
      <c r="C258">
        <v>5</v>
      </c>
      <c r="D258">
        <v>5</v>
      </c>
      <c r="E258" t="s">
        <v>385</v>
      </c>
      <c r="F258">
        <v>412</v>
      </c>
      <c r="G258">
        <v>1</v>
      </c>
      <c r="H258">
        <v>43</v>
      </c>
      <c r="I258" t="s">
        <v>386</v>
      </c>
      <c r="J258" t="s">
        <v>386</v>
      </c>
      <c r="K258">
        <v>1000000</v>
      </c>
      <c r="L258">
        <v>104</v>
      </c>
      <c r="M258">
        <v>104</v>
      </c>
      <c r="N258">
        <v>170</v>
      </c>
      <c r="O258">
        <v>0</v>
      </c>
      <c r="P258">
        <v>215</v>
      </c>
      <c r="Q258">
        <v>325</v>
      </c>
      <c r="R258">
        <v>329</v>
      </c>
      <c r="S258">
        <v>223</v>
      </c>
      <c r="T258">
        <v>0</v>
      </c>
      <c r="U258">
        <v>2133</v>
      </c>
      <c r="V258">
        <v>8599.5353434799999</v>
      </c>
      <c r="AH258">
        <f t="shared" si="32"/>
        <v>104</v>
      </c>
      <c r="AI258">
        <f t="shared" si="33"/>
        <v>170</v>
      </c>
      <c r="AJ258" t="str">
        <f t="shared" si="34"/>
        <v/>
      </c>
      <c r="AK258">
        <f t="shared" si="35"/>
        <v>215</v>
      </c>
      <c r="AL258">
        <f t="shared" si="28"/>
        <v>325</v>
      </c>
      <c r="AM258">
        <f t="shared" si="29"/>
        <v>329</v>
      </c>
      <c r="AN258">
        <f t="shared" si="30"/>
        <v>223</v>
      </c>
      <c r="AO258" t="str">
        <f t="shared" si="31"/>
        <v/>
      </c>
    </row>
    <row r="259" spans="1:41">
      <c r="A259">
        <f t="shared" si="36"/>
        <v>255</v>
      </c>
      <c r="B259" t="s">
        <v>268</v>
      </c>
      <c r="C259">
        <v>5</v>
      </c>
      <c r="D259">
        <v>5</v>
      </c>
      <c r="E259" t="s">
        <v>385</v>
      </c>
      <c r="F259">
        <v>412</v>
      </c>
      <c r="G259">
        <v>1</v>
      </c>
      <c r="H259">
        <v>44</v>
      </c>
      <c r="I259" t="s">
        <v>386</v>
      </c>
      <c r="J259" t="s">
        <v>386</v>
      </c>
      <c r="K259">
        <v>1000000</v>
      </c>
      <c r="L259">
        <v>114</v>
      </c>
      <c r="M259">
        <v>114</v>
      </c>
      <c r="N259">
        <v>183</v>
      </c>
      <c r="O259">
        <v>0</v>
      </c>
      <c r="P259">
        <v>217</v>
      </c>
      <c r="Q259">
        <v>331</v>
      </c>
      <c r="R259">
        <v>338</v>
      </c>
      <c r="S259">
        <v>231</v>
      </c>
      <c r="T259">
        <v>0</v>
      </c>
      <c r="U259">
        <v>2182</v>
      </c>
      <c r="V259">
        <v>8627.0058932699994</v>
      </c>
      <c r="AH259">
        <f t="shared" si="32"/>
        <v>114</v>
      </c>
      <c r="AI259">
        <f t="shared" si="33"/>
        <v>183</v>
      </c>
      <c r="AJ259" t="str">
        <f t="shared" si="34"/>
        <v/>
      </c>
      <c r="AK259">
        <f t="shared" si="35"/>
        <v>217</v>
      </c>
      <c r="AL259">
        <f t="shared" si="28"/>
        <v>331</v>
      </c>
      <c r="AM259">
        <f t="shared" si="29"/>
        <v>338</v>
      </c>
      <c r="AN259">
        <f t="shared" si="30"/>
        <v>231</v>
      </c>
      <c r="AO259" t="str">
        <f t="shared" si="31"/>
        <v/>
      </c>
    </row>
    <row r="260" spans="1:41">
      <c r="A260">
        <f t="shared" si="36"/>
        <v>256</v>
      </c>
      <c r="B260" t="s">
        <v>268</v>
      </c>
      <c r="C260">
        <v>5</v>
      </c>
      <c r="D260">
        <v>5</v>
      </c>
      <c r="E260" t="s">
        <v>385</v>
      </c>
      <c r="F260">
        <v>412</v>
      </c>
      <c r="G260">
        <v>1</v>
      </c>
      <c r="H260">
        <v>45</v>
      </c>
      <c r="I260" t="s">
        <v>386</v>
      </c>
      <c r="J260" t="s">
        <v>386</v>
      </c>
      <c r="K260">
        <v>1000000</v>
      </c>
      <c r="L260">
        <v>123</v>
      </c>
      <c r="M260">
        <v>123</v>
      </c>
      <c r="N260">
        <v>195</v>
      </c>
      <c r="O260">
        <v>0</v>
      </c>
      <c r="P260">
        <v>225</v>
      </c>
      <c r="Q260">
        <v>346</v>
      </c>
      <c r="R260">
        <v>356</v>
      </c>
      <c r="S260">
        <v>246</v>
      </c>
      <c r="T260">
        <v>0</v>
      </c>
      <c r="U260">
        <v>2233</v>
      </c>
      <c r="V260">
        <v>8655.5213629200007</v>
      </c>
      <c r="AH260">
        <f t="shared" si="32"/>
        <v>123</v>
      </c>
      <c r="AI260">
        <f t="shared" si="33"/>
        <v>195</v>
      </c>
      <c r="AJ260" t="str">
        <f t="shared" si="34"/>
        <v/>
      </c>
      <c r="AK260">
        <f t="shared" si="35"/>
        <v>225</v>
      </c>
      <c r="AL260">
        <f t="shared" si="28"/>
        <v>346</v>
      </c>
      <c r="AM260">
        <f t="shared" si="29"/>
        <v>356</v>
      </c>
      <c r="AN260">
        <f t="shared" si="30"/>
        <v>246</v>
      </c>
      <c r="AO260" t="str">
        <f t="shared" si="31"/>
        <v/>
      </c>
    </row>
    <row r="261" spans="1:41">
      <c r="A261">
        <f t="shared" si="36"/>
        <v>257</v>
      </c>
      <c r="B261" t="s">
        <v>268</v>
      </c>
      <c r="C261">
        <v>5</v>
      </c>
      <c r="D261">
        <v>5</v>
      </c>
      <c r="E261" t="s">
        <v>385</v>
      </c>
      <c r="F261">
        <v>412</v>
      </c>
      <c r="G261">
        <v>1</v>
      </c>
      <c r="H261">
        <v>46</v>
      </c>
      <c r="I261" t="s">
        <v>386</v>
      </c>
      <c r="J261" t="s">
        <v>386</v>
      </c>
      <c r="K261">
        <v>1000000</v>
      </c>
      <c r="L261">
        <v>133</v>
      </c>
      <c r="M261">
        <v>133</v>
      </c>
      <c r="N261">
        <v>209</v>
      </c>
      <c r="O261">
        <v>0</v>
      </c>
      <c r="P261">
        <v>241</v>
      </c>
      <c r="Q261">
        <v>373</v>
      </c>
      <c r="R261">
        <v>389</v>
      </c>
      <c r="S261">
        <v>272</v>
      </c>
      <c r="T261">
        <v>0</v>
      </c>
      <c r="U261">
        <v>2288</v>
      </c>
      <c r="V261">
        <v>8686.0519319899995</v>
      </c>
      <c r="AH261">
        <f t="shared" si="32"/>
        <v>133</v>
      </c>
      <c r="AI261">
        <f t="shared" si="33"/>
        <v>209</v>
      </c>
      <c r="AJ261" t="str">
        <f t="shared" si="34"/>
        <v/>
      </c>
      <c r="AK261">
        <f t="shared" si="35"/>
        <v>241</v>
      </c>
      <c r="AL261">
        <f t="shared" ref="AL261:AL324" si="37">IF(Q261=AC261, "", Q261-AC261)</f>
        <v>373</v>
      </c>
      <c r="AM261">
        <f t="shared" ref="AM261:AM324" si="38">IF(R261=AD261, "", R261-AD261)</f>
        <v>389</v>
      </c>
      <c r="AN261">
        <f t="shared" ref="AN261:AN324" si="39">IF(S261=AE261, "", S261-AE261)</f>
        <v>272</v>
      </c>
      <c r="AO261" t="str">
        <f t="shared" ref="AO261:AO324" si="40">IF(T261=AF261, "", T261-AF261)</f>
        <v/>
      </c>
    </row>
    <row r="262" spans="1:41">
      <c r="A262">
        <f t="shared" si="36"/>
        <v>258</v>
      </c>
      <c r="B262" t="s">
        <v>268</v>
      </c>
      <c r="C262">
        <v>5</v>
      </c>
      <c r="D262">
        <v>5</v>
      </c>
      <c r="E262" t="s">
        <v>385</v>
      </c>
      <c r="F262">
        <v>412</v>
      </c>
      <c r="G262">
        <v>1</v>
      </c>
      <c r="H262">
        <v>47</v>
      </c>
      <c r="I262" t="s">
        <v>386</v>
      </c>
      <c r="J262" t="s">
        <v>386</v>
      </c>
      <c r="K262">
        <v>1000000</v>
      </c>
      <c r="L262">
        <v>145</v>
      </c>
      <c r="M262">
        <v>145</v>
      </c>
      <c r="N262">
        <v>224</v>
      </c>
      <c r="O262">
        <v>0</v>
      </c>
      <c r="P262">
        <v>265</v>
      </c>
      <c r="Q262">
        <v>415</v>
      </c>
      <c r="R262">
        <v>438</v>
      </c>
      <c r="S262">
        <v>308</v>
      </c>
      <c r="T262">
        <v>0</v>
      </c>
      <c r="U262">
        <v>2349</v>
      </c>
      <c r="V262">
        <v>8719.7270631299998</v>
      </c>
      <c r="AH262">
        <f t="shared" ref="AH262:AH325" si="41">IF(L262=Y262, "",L262-Y262)</f>
        <v>145</v>
      </c>
      <c r="AI262">
        <f t="shared" ref="AI262:AI325" si="42">IF(N262=Z262, "", N262-Z262)</f>
        <v>224</v>
      </c>
      <c r="AJ262" t="str">
        <f t="shared" ref="AJ262:AJ325" si="43">IF(O262=AA262, "", O262-AA262)</f>
        <v/>
      </c>
      <c r="AK262">
        <f t="shared" ref="AK262:AK325" si="44">IF(P262=AB262, "", P262-AB262)</f>
        <v>265</v>
      </c>
      <c r="AL262">
        <f t="shared" si="37"/>
        <v>415</v>
      </c>
      <c r="AM262">
        <f t="shared" si="38"/>
        <v>438</v>
      </c>
      <c r="AN262">
        <f t="shared" si="39"/>
        <v>308</v>
      </c>
      <c r="AO262" t="str">
        <f t="shared" si="40"/>
        <v/>
      </c>
    </row>
    <row r="263" spans="1:41">
      <c r="A263">
        <f t="shared" ref="A263:A326" si="45">A262+1</f>
        <v>259</v>
      </c>
      <c r="B263" t="s">
        <v>268</v>
      </c>
      <c r="C263">
        <v>5</v>
      </c>
      <c r="D263">
        <v>5</v>
      </c>
      <c r="E263" t="s">
        <v>385</v>
      </c>
      <c r="F263">
        <v>412</v>
      </c>
      <c r="G263">
        <v>1</v>
      </c>
      <c r="H263">
        <v>48</v>
      </c>
      <c r="I263" t="s">
        <v>386</v>
      </c>
      <c r="J263" t="s">
        <v>386</v>
      </c>
      <c r="K263">
        <v>1000000</v>
      </c>
      <c r="L263">
        <v>158</v>
      </c>
      <c r="M263">
        <v>158</v>
      </c>
      <c r="N263">
        <v>241</v>
      </c>
      <c r="O263">
        <v>0</v>
      </c>
      <c r="P263">
        <v>300</v>
      </c>
      <c r="Q263">
        <v>476</v>
      </c>
      <c r="R263">
        <v>504</v>
      </c>
      <c r="S263">
        <v>357</v>
      </c>
      <c r="T263">
        <v>0</v>
      </c>
      <c r="U263">
        <v>2417</v>
      </c>
      <c r="V263">
        <v>8757.8134560500002</v>
      </c>
      <c r="AH263">
        <f t="shared" si="41"/>
        <v>158</v>
      </c>
      <c r="AI263">
        <f t="shared" si="42"/>
        <v>241</v>
      </c>
      <c r="AJ263" t="str">
        <f t="shared" si="43"/>
        <v/>
      </c>
      <c r="AK263">
        <f t="shared" si="44"/>
        <v>300</v>
      </c>
      <c r="AL263">
        <f t="shared" si="37"/>
        <v>476</v>
      </c>
      <c r="AM263">
        <f t="shared" si="38"/>
        <v>504</v>
      </c>
      <c r="AN263">
        <f t="shared" si="39"/>
        <v>357</v>
      </c>
      <c r="AO263" t="str">
        <f t="shared" si="40"/>
        <v/>
      </c>
    </row>
    <row r="264" spans="1:41">
      <c r="A264">
        <f t="shared" si="45"/>
        <v>260</v>
      </c>
      <c r="B264" t="s">
        <v>268</v>
      </c>
      <c r="C264">
        <v>5</v>
      </c>
      <c r="D264">
        <v>5</v>
      </c>
      <c r="E264" t="s">
        <v>385</v>
      </c>
      <c r="F264">
        <v>412</v>
      </c>
      <c r="G264">
        <v>1</v>
      </c>
      <c r="H264">
        <v>49</v>
      </c>
      <c r="I264" t="s">
        <v>386</v>
      </c>
      <c r="J264" t="s">
        <v>386</v>
      </c>
      <c r="K264">
        <v>1000000</v>
      </c>
      <c r="L264">
        <v>173</v>
      </c>
      <c r="M264">
        <v>173</v>
      </c>
      <c r="N264">
        <v>260</v>
      </c>
      <c r="O264">
        <v>0</v>
      </c>
      <c r="P264">
        <v>348</v>
      </c>
      <c r="Q264">
        <v>552</v>
      </c>
      <c r="R264">
        <v>587</v>
      </c>
      <c r="S264">
        <v>416</v>
      </c>
      <c r="T264">
        <v>0</v>
      </c>
      <c r="U264">
        <v>2496</v>
      </c>
      <c r="V264">
        <v>8801.6513190900005</v>
      </c>
      <c r="AH264">
        <f t="shared" si="41"/>
        <v>173</v>
      </c>
      <c r="AI264">
        <f t="shared" si="42"/>
        <v>260</v>
      </c>
      <c r="AJ264" t="str">
        <f t="shared" si="43"/>
        <v/>
      </c>
      <c r="AK264">
        <f t="shared" si="44"/>
        <v>348</v>
      </c>
      <c r="AL264">
        <f t="shared" si="37"/>
        <v>552</v>
      </c>
      <c r="AM264">
        <f t="shared" si="38"/>
        <v>587</v>
      </c>
      <c r="AN264">
        <f t="shared" si="39"/>
        <v>416</v>
      </c>
      <c r="AO264" t="str">
        <f t="shared" si="40"/>
        <v/>
      </c>
    </row>
    <row r="265" spans="1:41">
      <c r="A265">
        <f t="shared" si="45"/>
        <v>261</v>
      </c>
      <c r="B265" t="s">
        <v>268</v>
      </c>
      <c r="C265">
        <v>5</v>
      </c>
      <c r="D265">
        <v>5</v>
      </c>
      <c r="E265" t="s">
        <v>385</v>
      </c>
      <c r="F265">
        <v>412</v>
      </c>
      <c r="G265">
        <v>1</v>
      </c>
      <c r="H265">
        <v>50</v>
      </c>
      <c r="I265" t="s">
        <v>386</v>
      </c>
      <c r="J265" t="s">
        <v>386</v>
      </c>
      <c r="K265">
        <v>1000000</v>
      </c>
      <c r="L265">
        <v>190</v>
      </c>
      <c r="M265">
        <v>190</v>
      </c>
      <c r="N265">
        <v>283</v>
      </c>
      <c r="O265">
        <v>0</v>
      </c>
      <c r="P265">
        <v>404</v>
      </c>
      <c r="Q265">
        <v>644</v>
      </c>
      <c r="R265">
        <v>683</v>
      </c>
      <c r="S265">
        <v>483</v>
      </c>
      <c r="T265">
        <v>0</v>
      </c>
      <c r="U265">
        <v>2588</v>
      </c>
      <c r="V265">
        <v>8852.4364248999991</v>
      </c>
      <c r="AH265">
        <f t="shared" si="41"/>
        <v>190</v>
      </c>
      <c r="AI265">
        <f t="shared" si="42"/>
        <v>283</v>
      </c>
      <c r="AJ265" t="str">
        <f t="shared" si="43"/>
        <v/>
      </c>
      <c r="AK265">
        <f t="shared" si="44"/>
        <v>404</v>
      </c>
      <c r="AL265">
        <f t="shared" si="37"/>
        <v>644</v>
      </c>
      <c r="AM265">
        <f t="shared" si="38"/>
        <v>683</v>
      </c>
      <c r="AN265">
        <f t="shared" si="39"/>
        <v>483</v>
      </c>
      <c r="AO265" t="str">
        <f t="shared" si="40"/>
        <v/>
      </c>
    </row>
    <row r="266" spans="1:41">
      <c r="A266">
        <f t="shared" si="45"/>
        <v>262</v>
      </c>
      <c r="B266" t="s">
        <v>268</v>
      </c>
      <c r="C266">
        <v>5</v>
      </c>
      <c r="D266">
        <v>5</v>
      </c>
      <c r="E266" t="s">
        <v>385</v>
      </c>
      <c r="F266">
        <v>412</v>
      </c>
      <c r="G266">
        <v>1</v>
      </c>
      <c r="H266">
        <v>51</v>
      </c>
      <c r="I266" t="s">
        <v>386</v>
      </c>
      <c r="J266" t="s">
        <v>386</v>
      </c>
      <c r="K266">
        <v>1000000</v>
      </c>
      <c r="L266">
        <v>210</v>
      </c>
      <c r="M266">
        <v>210</v>
      </c>
      <c r="N266">
        <v>309</v>
      </c>
      <c r="O266">
        <v>0</v>
      </c>
      <c r="P266">
        <v>470</v>
      </c>
      <c r="Q266">
        <v>746</v>
      </c>
      <c r="R266">
        <v>789</v>
      </c>
      <c r="S266">
        <v>556</v>
      </c>
      <c r="T266">
        <v>0</v>
      </c>
      <c r="U266">
        <v>2693</v>
      </c>
      <c r="V266">
        <v>8911.1628361999992</v>
      </c>
      <c r="AH266">
        <f t="shared" si="41"/>
        <v>210</v>
      </c>
      <c r="AI266">
        <f t="shared" si="42"/>
        <v>309</v>
      </c>
      <c r="AJ266" t="str">
        <f t="shared" si="43"/>
        <v/>
      </c>
      <c r="AK266">
        <f t="shared" si="44"/>
        <v>470</v>
      </c>
      <c r="AL266">
        <f t="shared" si="37"/>
        <v>746</v>
      </c>
      <c r="AM266">
        <f t="shared" si="38"/>
        <v>789</v>
      </c>
      <c r="AN266">
        <f t="shared" si="39"/>
        <v>556</v>
      </c>
      <c r="AO266" t="str">
        <f t="shared" si="40"/>
        <v/>
      </c>
    </row>
    <row r="267" spans="1:41">
      <c r="A267">
        <f t="shared" si="45"/>
        <v>263</v>
      </c>
      <c r="B267" t="s">
        <v>268</v>
      </c>
      <c r="C267">
        <v>5</v>
      </c>
      <c r="D267">
        <v>5</v>
      </c>
      <c r="E267" t="s">
        <v>385</v>
      </c>
      <c r="F267">
        <v>412</v>
      </c>
      <c r="G267">
        <v>1</v>
      </c>
      <c r="H267">
        <v>52</v>
      </c>
      <c r="I267" t="s">
        <v>386</v>
      </c>
      <c r="J267" t="s">
        <v>386</v>
      </c>
      <c r="K267">
        <v>1000000</v>
      </c>
      <c r="L267">
        <v>232</v>
      </c>
      <c r="M267">
        <v>232</v>
      </c>
      <c r="N267">
        <v>339</v>
      </c>
      <c r="O267">
        <v>0</v>
      </c>
      <c r="P267">
        <v>541</v>
      </c>
      <c r="Q267">
        <v>856</v>
      </c>
      <c r="R267">
        <v>904</v>
      </c>
      <c r="S267">
        <v>636</v>
      </c>
      <c r="T267">
        <v>0</v>
      </c>
      <c r="U267">
        <v>2815</v>
      </c>
      <c r="V267">
        <v>8978.8245533600002</v>
      </c>
      <c r="AH267">
        <f t="shared" si="41"/>
        <v>232</v>
      </c>
      <c r="AI267">
        <f t="shared" si="42"/>
        <v>339</v>
      </c>
      <c r="AJ267" t="str">
        <f t="shared" si="43"/>
        <v/>
      </c>
      <c r="AK267">
        <f t="shared" si="44"/>
        <v>541</v>
      </c>
      <c r="AL267">
        <f t="shared" si="37"/>
        <v>856</v>
      </c>
      <c r="AM267">
        <f t="shared" si="38"/>
        <v>904</v>
      </c>
      <c r="AN267">
        <f t="shared" si="39"/>
        <v>636</v>
      </c>
      <c r="AO267" t="str">
        <f t="shared" si="40"/>
        <v/>
      </c>
    </row>
    <row r="268" spans="1:41">
      <c r="A268">
        <f t="shared" si="45"/>
        <v>264</v>
      </c>
      <c r="B268" t="s">
        <v>268</v>
      </c>
      <c r="C268">
        <v>5</v>
      </c>
      <c r="D268">
        <v>5</v>
      </c>
      <c r="E268" t="s">
        <v>385</v>
      </c>
      <c r="F268">
        <v>412</v>
      </c>
      <c r="G268">
        <v>1</v>
      </c>
      <c r="H268">
        <v>53</v>
      </c>
      <c r="I268" t="s">
        <v>386</v>
      </c>
      <c r="J268" t="s">
        <v>386</v>
      </c>
      <c r="K268">
        <v>1000000</v>
      </c>
      <c r="L268">
        <v>258</v>
      </c>
      <c r="M268">
        <v>258</v>
      </c>
      <c r="N268">
        <v>373</v>
      </c>
      <c r="O268">
        <v>0</v>
      </c>
      <c r="P268">
        <v>617</v>
      </c>
      <c r="Q268">
        <v>975</v>
      </c>
      <c r="R268">
        <v>1026</v>
      </c>
      <c r="S268">
        <v>719</v>
      </c>
      <c r="T268">
        <v>0</v>
      </c>
      <c r="U268">
        <v>2954</v>
      </c>
      <c r="V268">
        <v>9055.9212608100006</v>
      </c>
      <c r="AH268">
        <f t="shared" si="41"/>
        <v>258</v>
      </c>
      <c r="AI268">
        <f t="shared" si="42"/>
        <v>373</v>
      </c>
      <c r="AJ268" t="str">
        <f t="shared" si="43"/>
        <v/>
      </c>
      <c r="AK268">
        <f t="shared" si="44"/>
        <v>617</v>
      </c>
      <c r="AL268">
        <f t="shared" si="37"/>
        <v>975</v>
      </c>
      <c r="AM268">
        <f t="shared" si="38"/>
        <v>1026</v>
      </c>
      <c r="AN268">
        <f t="shared" si="39"/>
        <v>719</v>
      </c>
      <c r="AO268" t="str">
        <f t="shared" si="40"/>
        <v/>
      </c>
    </row>
    <row r="269" spans="1:41">
      <c r="A269">
        <f t="shared" si="45"/>
        <v>265</v>
      </c>
      <c r="B269" t="s">
        <v>268</v>
      </c>
      <c r="C269">
        <v>5</v>
      </c>
      <c r="D269">
        <v>5</v>
      </c>
      <c r="E269" t="s">
        <v>385</v>
      </c>
      <c r="F269">
        <v>412</v>
      </c>
      <c r="G269">
        <v>1</v>
      </c>
      <c r="H269">
        <v>54</v>
      </c>
      <c r="I269" t="s">
        <v>386</v>
      </c>
      <c r="J269" t="s">
        <v>386</v>
      </c>
      <c r="K269">
        <v>1000000</v>
      </c>
      <c r="L269">
        <v>288</v>
      </c>
      <c r="M269">
        <v>288</v>
      </c>
      <c r="N269">
        <v>411</v>
      </c>
      <c r="O269">
        <v>0</v>
      </c>
      <c r="P269">
        <v>696</v>
      </c>
      <c r="Q269">
        <v>1095</v>
      </c>
      <c r="R269">
        <v>1146</v>
      </c>
      <c r="S269">
        <v>795</v>
      </c>
      <c r="T269">
        <v>0</v>
      </c>
      <c r="U269">
        <v>3110</v>
      </c>
      <c r="V269">
        <v>9142.4397352300002</v>
      </c>
      <c r="AH269">
        <f t="shared" si="41"/>
        <v>288</v>
      </c>
      <c r="AI269">
        <f t="shared" si="42"/>
        <v>411</v>
      </c>
      <c r="AJ269" t="str">
        <f t="shared" si="43"/>
        <v/>
      </c>
      <c r="AK269">
        <f t="shared" si="44"/>
        <v>696</v>
      </c>
      <c r="AL269">
        <f t="shared" si="37"/>
        <v>1095</v>
      </c>
      <c r="AM269">
        <f t="shared" si="38"/>
        <v>1146</v>
      </c>
      <c r="AN269">
        <f t="shared" si="39"/>
        <v>795</v>
      </c>
      <c r="AO269" t="str">
        <f t="shared" si="40"/>
        <v/>
      </c>
    </row>
    <row r="270" spans="1:41">
      <c r="A270">
        <f t="shared" si="45"/>
        <v>266</v>
      </c>
      <c r="B270" t="s">
        <v>268</v>
      </c>
      <c r="C270">
        <v>5</v>
      </c>
      <c r="D270">
        <v>5</v>
      </c>
      <c r="E270" t="s">
        <v>385</v>
      </c>
      <c r="F270">
        <v>412</v>
      </c>
      <c r="G270">
        <v>1</v>
      </c>
      <c r="H270">
        <v>55</v>
      </c>
      <c r="I270" t="s">
        <v>386</v>
      </c>
      <c r="J270" t="s">
        <v>386</v>
      </c>
      <c r="K270">
        <v>1000000</v>
      </c>
      <c r="L270">
        <v>320</v>
      </c>
      <c r="M270">
        <v>320</v>
      </c>
      <c r="N270">
        <v>454</v>
      </c>
      <c r="O270">
        <v>0</v>
      </c>
      <c r="P270">
        <v>771</v>
      </c>
      <c r="Q270">
        <v>1203</v>
      </c>
      <c r="R270">
        <v>1247</v>
      </c>
      <c r="S270">
        <v>856</v>
      </c>
      <c r="T270">
        <v>0</v>
      </c>
      <c r="U270">
        <v>3282</v>
      </c>
      <c r="V270">
        <v>9237.6013713299999</v>
      </c>
      <c r="AH270">
        <f t="shared" si="41"/>
        <v>320</v>
      </c>
      <c r="AI270">
        <f t="shared" si="42"/>
        <v>454</v>
      </c>
      <c r="AJ270" t="str">
        <f t="shared" si="43"/>
        <v/>
      </c>
      <c r="AK270">
        <f t="shared" si="44"/>
        <v>771</v>
      </c>
      <c r="AL270">
        <f t="shared" si="37"/>
        <v>1203</v>
      </c>
      <c r="AM270">
        <f t="shared" si="38"/>
        <v>1247</v>
      </c>
      <c r="AN270">
        <f t="shared" si="39"/>
        <v>856</v>
      </c>
      <c r="AO270" t="str">
        <f t="shared" si="40"/>
        <v/>
      </c>
    </row>
    <row r="271" spans="1:41">
      <c r="A271">
        <f t="shared" si="45"/>
        <v>267</v>
      </c>
      <c r="B271" t="s">
        <v>268</v>
      </c>
      <c r="C271">
        <v>5</v>
      </c>
      <c r="D271">
        <v>5</v>
      </c>
      <c r="E271" t="s">
        <v>385</v>
      </c>
      <c r="F271">
        <v>412</v>
      </c>
      <c r="G271">
        <v>1</v>
      </c>
      <c r="H271">
        <v>56</v>
      </c>
      <c r="I271" t="s">
        <v>386</v>
      </c>
      <c r="J271" t="s">
        <v>386</v>
      </c>
      <c r="K271">
        <v>1000000</v>
      </c>
      <c r="L271">
        <v>355</v>
      </c>
      <c r="M271">
        <v>355</v>
      </c>
      <c r="N271">
        <v>499</v>
      </c>
      <c r="O271">
        <v>0</v>
      </c>
      <c r="P271">
        <v>832</v>
      </c>
      <c r="Q271">
        <v>1287</v>
      </c>
      <c r="R271">
        <v>1320</v>
      </c>
      <c r="S271">
        <v>900</v>
      </c>
      <c r="T271">
        <v>0</v>
      </c>
      <c r="U271">
        <v>3466</v>
      </c>
      <c r="V271">
        <v>9340.1217582000008</v>
      </c>
      <c r="AH271">
        <f t="shared" si="41"/>
        <v>355</v>
      </c>
      <c r="AI271">
        <f t="shared" si="42"/>
        <v>499</v>
      </c>
      <c r="AJ271" t="str">
        <f t="shared" si="43"/>
        <v/>
      </c>
      <c r="AK271">
        <f t="shared" si="44"/>
        <v>832</v>
      </c>
      <c r="AL271">
        <f t="shared" si="37"/>
        <v>1287</v>
      </c>
      <c r="AM271">
        <f t="shared" si="38"/>
        <v>1320</v>
      </c>
      <c r="AN271">
        <f t="shared" si="39"/>
        <v>900</v>
      </c>
      <c r="AO271" t="str">
        <f t="shared" si="40"/>
        <v/>
      </c>
    </row>
    <row r="272" spans="1:41">
      <c r="A272">
        <f t="shared" si="45"/>
        <v>268</v>
      </c>
      <c r="B272" t="s">
        <v>268</v>
      </c>
      <c r="C272">
        <v>5</v>
      </c>
      <c r="D272">
        <v>5</v>
      </c>
      <c r="E272" t="s">
        <v>385</v>
      </c>
      <c r="F272">
        <v>412</v>
      </c>
      <c r="G272">
        <v>1</v>
      </c>
      <c r="H272">
        <v>57</v>
      </c>
      <c r="I272" t="s">
        <v>386</v>
      </c>
      <c r="J272" t="s">
        <v>386</v>
      </c>
      <c r="K272">
        <v>1000000</v>
      </c>
      <c r="L272">
        <v>391</v>
      </c>
      <c r="M272">
        <v>391</v>
      </c>
      <c r="N272">
        <v>548</v>
      </c>
      <c r="O272">
        <v>0</v>
      </c>
      <c r="P272">
        <v>877</v>
      </c>
      <c r="Q272">
        <v>1345</v>
      </c>
      <c r="R272">
        <v>1372</v>
      </c>
      <c r="S272">
        <v>935</v>
      </c>
      <c r="T272">
        <v>0</v>
      </c>
      <c r="U272">
        <v>3662</v>
      </c>
      <c r="V272">
        <v>9448.6533206500008</v>
      </c>
      <c r="AH272">
        <f t="shared" si="41"/>
        <v>391</v>
      </c>
      <c r="AI272">
        <f t="shared" si="42"/>
        <v>548</v>
      </c>
      <c r="AJ272" t="str">
        <f t="shared" si="43"/>
        <v/>
      </c>
      <c r="AK272">
        <f t="shared" si="44"/>
        <v>877</v>
      </c>
      <c r="AL272">
        <f t="shared" si="37"/>
        <v>1345</v>
      </c>
      <c r="AM272">
        <f t="shared" si="38"/>
        <v>1372</v>
      </c>
      <c r="AN272">
        <f t="shared" si="39"/>
        <v>935</v>
      </c>
      <c r="AO272" t="str">
        <f t="shared" si="40"/>
        <v/>
      </c>
    </row>
    <row r="273" spans="1:41">
      <c r="A273">
        <f t="shared" si="45"/>
        <v>269</v>
      </c>
      <c r="B273" t="s">
        <v>268</v>
      </c>
      <c r="C273">
        <v>5</v>
      </c>
      <c r="D273">
        <v>5</v>
      </c>
      <c r="E273" t="s">
        <v>385</v>
      </c>
      <c r="F273">
        <v>412</v>
      </c>
      <c r="G273">
        <v>1</v>
      </c>
      <c r="H273">
        <v>58</v>
      </c>
      <c r="I273" t="s">
        <v>386</v>
      </c>
      <c r="J273" t="s">
        <v>386</v>
      </c>
      <c r="K273">
        <v>1000000</v>
      </c>
      <c r="L273">
        <v>430</v>
      </c>
      <c r="M273">
        <v>430</v>
      </c>
      <c r="N273">
        <v>598</v>
      </c>
      <c r="O273">
        <v>0</v>
      </c>
      <c r="P273">
        <v>910</v>
      </c>
      <c r="Q273">
        <v>1394</v>
      </c>
      <c r="R273">
        <v>1425</v>
      </c>
      <c r="S273">
        <v>975</v>
      </c>
      <c r="T273">
        <v>0</v>
      </c>
      <c r="U273">
        <v>3867</v>
      </c>
      <c r="V273">
        <v>9562.3804124300004</v>
      </c>
      <c r="AH273">
        <f t="shared" si="41"/>
        <v>430</v>
      </c>
      <c r="AI273">
        <f t="shared" si="42"/>
        <v>598</v>
      </c>
      <c r="AJ273" t="str">
        <f t="shared" si="43"/>
        <v/>
      </c>
      <c r="AK273">
        <f t="shared" si="44"/>
        <v>910</v>
      </c>
      <c r="AL273">
        <f t="shared" si="37"/>
        <v>1394</v>
      </c>
      <c r="AM273">
        <f t="shared" si="38"/>
        <v>1425</v>
      </c>
      <c r="AN273">
        <f t="shared" si="39"/>
        <v>975</v>
      </c>
      <c r="AO273" t="str">
        <f t="shared" si="40"/>
        <v/>
      </c>
    </row>
    <row r="274" spans="1:41">
      <c r="A274">
        <f t="shared" si="45"/>
        <v>270</v>
      </c>
      <c r="B274" t="s">
        <v>268</v>
      </c>
      <c r="C274">
        <v>5</v>
      </c>
      <c r="D274">
        <v>5</v>
      </c>
      <c r="E274" t="s">
        <v>385</v>
      </c>
      <c r="F274">
        <v>412</v>
      </c>
      <c r="G274">
        <v>1</v>
      </c>
      <c r="H274">
        <v>59</v>
      </c>
      <c r="I274" t="s">
        <v>386</v>
      </c>
      <c r="J274" t="s">
        <v>386</v>
      </c>
      <c r="K274">
        <v>1000000</v>
      </c>
      <c r="L274">
        <v>470</v>
      </c>
      <c r="M274">
        <v>470</v>
      </c>
      <c r="N274">
        <v>652</v>
      </c>
      <c r="O274">
        <v>0</v>
      </c>
      <c r="P274">
        <v>947</v>
      </c>
      <c r="Q274">
        <v>1456</v>
      </c>
      <c r="R274">
        <v>1498</v>
      </c>
      <c r="S274">
        <v>1031</v>
      </c>
      <c r="T274">
        <v>0</v>
      </c>
      <c r="U274">
        <v>4081</v>
      </c>
      <c r="V274">
        <v>9681.5469948000009</v>
      </c>
      <c r="AH274">
        <f t="shared" si="41"/>
        <v>470</v>
      </c>
      <c r="AI274">
        <f t="shared" si="42"/>
        <v>652</v>
      </c>
      <c r="AJ274" t="str">
        <f t="shared" si="43"/>
        <v/>
      </c>
      <c r="AK274">
        <f t="shared" si="44"/>
        <v>947</v>
      </c>
      <c r="AL274">
        <f t="shared" si="37"/>
        <v>1456</v>
      </c>
      <c r="AM274">
        <f t="shared" si="38"/>
        <v>1498</v>
      </c>
      <c r="AN274">
        <f t="shared" si="39"/>
        <v>1031</v>
      </c>
      <c r="AO274" t="str">
        <f t="shared" si="40"/>
        <v/>
      </c>
    </row>
    <row r="275" spans="1:41">
      <c r="A275">
        <f t="shared" si="45"/>
        <v>271</v>
      </c>
      <c r="B275" t="s">
        <v>268</v>
      </c>
      <c r="C275">
        <v>5</v>
      </c>
      <c r="D275">
        <v>5</v>
      </c>
      <c r="E275" t="s">
        <v>385</v>
      </c>
      <c r="F275">
        <v>412</v>
      </c>
      <c r="G275">
        <v>1</v>
      </c>
      <c r="H275">
        <v>60</v>
      </c>
      <c r="I275" t="s">
        <v>386</v>
      </c>
      <c r="J275" t="s">
        <v>386</v>
      </c>
      <c r="K275">
        <v>1000000</v>
      </c>
      <c r="L275">
        <v>513</v>
      </c>
      <c r="M275">
        <v>513</v>
      </c>
      <c r="N275">
        <v>708</v>
      </c>
      <c r="O275">
        <v>0</v>
      </c>
      <c r="P275">
        <v>998</v>
      </c>
      <c r="Q275">
        <v>1543</v>
      </c>
      <c r="R275">
        <v>1595</v>
      </c>
      <c r="S275">
        <v>1100</v>
      </c>
      <c r="T275">
        <v>0</v>
      </c>
      <c r="U275">
        <v>4308</v>
      </c>
      <c r="V275">
        <v>9807.0533840299995</v>
      </c>
      <c r="AH275">
        <f t="shared" si="41"/>
        <v>513</v>
      </c>
      <c r="AI275">
        <f t="shared" si="42"/>
        <v>708</v>
      </c>
      <c r="AJ275" t="str">
        <f t="shared" si="43"/>
        <v/>
      </c>
      <c r="AK275">
        <f t="shared" si="44"/>
        <v>998</v>
      </c>
      <c r="AL275">
        <f t="shared" si="37"/>
        <v>1543</v>
      </c>
      <c r="AM275">
        <f t="shared" si="38"/>
        <v>1595</v>
      </c>
      <c r="AN275">
        <f t="shared" si="39"/>
        <v>1100</v>
      </c>
      <c r="AO275" t="str">
        <f t="shared" si="40"/>
        <v/>
      </c>
    </row>
    <row r="276" spans="1:41">
      <c r="A276">
        <f t="shared" si="45"/>
        <v>272</v>
      </c>
      <c r="B276" t="s">
        <v>268</v>
      </c>
      <c r="C276">
        <v>5</v>
      </c>
      <c r="D276">
        <v>5</v>
      </c>
      <c r="E276" t="s">
        <v>385</v>
      </c>
      <c r="F276">
        <v>412</v>
      </c>
      <c r="G276">
        <v>1</v>
      </c>
      <c r="H276">
        <v>61</v>
      </c>
      <c r="I276" t="s">
        <v>386</v>
      </c>
      <c r="J276" t="s">
        <v>386</v>
      </c>
      <c r="K276">
        <v>1000000</v>
      </c>
      <c r="L276">
        <v>558</v>
      </c>
      <c r="M276">
        <v>558</v>
      </c>
      <c r="N276">
        <v>767</v>
      </c>
      <c r="O276">
        <v>0</v>
      </c>
      <c r="P276">
        <v>1062</v>
      </c>
      <c r="Q276">
        <v>1647</v>
      </c>
      <c r="R276">
        <v>1702</v>
      </c>
      <c r="S276">
        <v>1170</v>
      </c>
      <c r="T276">
        <v>0</v>
      </c>
      <c r="U276">
        <v>4547</v>
      </c>
      <c r="V276">
        <v>9939.8332267099995</v>
      </c>
      <c r="AH276">
        <f t="shared" si="41"/>
        <v>558</v>
      </c>
      <c r="AI276">
        <f t="shared" si="42"/>
        <v>767</v>
      </c>
      <c r="AJ276" t="str">
        <f t="shared" si="43"/>
        <v/>
      </c>
      <c r="AK276">
        <f t="shared" si="44"/>
        <v>1062</v>
      </c>
      <c r="AL276">
        <f t="shared" si="37"/>
        <v>1647</v>
      </c>
      <c r="AM276">
        <f t="shared" si="38"/>
        <v>1702</v>
      </c>
      <c r="AN276">
        <f t="shared" si="39"/>
        <v>1170</v>
      </c>
      <c r="AO276" t="str">
        <f t="shared" si="40"/>
        <v/>
      </c>
    </row>
    <row r="277" spans="1:41">
      <c r="A277">
        <f t="shared" si="45"/>
        <v>273</v>
      </c>
      <c r="B277" t="s">
        <v>268</v>
      </c>
      <c r="C277">
        <v>5</v>
      </c>
      <c r="D277">
        <v>5</v>
      </c>
      <c r="E277" t="s">
        <v>385</v>
      </c>
      <c r="F277">
        <v>412</v>
      </c>
      <c r="G277">
        <v>1</v>
      </c>
      <c r="H277">
        <v>62</v>
      </c>
      <c r="I277" t="s">
        <v>386</v>
      </c>
      <c r="J277" t="s">
        <v>386</v>
      </c>
      <c r="K277">
        <v>1000000</v>
      </c>
      <c r="L277">
        <v>605</v>
      </c>
      <c r="M277">
        <v>605</v>
      </c>
      <c r="N277">
        <v>829</v>
      </c>
      <c r="O277">
        <v>0</v>
      </c>
      <c r="P277">
        <v>1131</v>
      </c>
      <c r="Q277">
        <v>1748</v>
      </c>
      <c r="R277">
        <v>1796</v>
      </c>
      <c r="S277">
        <v>1227</v>
      </c>
      <c r="T277">
        <v>0</v>
      </c>
      <c r="U277">
        <v>4800</v>
      </c>
      <c r="V277">
        <v>10080.081035499999</v>
      </c>
      <c r="AH277">
        <f t="shared" si="41"/>
        <v>605</v>
      </c>
      <c r="AI277">
        <f t="shared" si="42"/>
        <v>829</v>
      </c>
      <c r="AJ277" t="str">
        <f t="shared" si="43"/>
        <v/>
      </c>
      <c r="AK277">
        <f t="shared" si="44"/>
        <v>1131</v>
      </c>
      <c r="AL277">
        <f t="shared" si="37"/>
        <v>1748</v>
      </c>
      <c r="AM277">
        <f t="shared" si="38"/>
        <v>1796</v>
      </c>
      <c r="AN277">
        <f t="shared" si="39"/>
        <v>1227</v>
      </c>
      <c r="AO277" t="str">
        <f t="shared" si="40"/>
        <v/>
      </c>
    </row>
    <row r="278" spans="1:41">
      <c r="A278">
        <f t="shared" si="45"/>
        <v>274</v>
      </c>
      <c r="B278" t="s">
        <v>268</v>
      </c>
      <c r="C278">
        <v>5</v>
      </c>
      <c r="D278">
        <v>5</v>
      </c>
      <c r="E278" t="s">
        <v>385</v>
      </c>
      <c r="F278">
        <v>412</v>
      </c>
      <c r="G278">
        <v>1</v>
      </c>
      <c r="H278">
        <v>63</v>
      </c>
      <c r="I278" t="s">
        <v>386</v>
      </c>
      <c r="J278" t="s">
        <v>386</v>
      </c>
      <c r="K278">
        <v>1000000</v>
      </c>
      <c r="L278">
        <v>655</v>
      </c>
      <c r="M278">
        <v>655</v>
      </c>
      <c r="N278">
        <v>895</v>
      </c>
      <c r="O278">
        <v>0</v>
      </c>
      <c r="P278">
        <v>1188</v>
      </c>
      <c r="Q278">
        <v>1826</v>
      </c>
      <c r="R278">
        <v>1865</v>
      </c>
      <c r="S278">
        <v>1268</v>
      </c>
      <c r="T278">
        <v>0</v>
      </c>
      <c r="U278">
        <v>5066</v>
      </c>
      <c r="V278">
        <v>10227.13886646</v>
      </c>
      <c r="AH278">
        <f t="shared" si="41"/>
        <v>655</v>
      </c>
      <c r="AI278">
        <f t="shared" si="42"/>
        <v>895</v>
      </c>
      <c r="AJ278" t="str">
        <f t="shared" si="43"/>
        <v/>
      </c>
      <c r="AK278">
        <f t="shared" si="44"/>
        <v>1188</v>
      </c>
      <c r="AL278">
        <f t="shared" si="37"/>
        <v>1826</v>
      </c>
      <c r="AM278">
        <f t="shared" si="38"/>
        <v>1865</v>
      </c>
      <c r="AN278">
        <f t="shared" si="39"/>
        <v>1268</v>
      </c>
      <c r="AO278" t="str">
        <f t="shared" si="40"/>
        <v/>
      </c>
    </row>
    <row r="279" spans="1:41">
      <c r="A279">
        <f t="shared" si="45"/>
        <v>275</v>
      </c>
      <c r="B279" t="s">
        <v>268</v>
      </c>
      <c r="C279">
        <v>5</v>
      </c>
      <c r="D279">
        <v>5</v>
      </c>
      <c r="E279" t="s">
        <v>385</v>
      </c>
      <c r="F279">
        <v>412</v>
      </c>
      <c r="G279">
        <v>1</v>
      </c>
      <c r="H279">
        <v>64</v>
      </c>
      <c r="I279" t="s">
        <v>386</v>
      </c>
      <c r="J279" t="s">
        <v>386</v>
      </c>
      <c r="K279">
        <v>1000000</v>
      </c>
      <c r="L279">
        <v>707</v>
      </c>
      <c r="M279">
        <v>707</v>
      </c>
      <c r="N279">
        <v>963</v>
      </c>
      <c r="O279">
        <v>0</v>
      </c>
      <c r="P279">
        <v>1228</v>
      </c>
      <c r="Q279">
        <v>1878</v>
      </c>
      <c r="R279">
        <v>1911</v>
      </c>
      <c r="S279">
        <v>1295</v>
      </c>
      <c r="T279">
        <v>0</v>
      </c>
      <c r="U279">
        <v>5341</v>
      </c>
      <c r="V279">
        <v>10379.48875088</v>
      </c>
      <c r="AH279">
        <f t="shared" si="41"/>
        <v>707</v>
      </c>
      <c r="AI279">
        <f t="shared" si="42"/>
        <v>963</v>
      </c>
      <c r="AJ279" t="str">
        <f t="shared" si="43"/>
        <v/>
      </c>
      <c r="AK279">
        <f t="shared" si="44"/>
        <v>1228</v>
      </c>
      <c r="AL279">
        <f t="shared" si="37"/>
        <v>1878</v>
      </c>
      <c r="AM279">
        <f t="shared" si="38"/>
        <v>1911</v>
      </c>
      <c r="AN279">
        <f t="shared" si="39"/>
        <v>1295</v>
      </c>
      <c r="AO279" t="str">
        <f t="shared" si="40"/>
        <v/>
      </c>
    </row>
    <row r="280" spans="1:41">
      <c r="A280">
        <f t="shared" si="45"/>
        <v>276</v>
      </c>
      <c r="B280" t="s">
        <v>268</v>
      </c>
      <c r="C280">
        <v>5</v>
      </c>
      <c r="D280">
        <v>5</v>
      </c>
      <c r="E280" t="s">
        <v>385</v>
      </c>
      <c r="F280">
        <v>412</v>
      </c>
      <c r="G280">
        <v>1</v>
      </c>
      <c r="H280">
        <v>65</v>
      </c>
      <c r="I280" t="s">
        <v>386</v>
      </c>
      <c r="J280" t="s">
        <v>386</v>
      </c>
      <c r="K280">
        <v>1000000</v>
      </c>
      <c r="L280">
        <v>760</v>
      </c>
      <c r="M280">
        <v>760</v>
      </c>
      <c r="N280">
        <v>1033</v>
      </c>
      <c r="O280">
        <v>0</v>
      </c>
      <c r="P280">
        <v>1254</v>
      </c>
      <c r="Q280">
        <v>1912</v>
      </c>
      <c r="R280">
        <v>1942</v>
      </c>
      <c r="S280">
        <v>1316</v>
      </c>
      <c r="T280">
        <v>0</v>
      </c>
      <c r="U280">
        <v>5622</v>
      </c>
      <c r="V280">
        <v>10535.616968140001</v>
      </c>
      <c r="AH280">
        <f t="shared" si="41"/>
        <v>760</v>
      </c>
      <c r="AI280">
        <f t="shared" si="42"/>
        <v>1033</v>
      </c>
      <c r="AJ280" t="str">
        <f t="shared" si="43"/>
        <v/>
      </c>
      <c r="AK280">
        <f t="shared" si="44"/>
        <v>1254</v>
      </c>
      <c r="AL280">
        <f t="shared" si="37"/>
        <v>1912</v>
      </c>
      <c r="AM280">
        <f t="shared" si="38"/>
        <v>1942</v>
      </c>
      <c r="AN280">
        <f t="shared" si="39"/>
        <v>1316</v>
      </c>
      <c r="AO280" t="str">
        <f t="shared" si="40"/>
        <v/>
      </c>
    </row>
    <row r="281" spans="1:41">
      <c r="A281">
        <f t="shared" si="45"/>
        <v>277</v>
      </c>
      <c r="B281" t="s">
        <v>268</v>
      </c>
      <c r="C281">
        <v>5</v>
      </c>
      <c r="D281">
        <v>5</v>
      </c>
      <c r="E281" t="s">
        <v>385</v>
      </c>
      <c r="F281">
        <v>412</v>
      </c>
      <c r="G281">
        <v>1</v>
      </c>
      <c r="H281">
        <v>66</v>
      </c>
      <c r="I281" t="s">
        <v>386</v>
      </c>
      <c r="J281" t="s">
        <v>386</v>
      </c>
      <c r="K281">
        <v>1000000</v>
      </c>
      <c r="L281">
        <v>814</v>
      </c>
      <c r="M281">
        <v>814</v>
      </c>
      <c r="N281">
        <v>1105</v>
      </c>
      <c r="O281">
        <v>0</v>
      </c>
      <c r="P281">
        <v>1273</v>
      </c>
      <c r="Q281">
        <v>1940</v>
      </c>
      <c r="R281">
        <v>1972</v>
      </c>
      <c r="S281">
        <v>1339</v>
      </c>
      <c r="T281">
        <v>0</v>
      </c>
      <c r="U281">
        <v>5910</v>
      </c>
      <c r="V281">
        <v>10694.667395009999</v>
      </c>
      <c r="AH281">
        <f t="shared" si="41"/>
        <v>814</v>
      </c>
      <c r="AI281">
        <f t="shared" si="42"/>
        <v>1105</v>
      </c>
      <c r="AJ281" t="str">
        <f t="shared" si="43"/>
        <v/>
      </c>
      <c r="AK281">
        <f t="shared" si="44"/>
        <v>1273</v>
      </c>
      <c r="AL281">
        <f t="shared" si="37"/>
        <v>1940</v>
      </c>
      <c r="AM281">
        <f t="shared" si="38"/>
        <v>1972</v>
      </c>
      <c r="AN281">
        <f t="shared" si="39"/>
        <v>1339</v>
      </c>
      <c r="AO281" t="str">
        <f t="shared" si="40"/>
        <v/>
      </c>
    </row>
    <row r="282" spans="1:41">
      <c r="A282">
        <f t="shared" si="45"/>
        <v>278</v>
      </c>
      <c r="B282" t="s">
        <v>268</v>
      </c>
      <c r="C282">
        <v>5</v>
      </c>
      <c r="D282">
        <v>5</v>
      </c>
      <c r="E282" t="s">
        <v>385</v>
      </c>
      <c r="F282">
        <v>412</v>
      </c>
      <c r="G282">
        <v>1</v>
      </c>
      <c r="H282">
        <v>67</v>
      </c>
      <c r="I282" t="s">
        <v>386</v>
      </c>
      <c r="J282" t="s">
        <v>386</v>
      </c>
      <c r="K282">
        <v>1000000</v>
      </c>
      <c r="L282">
        <v>869</v>
      </c>
      <c r="M282">
        <v>869</v>
      </c>
      <c r="N282">
        <v>1178</v>
      </c>
      <c r="O282">
        <v>0</v>
      </c>
      <c r="P282">
        <v>1295</v>
      </c>
      <c r="Q282">
        <v>1976</v>
      </c>
      <c r="R282">
        <v>2015</v>
      </c>
      <c r="S282">
        <v>1374</v>
      </c>
      <c r="T282">
        <v>0</v>
      </c>
      <c r="U282">
        <v>6203</v>
      </c>
      <c r="V282">
        <v>10856.9557477</v>
      </c>
      <c r="AH282">
        <f t="shared" si="41"/>
        <v>869</v>
      </c>
      <c r="AI282">
        <f t="shared" si="42"/>
        <v>1178</v>
      </c>
      <c r="AJ282" t="str">
        <f t="shared" si="43"/>
        <v/>
      </c>
      <c r="AK282">
        <f t="shared" si="44"/>
        <v>1295</v>
      </c>
      <c r="AL282">
        <f t="shared" si="37"/>
        <v>1976</v>
      </c>
      <c r="AM282">
        <f t="shared" si="38"/>
        <v>2015</v>
      </c>
      <c r="AN282">
        <f t="shared" si="39"/>
        <v>1374</v>
      </c>
      <c r="AO282" t="str">
        <f t="shared" si="40"/>
        <v/>
      </c>
    </row>
    <row r="283" spans="1:41">
      <c r="A283">
        <f t="shared" si="45"/>
        <v>279</v>
      </c>
      <c r="B283" t="s">
        <v>268</v>
      </c>
      <c r="C283">
        <v>5</v>
      </c>
      <c r="D283">
        <v>5</v>
      </c>
      <c r="E283" t="s">
        <v>385</v>
      </c>
      <c r="F283">
        <v>412</v>
      </c>
      <c r="G283">
        <v>1</v>
      </c>
      <c r="H283">
        <v>68</v>
      </c>
      <c r="I283" t="s">
        <v>386</v>
      </c>
      <c r="J283" t="s">
        <v>386</v>
      </c>
      <c r="K283">
        <v>1000000</v>
      </c>
      <c r="L283">
        <v>926</v>
      </c>
      <c r="M283">
        <v>926</v>
      </c>
      <c r="N283">
        <v>1253</v>
      </c>
      <c r="O283">
        <v>0</v>
      </c>
      <c r="P283">
        <v>1327</v>
      </c>
      <c r="Q283">
        <v>2035</v>
      </c>
      <c r="R283">
        <v>2087</v>
      </c>
      <c r="S283">
        <v>1432</v>
      </c>
      <c r="T283">
        <v>0</v>
      </c>
      <c r="U283">
        <v>6504</v>
      </c>
      <c r="V283">
        <v>11023.9206101</v>
      </c>
      <c r="AH283">
        <f t="shared" si="41"/>
        <v>926</v>
      </c>
      <c r="AI283">
        <f t="shared" si="42"/>
        <v>1253</v>
      </c>
      <c r="AJ283" t="str">
        <f t="shared" si="43"/>
        <v/>
      </c>
      <c r="AK283">
        <f t="shared" si="44"/>
        <v>1327</v>
      </c>
      <c r="AL283">
        <f t="shared" si="37"/>
        <v>2035</v>
      </c>
      <c r="AM283">
        <f t="shared" si="38"/>
        <v>2087</v>
      </c>
      <c r="AN283">
        <f t="shared" si="39"/>
        <v>1432</v>
      </c>
      <c r="AO283" t="str">
        <f t="shared" si="40"/>
        <v/>
      </c>
    </row>
    <row r="284" spans="1:41">
      <c r="A284">
        <f t="shared" si="45"/>
        <v>280</v>
      </c>
      <c r="B284" t="s">
        <v>268</v>
      </c>
      <c r="C284">
        <v>5</v>
      </c>
      <c r="D284">
        <v>5</v>
      </c>
      <c r="E284" t="s">
        <v>385</v>
      </c>
      <c r="F284">
        <v>412</v>
      </c>
      <c r="G284">
        <v>1</v>
      </c>
      <c r="H284">
        <v>69</v>
      </c>
      <c r="I284" t="s">
        <v>386</v>
      </c>
      <c r="J284" t="s">
        <v>386</v>
      </c>
      <c r="K284">
        <v>1000000</v>
      </c>
      <c r="L284">
        <v>985</v>
      </c>
      <c r="M284">
        <v>985</v>
      </c>
      <c r="N284">
        <v>1331</v>
      </c>
      <c r="O284">
        <v>0</v>
      </c>
      <c r="P284">
        <v>1379</v>
      </c>
      <c r="Q284">
        <v>2127</v>
      </c>
      <c r="R284">
        <v>2194</v>
      </c>
      <c r="S284">
        <v>1512</v>
      </c>
      <c r="T284">
        <v>0</v>
      </c>
      <c r="U284">
        <v>6818</v>
      </c>
      <c r="V284">
        <v>11197.531503</v>
      </c>
      <c r="AH284">
        <f t="shared" si="41"/>
        <v>985</v>
      </c>
      <c r="AI284">
        <f t="shared" si="42"/>
        <v>1331</v>
      </c>
      <c r="AJ284" t="str">
        <f t="shared" si="43"/>
        <v/>
      </c>
      <c r="AK284">
        <f t="shared" si="44"/>
        <v>1379</v>
      </c>
      <c r="AL284">
        <f t="shared" si="37"/>
        <v>2127</v>
      </c>
      <c r="AM284">
        <f t="shared" si="38"/>
        <v>2194</v>
      </c>
      <c r="AN284">
        <f t="shared" si="39"/>
        <v>1512</v>
      </c>
      <c r="AO284" t="str">
        <f t="shared" si="40"/>
        <v/>
      </c>
    </row>
    <row r="285" spans="1:41">
      <c r="A285">
        <f t="shared" si="45"/>
        <v>281</v>
      </c>
      <c r="B285" t="s">
        <v>268</v>
      </c>
      <c r="C285">
        <v>5</v>
      </c>
      <c r="D285">
        <v>5</v>
      </c>
      <c r="E285" t="s">
        <v>385</v>
      </c>
      <c r="F285">
        <v>412</v>
      </c>
      <c r="G285">
        <v>1</v>
      </c>
      <c r="H285">
        <v>70</v>
      </c>
      <c r="I285" t="s">
        <v>386</v>
      </c>
      <c r="J285" t="s">
        <v>386</v>
      </c>
      <c r="K285">
        <v>1000000</v>
      </c>
      <c r="L285">
        <v>1047</v>
      </c>
      <c r="M285">
        <v>1047</v>
      </c>
      <c r="N285">
        <v>1412</v>
      </c>
      <c r="O285">
        <v>0</v>
      </c>
      <c r="P285">
        <v>1449</v>
      </c>
      <c r="Q285">
        <v>2243</v>
      </c>
      <c r="R285">
        <v>2315</v>
      </c>
      <c r="S285">
        <v>1588</v>
      </c>
      <c r="T285">
        <v>0</v>
      </c>
      <c r="U285">
        <v>7145</v>
      </c>
      <c r="V285">
        <v>11378.82008016</v>
      </c>
      <c r="AH285">
        <f t="shared" si="41"/>
        <v>1047</v>
      </c>
      <c r="AI285">
        <f t="shared" si="42"/>
        <v>1412</v>
      </c>
      <c r="AJ285" t="str">
        <f t="shared" si="43"/>
        <v/>
      </c>
      <c r="AK285">
        <f t="shared" si="44"/>
        <v>1449</v>
      </c>
      <c r="AL285">
        <f t="shared" si="37"/>
        <v>2243</v>
      </c>
      <c r="AM285">
        <f t="shared" si="38"/>
        <v>2315</v>
      </c>
      <c r="AN285">
        <f t="shared" si="39"/>
        <v>1588</v>
      </c>
      <c r="AO285" t="str">
        <f t="shared" si="40"/>
        <v/>
      </c>
    </row>
    <row r="286" spans="1:41">
      <c r="A286">
        <f t="shared" si="45"/>
        <v>282</v>
      </c>
      <c r="B286" t="s">
        <v>268</v>
      </c>
      <c r="C286">
        <v>5</v>
      </c>
      <c r="D286">
        <v>5</v>
      </c>
      <c r="E286" t="s">
        <v>385</v>
      </c>
      <c r="F286">
        <v>412</v>
      </c>
      <c r="G286">
        <v>1</v>
      </c>
      <c r="H286">
        <v>71</v>
      </c>
      <c r="I286" t="s">
        <v>386</v>
      </c>
      <c r="J286" t="s">
        <v>386</v>
      </c>
      <c r="K286">
        <v>1000000</v>
      </c>
      <c r="L286">
        <v>1111</v>
      </c>
      <c r="M286">
        <v>1111</v>
      </c>
      <c r="N286">
        <v>1496</v>
      </c>
      <c r="O286">
        <v>0</v>
      </c>
      <c r="P286">
        <v>1516</v>
      </c>
      <c r="Q286">
        <v>2338</v>
      </c>
      <c r="R286">
        <v>2389</v>
      </c>
      <c r="S286">
        <v>1611</v>
      </c>
      <c r="T286">
        <v>0</v>
      </c>
      <c r="U286">
        <v>7484</v>
      </c>
      <c r="V286">
        <v>11565.92990193</v>
      </c>
      <c r="AH286">
        <f t="shared" si="41"/>
        <v>1111</v>
      </c>
      <c r="AI286">
        <f t="shared" si="42"/>
        <v>1496</v>
      </c>
      <c r="AJ286" t="str">
        <f t="shared" si="43"/>
        <v/>
      </c>
      <c r="AK286">
        <f t="shared" si="44"/>
        <v>1516</v>
      </c>
      <c r="AL286">
        <f t="shared" si="37"/>
        <v>2338</v>
      </c>
      <c r="AM286">
        <f t="shared" si="38"/>
        <v>2389</v>
      </c>
      <c r="AN286">
        <f t="shared" si="39"/>
        <v>1611</v>
      </c>
      <c r="AO286" t="str">
        <f t="shared" si="40"/>
        <v/>
      </c>
    </row>
    <row r="287" spans="1:41">
      <c r="A287">
        <f t="shared" si="45"/>
        <v>283</v>
      </c>
      <c r="B287" t="s">
        <v>268</v>
      </c>
      <c r="C287">
        <v>5</v>
      </c>
      <c r="D287">
        <v>5</v>
      </c>
      <c r="E287" t="s">
        <v>385</v>
      </c>
      <c r="F287">
        <v>412</v>
      </c>
      <c r="G287">
        <v>1</v>
      </c>
      <c r="H287">
        <v>72</v>
      </c>
      <c r="I287" t="s">
        <v>386</v>
      </c>
      <c r="J287" t="s">
        <v>386</v>
      </c>
      <c r="K287">
        <v>1000000</v>
      </c>
      <c r="L287">
        <v>1175</v>
      </c>
      <c r="M287">
        <v>1175</v>
      </c>
      <c r="N287">
        <v>1581</v>
      </c>
      <c r="O287">
        <v>0</v>
      </c>
      <c r="P287">
        <v>1539</v>
      </c>
      <c r="Q287">
        <v>2334</v>
      </c>
      <c r="R287">
        <v>2330</v>
      </c>
      <c r="S287">
        <v>1524</v>
      </c>
      <c r="T287">
        <v>0</v>
      </c>
      <c r="U287">
        <v>7821</v>
      </c>
      <c r="V287">
        <v>11752.5103571</v>
      </c>
      <c r="AH287">
        <f t="shared" si="41"/>
        <v>1175</v>
      </c>
      <c r="AI287">
        <f t="shared" si="42"/>
        <v>1581</v>
      </c>
      <c r="AJ287" t="str">
        <f t="shared" si="43"/>
        <v/>
      </c>
      <c r="AK287">
        <f t="shared" si="44"/>
        <v>1539</v>
      </c>
      <c r="AL287">
        <f t="shared" si="37"/>
        <v>2334</v>
      </c>
      <c r="AM287">
        <f t="shared" si="38"/>
        <v>2330</v>
      </c>
      <c r="AN287">
        <f t="shared" si="39"/>
        <v>1524</v>
      </c>
      <c r="AO287" t="str">
        <f t="shared" si="40"/>
        <v/>
      </c>
    </row>
    <row r="288" spans="1:41">
      <c r="A288">
        <f t="shared" si="45"/>
        <v>284</v>
      </c>
      <c r="B288" t="s">
        <v>268</v>
      </c>
      <c r="C288">
        <v>5</v>
      </c>
      <c r="D288">
        <v>5</v>
      </c>
      <c r="E288" t="s">
        <v>385</v>
      </c>
      <c r="F288">
        <v>412</v>
      </c>
      <c r="G288">
        <v>1</v>
      </c>
      <c r="H288">
        <v>73</v>
      </c>
      <c r="I288" t="s">
        <v>386</v>
      </c>
      <c r="J288" t="s">
        <v>386</v>
      </c>
      <c r="K288">
        <v>1000000</v>
      </c>
      <c r="L288">
        <v>1234</v>
      </c>
      <c r="M288">
        <v>1234</v>
      </c>
      <c r="N288">
        <v>1660</v>
      </c>
      <c r="O288">
        <v>0</v>
      </c>
      <c r="P288">
        <v>1463</v>
      </c>
      <c r="Q288">
        <v>2153</v>
      </c>
      <c r="R288">
        <v>2069</v>
      </c>
      <c r="S288">
        <v>1297</v>
      </c>
      <c r="T288">
        <v>0</v>
      </c>
      <c r="U288">
        <v>8138</v>
      </c>
      <c r="V288">
        <v>11927.652116679999</v>
      </c>
      <c r="AH288">
        <f t="shared" si="41"/>
        <v>1234</v>
      </c>
      <c r="AI288">
        <f t="shared" si="42"/>
        <v>1660</v>
      </c>
      <c r="AJ288" t="str">
        <f t="shared" si="43"/>
        <v/>
      </c>
      <c r="AK288">
        <f t="shared" si="44"/>
        <v>1463</v>
      </c>
      <c r="AL288">
        <f t="shared" si="37"/>
        <v>2153</v>
      </c>
      <c r="AM288">
        <f t="shared" si="38"/>
        <v>2069</v>
      </c>
      <c r="AN288">
        <f t="shared" si="39"/>
        <v>1297</v>
      </c>
      <c r="AO288" t="str">
        <f t="shared" si="40"/>
        <v/>
      </c>
    </row>
    <row r="289" spans="1:41">
      <c r="A289">
        <f t="shared" si="45"/>
        <v>285</v>
      </c>
      <c r="B289" t="s">
        <v>268</v>
      </c>
      <c r="C289">
        <v>5</v>
      </c>
      <c r="D289">
        <v>5</v>
      </c>
      <c r="E289" t="s">
        <v>385</v>
      </c>
      <c r="F289">
        <v>412</v>
      </c>
      <c r="G289">
        <v>1</v>
      </c>
      <c r="H289">
        <v>74</v>
      </c>
      <c r="I289" t="s">
        <v>386</v>
      </c>
      <c r="J289" t="s">
        <v>386</v>
      </c>
      <c r="K289">
        <v>1000000</v>
      </c>
      <c r="L289">
        <v>1286</v>
      </c>
      <c r="M289">
        <v>1286</v>
      </c>
      <c r="N289">
        <v>1728</v>
      </c>
      <c r="O289">
        <v>0</v>
      </c>
      <c r="P289">
        <v>1259</v>
      </c>
      <c r="Q289">
        <v>1767</v>
      </c>
      <c r="R289">
        <v>1611</v>
      </c>
      <c r="S289">
        <v>956</v>
      </c>
      <c r="T289">
        <v>0</v>
      </c>
      <c r="U289">
        <v>8411</v>
      </c>
      <c r="V289">
        <v>12078.549296880001</v>
      </c>
      <c r="AH289">
        <f t="shared" si="41"/>
        <v>1286</v>
      </c>
      <c r="AI289">
        <f t="shared" si="42"/>
        <v>1728</v>
      </c>
      <c r="AJ289" t="str">
        <f t="shared" si="43"/>
        <v/>
      </c>
      <c r="AK289">
        <f t="shared" si="44"/>
        <v>1259</v>
      </c>
      <c r="AL289">
        <f t="shared" si="37"/>
        <v>1767</v>
      </c>
      <c r="AM289">
        <f t="shared" si="38"/>
        <v>1611</v>
      </c>
      <c r="AN289">
        <f t="shared" si="39"/>
        <v>956</v>
      </c>
      <c r="AO289" t="str">
        <f t="shared" si="40"/>
        <v/>
      </c>
    </row>
    <row r="290" spans="1:41">
      <c r="A290">
        <f t="shared" si="45"/>
        <v>286</v>
      </c>
      <c r="B290" t="s">
        <v>268</v>
      </c>
      <c r="C290">
        <v>5</v>
      </c>
      <c r="D290">
        <v>5</v>
      </c>
      <c r="E290" t="s">
        <v>385</v>
      </c>
      <c r="F290">
        <v>412</v>
      </c>
      <c r="G290">
        <v>1</v>
      </c>
      <c r="H290">
        <v>75</v>
      </c>
      <c r="I290" t="s">
        <v>386</v>
      </c>
      <c r="J290" t="s">
        <v>386</v>
      </c>
      <c r="K290">
        <v>1000000</v>
      </c>
      <c r="L290">
        <v>1326</v>
      </c>
      <c r="M290">
        <v>1326</v>
      </c>
      <c r="N290">
        <v>1780</v>
      </c>
      <c r="O290">
        <v>0</v>
      </c>
      <c r="P290">
        <v>940</v>
      </c>
      <c r="Q290">
        <v>1233</v>
      </c>
      <c r="R290">
        <v>1045</v>
      </c>
      <c r="S290">
        <v>576</v>
      </c>
      <c r="T290">
        <v>0</v>
      </c>
      <c r="U290">
        <v>8621</v>
      </c>
      <c r="V290">
        <v>12194.5235357</v>
      </c>
      <c r="AH290">
        <f t="shared" si="41"/>
        <v>1326</v>
      </c>
      <c r="AI290">
        <f t="shared" si="42"/>
        <v>1780</v>
      </c>
      <c r="AJ290" t="str">
        <f t="shared" si="43"/>
        <v/>
      </c>
      <c r="AK290">
        <f t="shared" si="44"/>
        <v>940</v>
      </c>
      <c r="AL290">
        <f t="shared" si="37"/>
        <v>1233</v>
      </c>
      <c r="AM290">
        <f t="shared" si="38"/>
        <v>1045</v>
      </c>
      <c r="AN290">
        <f t="shared" si="39"/>
        <v>576</v>
      </c>
      <c r="AO290" t="str">
        <f t="shared" si="40"/>
        <v/>
      </c>
    </row>
    <row r="291" spans="1:41">
      <c r="A291">
        <f t="shared" si="45"/>
        <v>287</v>
      </c>
      <c r="B291" t="s">
        <v>268</v>
      </c>
      <c r="C291">
        <v>4</v>
      </c>
      <c r="D291">
        <v>4</v>
      </c>
      <c r="E291" t="s">
        <v>385</v>
      </c>
      <c r="F291">
        <v>412</v>
      </c>
      <c r="G291">
        <v>1</v>
      </c>
      <c r="H291">
        <v>76</v>
      </c>
      <c r="I291" t="s">
        <v>386</v>
      </c>
      <c r="J291" t="s">
        <v>386</v>
      </c>
      <c r="K291">
        <v>1000000</v>
      </c>
      <c r="L291">
        <v>1347</v>
      </c>
      <c r="M291">
        <v>1347</v>
      </c>
      <c r="N291">
        <v>1858</v>
      </c>
      <c r="O291">
        <v>0</v>
      </c>
      <c r="P291">
        <v>514</v>
      </c>
      <c r="Q291">
        <v>556</v>
      </c>
      <c r="R291">
        <v>327</v>
      </c>
      <c r="S291">
        <v>0</v>
      </c>
      <c r="T291" t="s">
        <v>386</v>
      </c>
      <c r="U291">
        <v>8931</v>
      </c>
      <c r="V291">
        <v>11463.59682223</v>
      </c>
      <c r="AH291">
        <f t="shared" si="41"/>
        <v>1347</v>
      </c>
      <c r="AI291">
        <f t="shared" si="42"/>
        <v>1858</v>
      </c>
      <c r="AJ291" t="str">
        <f t="shared" si="43"/>
        <v/>
      </c>
      <c r="AK291">
        <f t="shared" si="44"/>
        <v>514</v>
      </c>
      <c r="AL291">
        <f t="shared" si="37"/>
        <v>556</v>
      </c>
      <c r="AM291">
        <f t="shared" si="38"/>
        <v>327</v>
      </c>
      <c r="AN291" t="str">
        <f t="shared" si="39"/>
        <v/>
      </c>
      <c r="AO291" t="e">
        <f t="shared" si="40"/>
        <v>#VALUE!</v>
      </c>
    </row>
    <row r="292" spans="1:41">
      <c r="A292">
        <f t="shared" si="45"/>
        <v>288</v>
      </c>
      <c r="B292" t="s">
        <v>268</v>
      </c>
      <c r="C292">
        <v>3</v>
      </c>
      <c r="D292">
        <v>3</v>
      </c>
      <c r="E292" t="s">
        <v>385</v>
      </c>
      <c r="F292">
        <v>412</v>
      </c>
      <c r="G292">
        <v>1</v>
      </c>
      <c r="H292">
        <v>77</v>
      </c>
      <c r="I292" t="s">
        <v>386</v>
      </c>
      <c r="J292" t="s">
        <v>386</v>
      </c>
      <c r="K292">
        <v>1000000</v>
      </c>
      <c r="L292">
        <v>1362</v>
      </c>
      <c r="M292">
        <v>1362</v>
      </c>
      <c r="N292">
        <v>1968</v>
      </c>
      <c r="O292">
        <v>0</v>
      </c>
      <c r="P292">
        <v>207</v>
      </c>
      <c r="Q292">
        <v>148</v>
      </c>
      <c r="R292">
        <v>0</v>
      </c>
      <c r="S292" t="s">
        <v>386</v>
      </c>
      <c r="T292" t="s">
        <v>386</v>
      </c>
      <c r="U292">
        <v>9366</v>
      </c>
      <c r="V292">
        <v>10697.020469769999</v>
      </c>
      <c r="AH292">
        <f t="shared" si="41"/>
        <v>1362</v>
      </c>
      <c r="AI292">
        <f t="shared" si="42"/>
        <v>1968</v>
      </c>
      <c r="AJ292" t="str">
        <f t="shared" si="43"/>
        <v/>
      </c>
      <c r="AK292">
        <f t="shared" si="44"/>
        <v>207</v>
      </c>
      <c r="AL292">
        <f t="shared" si="37"/>
        <v>148</v>
      </c>
      <c r="AM292" t="str">
        <f t="shared" si="38"/>
        <v/>
      </c>
      <c r="AN292" t="e">
        <f t="shared" si="39"/>
        <v>#VALUE!</v>
      </c>
      <c r="AO292" t="e">
        <f t="shared" si="40"/>
        <v>#VALUE!</v>
      </c>
    </row>
    <row r="293" spans="1:41">
      <c r="A293">
        <f t="shared" si="45"/>
        <v>289</v>
      </c>
      <c r="B293" t="s">
        <v>268</v>
      </c>
      <c r="C293">
        <v>2</v>
      </c>
      <c r="D293">
        <v>2</v>
      </c>
      <c r="E293" t="s">
        <v>385</v>
      </c>
      <c r="F293">
        <v>412</v>
      </c>
      <c r="G293">
        <v>1</v>
      </c>
      <c r="H293">
        <v>78</v>
      </c>
      <c r="I293" t="s">
        <v>386</v>
      </c>
      <c r="J293" t="s">
        <v>386</v>
      </c>
      <c r="K293">
        <v>1000000</v>
      </c>
      <c r="L293">
        <v>1371</v>
      </c>
      <c r="M293">
        <v>1371</v>
      </c>
      <c r="N293">
        <v>2108</v>
      </c>
      <c r="O293">
        <v>0</v>
      </c>
      <c r="P293">
        <v>43</v>
      </c>
      <c r="Q293">
        <v>0</v>
      </c>
      <c r="R293" t="s">
        <v>386</v>
      </c>
      <c r="S293" t="s">
        <v>386</v>
      </c>
      <c r="T293" t="s">
        <v>386</v>
      </c>
      <c r="U293">
        <v>8808</v>
      </c>
      <c r="V293">
        <v>9905.3394502400006</v>
      </c>
      <c r="AH293">
        <f t="shared" si="41"/>
        <v>1371</v>
      </c>
      <c r="AI293">
        <f t="shared" si="42"/>
        <v>2108</v>
      </c>
      <c r="AJ293" t="str">
        <f t="shared" si="43"/>
        <v/>
      </c>
      <c r="AK293">
        <f t="shared" si="44"/>
        <v>43</v>
      </c>
      <c r="AL293" t="str">
        <f t="shared" si="37"/>
        <v/>
      </c>
      <c r="AM293" t="e">
        <f t="shared" si="38"/>
        <v>#VALUE!</v>
      </c>
      <c r="AN293" t="e">
        <f t="shared" si="39"/>
        <v>#VALUE!</v>
      </c>
      <c r="AO293" t="e">
        <f t="shared" si="40"/>
        <v>#VALUE!</v>
      </c>
    </row>
    <row r="294" spans="1:41">
      <c r="A294">
        <f t="shared" si="45"/>
        <v>290</v>
      </c>
      <c r="B294" t="s">
        <v>268</v>
      </c>
      <c r="C294">
        <v>1</v>
      </c>
      <c r="D294">
        <v>1</v>
      </c>
      <c r="E294" t="s">
        <v>385</v>
      </c>
      <c r="F294">
        <v>412</v>
      </c>
      <c r="G294">
        <v>1</v>
      </c>
      <c r="H294">
        <v>79</v>
      </c>
      <c r="I294" t="s">
        <v>386</v>
      </c>
      <c r="J294" t="s">
        <v>386</v>
      </c>
      <c r="K294">
        <v>1000000</v>
      </c>
      <c r="L294">
        <v>1375</v>
      </c>
      <c r="M294">
        <v>1375</v>
      </c>
      <c r="N294">
        <v>2471</v>
      </c>
      <c r="O294">
        <v>0</v>
      </c>
      <c r="P294">
        <v>0</v>
      </c>
      <c r="Q294" t="s">
        <v>386</v>
      </c>
      <c r="R294" t="s">
        <v>386</v>
      </c>
      <c r="S294" t="s">
        <v>386</v>
      </c>
      <c r="T294" t="s">
        <v>386</v>
      </c>
      <c r="U294">
        <v>7944</v>
      </c>
      <c r="V294">
        <v>9099.9816800200006</v>
      </c>
      <c r="AH294">
        <f t="shared" si="41"/>
        <v>1375</v>
      </c>
      <c r="AI294">
        <f t="shared" si="42"/>
        <v>2471</v>
      </c>
      <c r="AJ294" t="str">
        <f t="shared" si="43"/>
        <v/>
      </c>
      <c r="AK294" t="str">
        <f t="shared" si="44"/>
        <v/>
      </c>
      <c r="AL294" t="e">
        <f t="shared" si="37"/>
        <v>#VALUE!</v>
      </c>
      <c r="AM294" t="e">
        <f t="shared" si="38"/>
        <v>#VALUE!</v>
      </c>
      <c r="AN294" t="e">
        <f t="shared" si="39"/>
        <v>#VALUE!</v>
      </c>
      <c r="AO294" t="e">
        <f t="shared" si="40"/>
        <v>#VALUE!</v>
      </c>
    </row>
    <row r="295" spans="1:41">
      <c r="A295">
        <f t="shared" si="45"/>
        <v>291</v>
      </c>
      <c r="B295" t="s">
        <v>268</v>
      </c>
      <c r="C295">
        <v>5</v>
      </c>
      <c r="D295">
        <v>5</v>
      </c>
      <c r="E295" t="s">
        <v>387</v>
      </c>
      <c r="F295">
        <v>412</v>
      </c>
      <c r="G295">
        <v>1</v>
      </c>
      <c r="H295">
        <v>30</v>
      </c>
      <c r="I295" t="s">
        <v>386</v>
      </c>
      <c r="J295" t="s">
        <v>386</v>
      </c>
      <c r="K295">
        <v>1000000</v>
      </c>
      <c r="L295">
        <v>25</v>
      </c>
      <c r="M295">
        <v>25</v>
      </c>
      <c r="N295">
        <v>66</v>
      </c>
      <c r="O295">
        <v>0</v>
      </c>
      <c r="P295">
        <v>51</v>
      </c>
      <c r="Q295">
        <v>81</v>
      </c>
      <c r="R295">
        <v>86</v>
      </c>
      <c r="S295">
        <v>60</v>
      </c>
      <c r="T295">
        <v>0</v>
      </c>
      <c r="U295">
        <v>1708</v>
      </c>
      <c r="V295">
        <v>8363.3844159399996</v>
      </c>
      <c r="AH295">
        <f t="shared" si="41"/>
        <v>25</v>
      </c>
      <c r="AI295">
        <f t="shared" si="42"/>
        <v>66</v>
      </c>
      <c r="AJ295" t="str">
        <f t="shared" si="43"/>
        <v/>
      </c>
      <c r="AK295">
        <f t="shared" si="44"/>
        <v>51</v>
      </c>
      <c r="AL295">
        <f t="shared" si="37"/>
        <v>81</v>
      </c>
      <c r="AM295">
        <f t="shared" si="38"/>
        <v>86</v>
      </c>
      <c r="AN295">
        <f t="shared" si="39"/>
        <v>60</v>
      </c>
      <c r="AO295" t="str">
        <f t="shared" si="40"/>
        <v/>
      </c>
    </row>
    <row r="296" spans="1:41">
      <c r="A296">
        <f t="shared" si="45"/>
        <v>292</v>
      </c>
      <c r="B296" t="s">
        <v>268</v>
      </c>
      <c r="C296">
        <v>5</v>
      </c>
      <c r="D296">
        <v>5</v>
      </c>
      <c r="E296" t="s">
        <v>387</v>
      </c>
      <c r="F296">
        <v>412</v>
      </c>
      <c r="G296">
        <v>1</v>
      </c>
      <c r="H296">
        <v>31</v>
      </c>
      <c r="I296" t="s">
        <v>386</v>
      </c>
      <c r="J296" t="s">
        <v>386</v>
      </c>
      <c r="K296">
        <v>1000000</v>
      </c>
      <c r="L296">
        <v>27</v>
      </c>
      <c r="M296">
        <v>27</v>
      </c>
      <c r="N296">
        <v>69</v>
      </c>
      <c r="O296">
        <v>0</v>
      </c>
      <c r="P296">
        <v>59</v>
      </c>
      <c r="Q296">
        <v>93</v>
      </c>
      <c r="R296">
        <v>98</v>
      </c>
      <c r="S296">
        <v>69</v>
      </c>
      <c r="T296">
        <v>0</v>
      </c>
      <c r="U296">
        <v>1721</v>
      </c>
      <c r="V296">
        <v>8370.7908519199991</v>
      </c>
      <c r="AH296">
        <f t="shared" si="41"/>
        <v>27</v>
      </c>
      <c r="AI296">
        <f t="shared" si="42"/>
        <v>69</v>
      </c>
      <c r="AJ296" t="str">
        <f t="shared" si="43"/>
        <v/>
      </c>
      <c r="AK296">
        <f t="shared" si="44"/>
        <v>59</v>
      </c>
      <c r="AL296">
        <f t="shared" si="37"/>
        <v>93</v>
      </c>
      <c r="AM296">
        <f t="shared" si="38"/>
        <v>98</v>
      </c>
      <c r="AN296">
        <f t="shared" si="39"/>
        <v>69</v>
      </c>
      <c r="AO296" t="str">
        <f t="shared" si="40"/>
        <v/>
      </c>
    </row>
    <row r="297" spans="1:41">
      <c r="A297">
        <f t="shared" si="45"/>
        <v>293</v>
      </c>
      <c r="B297" t="s">
        <v>268</v>
      </c>
      <c r="C297">
        <v>5</v>
      </c>
      <c r="D297">
        <v>5</v>
      </c>
      <c r="E297" t="s">
        <v>387</v>
      </c>
      <c r="F297">
        <v>412</v>
      </c>
      <c r="G297">
        <v>1</v>
      </c>
      <c r="H297">
        <v>32</v>
      </c>
      <c r="I297" t="s">
        <v>386</v>
      </c>
      <c r="J297" t="s">
        <v>386</v>
      </c>
      <c r="K297">
        <v>1000000</v>
      </c>
      <c r="L297">
        <v>30</v>
      </c>
      <c r="M297">
        <v>30</v>
      </c>
      <c r="N297">
        <v>73</v>
      </c>
      <c r="O297">
        <v>0</v>
      </c>
      <c r="P297">
        <v>68</v>
      </c>
      <c r="Q297">
        <v>108</v>
      </c>
      <c r="R297">
        <v>114</v>
      </c>
      <c r="S297">
        <v>81</v>
      </c>
      <c r="T297">
        <v>0</v>
      </c>
      <c r="U297">
        <v>1736</v>
      </c>
      <c r="V297">
        <v>8379.3206295</v>
      </c>
      <c r="AH297">
        <f t="shared" si="41"/>
        <v>30</v>
      </c>
      <c r="AI297">
        <f t="shared" si="42"/>
        <v>73</v>
      </c>
      <c r="AJ297" t="str">
        <f t="shared" si="43"/>
        <v/>
      </c>
      <c r="AK297">
        <f t="shared" si="44"/>
        <v>68</v>
      </c>
      <c r="AL297">
        <f t="shared" si="37"/>
        <v>108</v>
      </c>
      <c r="AM297">
        <f t="shared" si="38"/>
        <v>114</v>
      </c>
      <c r="AN297">
        <f t="shared" si="39"/>
        <v>81</v>
      </c>
      <c r="AO297" t="str">
        <f t="shared" si="40"/>
        <v/>
      </c>
    </row>
    <row r="298" spans="1:41">
      <c r="A298">
        <f t="shared" si="45"/>
        <v>294</v>
      </c>
      <c r="B298" t="s">
        <v>268</v>
      </c>
      <c r="C298">
        <v>5</v>
      </c>
      <c r="D298">
        <v>5</v>
      </c>
      <c r="E298" t="s">
        <v>387</v>
      </c>
      <c r="F298">
        <v>412</v>
      </c>
      <c r="G298">
        <v>1</v>
      </c>
      <c r="H298">
        <v>33</v>
      </c>
      <c r="I298" t="s">
        <v>386</v>
      </c>
      <c r="J298" t="s">
        <v>386</v>
      </c>
      <c r="K298">
        <v>1000000</v>
      </c>
      <c r="L298">
        <v>33</v>
      </c>
      <c r="M298">
        <v>33</v>
      </c>
      <c r="N298">
        <v>77</v>
      </c>
      <c r="O298">
        <v>0</v>
      </c>
      <c r="P298">
        <v>78</v>
      </c>
      <c r="Q298">
        <v>124</v>
      </c>
      <c r="R298">
        <v>132</v>
      </c>
      <c r="S298">
        <v>93</v>
      </c>
      <c r="T298">
        <v>0</v>
      </c>
      <c r="U298">
        <v>1754</v>
      </c>
      <c r="V298">
        <v>8389.2243401199994</v>
      </c>
      <c r="AH298">
        <f t="shared" si="41"/>
        <v>33</v>
      </c>
      <c r="AI298">
        <f t="shared" si="42"/>
        <v>77</v>
      </c>
      <c r="AJ298" t="str">
        <f t="shared" si="43"/>
        <v/>
      </c>
      <c r="AK298">
        <f t="shared" si="44"/>
        <v>78</v>
      </c>
      <c r="AL298">
        <f t="shared" si="37"/>
        <v>124</v>
      </c>
      <c r="AM298">
        <f t="shared" si="38"/>
        <v>132</v>
      </c>
      <c r="AN298">
        <f t="shared" si="39"/>
        <v>93</v>
      </c>
      <c r="AO298" t="str">
        <f t="shared" si="40"/>
        <v/>
      </c>
    </row>
    <row r="299" spans="1:41">
      <c r="A299">
        <f t="shared" si="45"/>
        <v>295</v>
      </c>
      <c r="B299" t="s">
        <v>268</v>
      </c>
      <c r="C299">
        <v>5</v>
      </c>
      <c r="D299">
        <v>5</v>
      </c>
      <c r="E299" t="s">
        <v>387</v>
      </c>
      <c r="F299">
        <v>412</v>
      </c>
      <c r="G299">
        <v>1</v>
      </c>
      <c r="H299">
        <v>34</v>
      </c>
      <c r="I299" t="s">
        <v>386</v>
      </c>
      <c r="J299" t="s">
        <v>386</v>
      </c>
      <c r="K299">
        <v>1000000</v>
      </c>
      <c r="L299">
        <v>37</v>
      </c>
      <c r="M299">
        <v>37</v>
      </c>
      <c r="N299">
        <v>82</v>
      </c>
      <c r="O299">
        <v>0</v>
      </c>
      <c r="P299">
        <v>91</v>
      </c>
      <c r="Q299">
        <v>145</v>
      </c>
      <c r="R299">
        <v>154</v>
      </c>
      <c r="S299">
        <v>110</v>
      </c>
      <c r="T299">
        <v>0</v>
      </c>
      <c r="U299">
        <v>1775</v>
      </c>
      <c r="V299">
        <v>8400.7401205999995</v>
      </c>
      <c r="AH299">
        <f t="shared" si="41"/>
        <v>37</v>
      </c>
      <c r="AI299">
        <f t="shared" si="42"/>
        <v>82</v>
      </c>
      <c r="AJ299" t="str">
        <f t="shared" si="43"/>
        <v/>
      </c>
      <c r="AK299">
        <f t="shared" si="44"/>
        <v>91</v>
      </c>
      <c r="AL299">
        <f t="shared" si="37"/>
        <v>145</v>
      </c>
      <c r="AM299">
        <f t="shared" si="38"/>
        <v>154</v>
      </c>
      <c r="AN299">
        <f t="shared" si="39"/>
        <v>110</v>
      </c>
      <c r="AO299" t="str">
        <f t="shared" si="40"/>
        <v/>
      </c>
    </row>
    <row r="300" spans="1:41">
      <c r="A300">
        <f t="shared" si="45"/>
        <v>296</v>
      </c>
      <c r="B300" t="s">
        <v>268</v>
      </c>
      <c r="C300">
        <v>5</v>
      </c>
      <c r="D300">
        <v>5</v>
      </c>
      <c r="E300" t="s">
        <v>387</v>
      </c>
      <c r="F300">
        <v>412</v>
      </c>
      <c r="G300">
        <v>1</v>
      </c>
      <c r="H300">
        <v>35</v>
      </c>
      <c r="I300" t="s">
        <v>386</v>
      </c>
      <c r="J300" t="s">
        <v>386</v>
      </c>
      <c r="K300">
        <v>1000000</v>
      </c>
      <c r="L300">
        <v>42</v>
      </c>
      <c r="M300">
        <v>42</v>
      </c>
      <c r="N300">
        <v>88</v>
      </c>
      <c r="O300">
        <v>0</v>
      </c>
      <c r="P300">
        <v>107</v>
      </c>
      <c r="Q300">
        <v>171</v>
      </c>
      <c r="R300">
        <v>182</v>
      </c>
      <c r="S300">
        <v>130</v>
      </c>
      <c r="T300">
        <v>0</v>
      </c>
      <c r="U300">
        <v>1799</v>
      </c>
      <c r="V300">
        <v>8414.2591575900005</v>
      </c>
      <c r="AH300">
        <f t="shared" si="41"/>
        <v>42</v>
      </c>
      <c r="AI300">
        <f t="shared" si="42"/>
        <v>88</v>
      </c>
      <c r="AJ300" t="str">
        <f t="shared" si="43"/>
        <v/>
      </c>
      <c r="AK300">
        <f t="shared" si="44"/>
        <v>107</v>
      </c>
      <c r="AL300">
        <f t="shared" si="37"/>
        <v>171</v>
      </c>
      <c r="AM300">
        <f t="shared" si="38"/>
        <v>182</v>
      </c>
      <c r="AN300">
        <f t="shared" si="39"/>
        <v>130</v>
      </c>
      <c r="AO300" t="str">
        <f t="shared" si="40"/>
        <v/>
      </c>
    </row>
    <row r="301" spans="1:41">
      <c r="A301">
        <f t="shared" si="45"/>
        <v>297</v>
      </c>
      <c r="B301" t="s">
        <v>268</v>
      </c>
      <c r="C301">
        <v>5</v>
      </c>
      <c r="D301">
        <v>5</v>
      </c>
      <c r="E301" t="s">
        <v>387</v>
      </c>
      <c r="F301">
        <v>412</v>
      </c>
      <c r="G301">
        <v>1</v>
      </c>
      <c r="H301">
        <v>36</v>
      </c>
      <c r="I301" t="s">
        <v>386</v>
      </c>
      <c r="J301" t="s">
        <v>386</v>
      </c>
      <c r="K301">
        <v>1000000</v>
      </c>
      <c r="L301">
        <v>47</v>
      </c>
      <c r="M301">
        <v>47</v>
      </c>
      <c r="N301">
        <v>95</v>
      </c>
      <c r="O301">
        <v>0</v>
      </c>
      <c r="P301">
        <v>126</v>
      </c>
      <c r="Q301">
        <v>201</v>
      </c>
      <c r="R301">
        <v>215</v>
      </c>
      <c r="S301">
        <v>153</v>
      </c>
      <c r="T301">
        <v>0</v>
      </c>
      <c r="U301">
        <v>1828</v>
      </c>
      <c r="V301">
        <v>8430.1762342000002</v>
      </c>
      <c r="AH301">
        <f t="shared" si="41"/>
        <v>47</v>
      </c>
      <c r="AI301">
        <f t="shared" si="42"/>
        <v>95</v>
      </c>
      <c r="AJ301" t="str">
        <f t="shared" si="43"/>
        <v/>
      </c>
      <c r="AK301">
        <f t="shared" si="44"/>
        <v>126</v>
      </c>
      <c r="AL301">
        <f t="shared" si="37"/>
        <v>201</v>
      </c>
      <c r="AM301">
        <f t="shared" si="38"/>
        <v>215</v>
      </c>
      <c r="AN301">
        <f t="shared" si="39"/>
        <v>153</v>
      </c>
      <c r="AO301" t="str">
        <f t="shared" si="40"/>
        <v/>
      </c>
    </row>
    <row r="302" spans="1:41">
      <c r="A302">
        <f t="shared" si="45"/>
        <v>298</v>
      </c>
      <c r="B302" t="s">
        <v>268</v>
      </c>
      <c r="C302">
        <v>5</v>
      </c>
      <c r="D302">
        <v>5</v>
      </c>
      <c r="E302" t="s">
        <v>387</v>
      </c>
      <c r="F302">
        <v>412</v>
      </c>
      <c r="G302">
        <v>1</v>
      </c>
      <c r="H302">
        <v>37</v>
      </c>
      <c r="I302" t="s">
        <v>386</v>
      </c>
      <c r="J302" t="s">
        <v>386</v>
      </c>
      <c r="K302">
        <v>1000000</v>
      </c>
      <c r="L302">
        <v>53</v>
      </c>
      <c r="M302">
        <v>53</v>
      </c>
      <c r="N302">
        <v>104</v>
      </c>
      <c r="O302">
        <v>0</v>
      </c>
      <c r="P302">
        <v>148</v>
      </c>
      <c r="Q302">
        <v>237</v>
      </c>
      <c r="R302">
        <v>251</v>
      </c>
      <c r="S302">
        <v>177</v>
      </c>
      <c r="T302">
        <v>0</v>
      </c>
      <c r="U302">
        <v>1861</v>
      </c>
      <c r="V302">
        <v>8448.7427798000008</v>
      </c>
      <c r="AH302">
        <f t="shared" si="41"/>
        <v>53</v>
      </c>
      <c r="AI302">
        <f t="shared" si="42"/>
        <v>104</v>
      </c>
      <c r="AJ302" t="str">
        <f t="shared" si="43"/>
        <v/>
      </c>
      <c r="AK302">
        <f t="shared" si="44"/>
        <v>148</v>
      </c>
      <c r="AL302">
        <f t="shared" si="37"/>
        <v>237</v>
      </c>
      <c r="AM302">
        <f t="shared" si="38"/>
        <v>251</v>
      </c>
      <c r="AN302">
        <f t="shared" si="39"/>
        <v>177</v>
      </c>
      <c r="AO302" t="str">
        <f t="shared" si="40"/>
        <v/>
      </c>
    </row>
    <row r="303" spans="1:41">
      <c r="A303">
        <f t="shared" si="45"/>
        <v>299</v>
      </c>
      <c r="B303" t="s">
        <v>268</v>
      </c>
      <c r="C303">
        <v>5</v>
      </c>
      <c r="D303">
        <v>5</v>
      </c>
      <c r="E303" t="s">
        <v>387</v>
      </c>
      <c r="F303">
        <v>412</v>
      </c>
      <c r="G303">
        <v>1</v>
      </c>
      <c r="H303">
        <v>38</v>
      </c>
      <c r="I303" t="s">
        <v>386</v>
      </c>
      <c r="J303" t="s">
        <v>386</v>
      </c>
      <c r="K303">
        <v>1000000</v>
      </c>
      <c r="L303">
        <v>61</v>
      </c>
      <c r="M303">
        <v>61</v>
      </c>
      <c r="N303">
        <v>113</v>
      </c>
      <c r="O303">
        <v>0</v>
      </c>
      <c r="P303">
        <v>172</v>
      </c>
      <c r="Q303">
        <v>272</v>
      </c>
      <c r="R303">
        <v>286</v>
      </c>
      <c r="S303">
        <v>199</v>
      </c>
      <c r="T303">
        <v>0</v>
      </c>
      <c r="U303">
        <v>1899</v>
      </c>
      <c r="V303">
        <v>8470.0290349700008</v>
      </c>
      <c r="AH303">
        <f t="shared" si="41"/>
        <v>61</v>
      </c>
      <c r="AI303">
        <f t="shared" si="42"/>
        <v>113</v>
      </c>
      <c r="AJ303" t="str">
        <f t="shared" si="43"/>
        <v/>
      </c>
      <c r="AK303">
        <f t="shared" si="44"/>
        <v>172</v>
      </c>
      <c r="AL303">
        <f t="shared" si="37"/>
        <v>272</v>
      </c>
      <c r="AM303">
        <f t="shared" si="38"/>
        <v>286</v>
      </c>
      <c r="AN303">
        <f t="shared" si="39"/>
        <v>199</v>
      </c>
      <c r="AO303" t="str">
        <f t="shared" si="40"/>
        <v/>
      </c>
    </row>
    <row r="304" spans="1:41">
      <c r="A304">
        <f t="shared" si="45"/>
        <v>300</v>
      </c>
      <c r="B304" t="s">
        <v>268</v>
      </c>
      <c r="C304">
        <v>5</v>
      </c>
      <c r="D304">
        <v>5</v>
      </c>
      <c r="E304" t="s">
        <v>387</v>
      </c>
      <c r="F304">
        <v>412</v>
      </c>
      <c r="G304">
        <v>1</v>
      </c>
      <c r="H304">
        <v>39</v>
      </c>
      <c r="I304" t="s">
        <v>386</v>
      </c>
      <c r="J304" t="s">
        <v>386</v>
      </c>
      <c r="K304">
        <v>1000000</v>
      </c>
      <c r="L304">
        <v>69</v>
      </c>
      <c r="M304">
        <v>69</v>
      </c>
      <c r="N304">
        <v>124</v>
      </c>
      <c r="O304">
        <v>0</v>
      </c>
      <c r="P304">
        <v>193</v>
      </c>
      <c r="Q304">
        <v>302</v>
      </c>
      <c r="R304">
        <v>312</v>
      </c>
      <c r="S304">
        <v>214</v>
      </c>
      <c r="T304">
        <v>0</v>
      </c>
      <c r="U304">
        <v>1942</v>
      </c>
      <c r="V304">
        <v>8493.7130447500003</v>
      </c>
      <c r="AH304">
        <f t="shared" si="41"/>
        <v>69</v>
      </c>
      <c r="AI304">
        <f t="shared" si="42"/>
        <v>124</v>
      </c>
      <c r="AJ304" t="str">
        <f t="shared" si="43"/>
        <v/>
      </c>
      <c r="AK304">
        <f t="shared" si="44"/>
        <v>193</v>
      </c>
      <c r="AL304">
        <f t="shared" si="37"/>
        <v>302</v>
      </c>
      <c r="AM304">
        <f t="shared" si="38"/>
        <v>312</v>
      </c>
      <c r="AN304">
        <f t="shared" si="39"/>
        <v>214</v>
      </c>
      <c r="AO304" t="str">
        <f t="shared" si="40"/>
        <v/>
      </c>
    </row>
    <row r="305" spans="1:41">
      <c r="A305">
        <f t="shared" si="45"/>
        <v>301</v>
      </c>
      <c r="B305" t="s">
        <v>268</v>
      </c>
      <c r="C305">
        <v>5</v>
      </c>
      <c r="D305">
        <v>5</v>
      </c>
      <c r="E305" t="s">
        <v>387</v>
      </c>
      <c r="F305">
        <v>412</v>
      </c>
      <c r="G305">
        <v>1</v>
      </c>
      <c r="H305">
        <v>40</v>
      </c>
      <c r="I305" t="s">
        <v>386</v>
      </c>
      <c r="J305" t="s">
        <v>386</v>
      </c>
      <c r="K305">
        <v>1000000</v>
      </c>
      <c r="L305">
        <v>77</v>
      </c>
      <c r="M305">
        <v>77</v>
      </c>
      <c r="N305">
        <v>135</v>
      </c>
      <c r="O305">
        <v>0</v>
      </c>
      <c r="P305">
        <v>208</v>
      </c>
      <c r="Q305">
        <v>320</v>
      </c>
      <c r="R305">
        <v>326</v>
      </c>
      <c r="S305">
        <v>220</v>
      </c>
      <c r="T305">
        <v>0</v>
      </c>
      <c r="U305">
        <v>1988</v>
      </c>
      <c r="V305">
        <v>8519.1239623900001</v>
      </c>
      <c r="AH305">
        <f t="shared" si="41"/>
        <v>77</v>
      </c>
      <c r="AI305">
        <f t="shared" si="42"/>
        <v>135</v>
      </c>
      <c r="AJ305" t="str">
        <f t="shared" si="43"/>
        <v/>
      </c>
      <c r="AK305">
        <f t="shared" si="44"/>
        <v>208</v>
      </c>
      <c r="AL305">
        <f t="shared" si="37"/>
        <v>320</v>
      </c>
      <c r="AM305">
        <f t="shared" si="38"/>
        <v>326</v>
      </c>
      <c r="AN305">
        <f t="shared" si="39"/>
        <v>220</v>
      </c>
      <c r="AO305" t="str">
        <f t="shared" si="40"/>
        <v/>
      </c>
    </row>
    <row r="306" spans="1:41">
      <c r="A306">
        <f t="shared" si="45"/>
        <v>302</v>
      </c>
      <c r="B306" t="s">
        <v>268</v>
      </c>
      <c r="C306">
        <v>5</v>
      </c>
      <c r="D306">
        <v>5</v>
      </c>
      <c r="E306" t="s">
        <v>387</v>
      </c>
      <c r="F306">
        <v>412</v>
      </c>
      <c r="G306">
        <v>1</v>
      </c>
      <c r="H306">
        <v>41</v>
      </c>
      <c r="I306" t="s">
        <v>386</v>
      </c>
      <c r="J306" t="s">
        <v>386</v>
      </c>
      <c r="K306">
        <v>1000000</v>
      </c>
      <c r="L306">
        <v>86</v>
      </c>
      <c r="M306">
        <v>86</v>
      </c>
      <c r="N306">
        <v>146</v>
      </c>
      <c r="O306">
        <v>0</v>
      </c>
      <c r="P306">
        <v>215</v>
      </c>
      <c r="Q306">
        <v>327</v>
      </c>
      <c r="R306">
        <v>329</v>
      </c>
      <c r="S306">
        <v>221</v>
      </c>
      <c r="T306">
        <v>0</v>
      </c>
      <c r="U306">
        <v>2035</v>
      </c>
      <c r="V306">
        <v>8545.5675489400001</v>
      </c>
      <c r="AH306">
        <f t="shared" si="41"/>
        <v>86</v>
      </c>
      <c r="AI306">
        <f t="shared" si="42"/>
        <v>146</v>
      </c>
      <c r="AJ306" t="str">
        <f t="shared" si="43"/>
        <v/>
      </c>
      <c r="AK306">
        <f t="shared" si="44"/>
        <v>215</v>
      </c>
      <c r="AL306">
        <f t="shared" si="37"/>
        <v>327</v>
      </c>
      <c r="AM306">
        <f t="shared" si="38"/>
        <v>329</v>
      </c>
      <c r="AN306">
        <f t="shared" si="39"/>
        <v>221</v>
      </c>
      <c r="AO306" t="str">
        <f t="shared" si="40"/>
        <v/>
      </c>
    </row>
    <row r="307" spans="1:41">
      <c r="A307">
        <f t="shared" si="45"/>
        <v>303</v>
      </c>
      <c r="B307" t="s">
        <v>268</v>
      </c>
      <c r="C307">
        <v>5</v>
      </c>
      <c r="D307">
        <v>5</v>
      </c>
      <c r="E307" t="s">
        <v>387</v>
      </c>
      <c r="F307">
        <v>412</v>
      </c>
      <c r="G307">
        <v>1</v>
      </c>
      <c r="H307">
        <v>42</v>
      </c>
      <c r="I307" t="s">
        <v>386</v>
      </c>
      <c r="J307" t="s">
        <v>386</v>
      </c>
      <c r="K307">
        <v>1000000</v>
      </c>
      <c r="L307">
        <v>95</v>
      </c>
      <c r="M307">
        <v>95</v>
      </c>
      <c r="N307">
        <v>158</v>
      </c>
      <c r="O307">
        <v>0</v>
      </c>
      <c r="P307">
        <v>216</v>
      </c>
      <c r="Q307">
        <v>326</v>
      </c>
      <c r="R307">
        <v>327</v>
      </c>
      <c r="S307">
        <v>220</v>
      </c>
      <c r="T307">
        <v>0</v>
      </c>
      <c r="U307">
        <v>2083</v>
      </c>
      <c r="V307">
        <v>8572.4316537899995</v>
      </c>
      <c r="AH307">
        <f t="shared" si="41"/>
        <v>95</v>
      </c>
      <c r="AI307">
        <f t="shared" si="42"/>
        <v>158</v>
      </c>
      <c r="AJ307" t="str">
        <f t="shared" si="43"/>
        <v/>
      </c>
      <c r="AK307">
        <f t="shared" si="44"/>
        <v>216</v>
      </c>
      <c r="AL307">
        <f t="shared" si="37"/>
        <v>326</v>
      </c>
      <c r="AM307">
        <f t="shared" si="38"/>
        <v>327</v>
      </c>
      <c r="AN307">
        <f t="shared" si="39"/>
        <v>220</v>
      </c>
      <c r="AO307" t="str">
        <f t="shared" si="40"/>
        <v/>
      </c>
    </row>
    <row r="308" spans="1:41">
      <c r="A308">
        <f t="shared" si="45"/>
        <v>304</v>
      </c>
      <c r="B308" t="s">
        <v>268</v>
      </c>
      <c r="C308">
        <v>5</v>
      </c>
      <c r="D308">
        <v>5</v>
      </c>
      <c r="E308" t="s">
        <v>387</v>
      </c>
      <c r="F308">
        <v>412</v>
      </c>
      <c r="G308">
        <v>1</v>
      </c>
      <c r="H308">
        <v>43</v>
      </c>
      <c r="I308" t="s">
        <v>386</v>
      </c>
      <c r="J308" t="s">
        <v>386</v>
      </c>
      <c r="K308">
        <v>1000000</v>
      </c>
      <c r="L308">
        <v>104</v>
      </c>
      <c r="M308">
        <v>104</v>
      </c>
      <c r="N308">
        <v>170</v>
      </c>
      <c r="O308">
        <v>0</v>
      </c>
      <c r="P308">
        <v>215</v>
      </c>
      <c r="Q308">
        <v>325</v>
      </c>
      <c r="R308">
        <v>329</v>
      </c>
      <c r="S308">
        <v>223</v>
      </c>
      <c r="T308">
        <v>0</v>
      </c>
      <c r="U308">
        <v>2133</v>
      </c>
      <c r="V308">
        <v>8599.5353434799999</v>
      </c>
      <c r="AH308">
        <f t="shared" si="41"/>
        <v>104</v>
      </c>
      <c r="AI308">
        <f t="shared" si="42"/>
        <v>170</v>
      </c>
      <c r="AJ308" t="str">
        <f t="shared" si="43"/>
        <v/>
      </c>
      <c r="AK308">
        <f t="shared" si="44"/>
        <v>215</v>
      </c>
      <c r="AL308">
        <f t="shared" si="37"/>
        <v>325</v>
      </c>
      <c r="AM308">
        <f t="shared" si="38"/>
        <v>329</v>
      </c>
      <c r="AN308">
        <f t="shared" si="39"/>
        <v>223</v>
      </c>
      <c r="AO308" t="str">
        <f t="shared" si="40"/>
        <v/>
      </c>
    </row>
    <row r="309" spans="1:41">
      <c r="A309">
        <f t="shared" si="45"/>
        <v>305</v>
      </c>
      <c r="B309" t="s">
        <v>268</v>
      </c>
      <c r="C309">
        <v>5</v>
      </c>
      <c r="D309">
        <v>5</v>
      </c>
      <c r="E309" t="s">
        <v>387</v>
      </c>
      <c r="F309">
        <v>412</v>
      </c>
      <c r="G309">
        <v>1</v>
      </c>
      <c r="H309">
        <v>44</v>
      </c>
      <c r="I309" t="s">
        <v>386</v>
      </c>
      <c r="J309" t="s">
        <v>386</v>
      </c>
      <c r="K309">
        <v>1000000</v>
      </c>
      <c r="L309">
        <v>114</v>
      </c>
      <c r="M309">
        <v>114</v>
      </c>
      <c r="N309">
        <v>183</v>
      </c>
      <c r="O309">
        <v>0</v>
      </c>
      <c r="P309">
        <v>217</v>
      </c>
      <c r="Q309">
        <v>331</v>
      </c>
      <c r="R309">
        <v>338</v>
      </c>
      <c r="S309">
        <v>231</v>
      </c>
      <c r="T309">
        <v>0</v>
      </c>
      <c r="U309">
        <v>2182</v>
      </c>
      <c r="V309">
        <v>8627.0058932699994</v>
      </c>
      <c r="AH309">
        <f t="shared" si="41"/>
        <v>114</v>
      </c>
      <c r="AI309">
        <f t="shared" si="42"/>
        <v>183</v>
      </c>
      <c r="AJ309" t="str">
        <f t="shared" si="43"/>
        <v/>
      </c>
      <c r="AK309">
        <f t="shared" si="44"/>
        <v>217</v>
      </c>
      <c r="AL309">
        <f t="shared" si="37"/>
        <v>331</v>
      </c>
      <c r="AM309">
        <f t="shared" si="38"/>
        <v>338</v>
      </c>
      <c r="AN309">
        <f t="shared" si="39"/>
        <v>231</v>
      </c>
      <c r="AO309" t="str">
        <f t="shared" si="40"/>
        <v/>
      </c>
    </row>
    <row r="310" spans="1:41">
      <c r="A310">
        <f t="shared" si="45"/>
        <v>306</v>
      </c>
      <c r="B310" t="s">
        <v>268</v>
      </c>
      <c r="C310">
        <v>5</v>
      </c>
      <c r="D310">
        <v>5</v>
      </c>
      <c r="E310" t="s">
        <v>387</v>
      </c>
      <c r="F310">
        <v>412</v>
      </c>
      <c r="G310">
        <v>1</v>
      </c>
      <c r="H310">
        <v>45</v>
      </c>
      <c r="I310" t="s">
        <v>386</v>
      </c>
      <c r="J310" t="s">
        <v>386</v>
      </c>
      <c r="K310">
        <v>1000000</v>
      </c>
      <c r="L310">
        <v>123</v>
      </c>
      <c r="M310">
        <v>123</v>
      </c>
      <c r="N310">
        <v>195</v>
      </c>
      <c r="O310">
        <v>0</v>
      </c>
      <c r="P310">
        <v>225</v>
      </c>
      <c r="Q310">
        <v>346</v>
      </c>
      <c r="R310">
        <v>356</v>
      </c>
      <c r="S310">
        <v>246</v>
      </c>
      <c r="T310">
        <v>0</v>
      </c>
      <c r="U310">
        <v>2233</v>
      </c>
      <c r="V310">
        <v>8655.5213629200007</v>
      </c>
      <c r="AH310">
        <f t="shared" si="41"/>
        <v>123</v>
      </c>
      <c r="AI310">
        <f t="shared" si="42"/>
        <v>195</v>
      </c>
      <c r="AJ310" t="str">
        <f t="shared" si="43"/>
        <v/>
      </c>
      <c r="AK310">
        <f t="shared" si="44"/>
        <v>225</v>
      </c>
      <c r="AL310">
        <f t="shared" si="37"/>
        <v>346</v>
      </c>
      <c r="AM310">
        <f t="shared" si="38"/>
        <v>356</v>
      </c>
      <c r="AN310">
        <f t="shared" si="39"/>
        <v>246</v>
      </c>
      <c r="AO310" t="str">
        <f t="shared" si="40"/>
        <v/>
      </c>
    </row>
    <row r="311" spans="1:41">
      <c r="A311">
        <f t="shared" si="45"/>
        <v>307</v>
      </c>
      <c r="B311" t="s">
        <v>268</v>
      </c>
      <c r="C311">
        <v>5</v>
      </c>
      <c r="D311">
        <v>5</v>
      </c>
      <c r="E311" t="s">
        <v>387</v>
      </c>
      <c r="F311">
        <v>412</v>
      </c>
      <c r="G311">
        <v>1</v>
      </c>
      <c r="H311">
        <v>46</v>
      </c>
      <c r="I311" t="s">
        <v>386</v>
      </c>
      <c r="J311" t="s">
        <v>386</v>
      </c>
      <c r="K311">
        <v>1000000</v>
      </c>
      <c r="L311">
        <v>133</v>
      </c>
      <c r="M311">
        <v>133</v>
      </c>
      <c r="N311">
        <v>209</v>
      </c>
      <c r="O311">
        <v>0</v>
      </c>
      <c r="P311">
        <v>241</v>
      </c>
      <c r="Q311">
        <v>373</v>
      </c>
      <c r="R311">
        <v>389</v>
      </c>
      <c r="S311">
        <v>272</v>
      </c>
      <c r="T311">
        <v>0</v>
      </c>
      <c r="U311">
        <v>2288</v>
      </c>
      <c r="V311">
        <v>8686.0519319899995</v>
      </c>
      <c r="AH311">
        <f t="shared" si="41"/>
        <v>133</v>
      </c>
      <c r="AI311">
        <f t="shared" si="42"/>
        <v>209</v>
      </c>
      <c r="AJ311" t="str">
        <f t="shared" si="43"/>
        <v/>
      </c>
      <c r="AK311">
        <f t="shared" si="44"/>
        <v>241</v>
      </c>
      <c r="AL311">
        <f t="shared" si="37"/>
        <v>373</v>
      </c>
      <c r="AM311">
        <f t="shared" si="38"/>
        <v>389</v>
      </c>
      <c r="AN311">
        <f t="shared" si="39"/>
        <v>272</v>
      </c>
      <c r="AO311" t="str">
        <f t="shared" si="40"/>
        <v/>
      </c>
    </row>
    <row r="312" spans="1:41">
      <c r="A312">
        <f t="shared" si="45"/>
        <v>308</v>
      </c>
      <c r="B312" t="s">
        <v>268</v>
      </c>
      <c r="C312">
        <v>5</v>
      </c>
      <c r="D312">
        <v>5</v>
      </c>
      <c r="E312" t="s">
        <v>387</v>
      </c>
      <c r="F312">
        <v>412</v>
      </c>
      <c r="G312">
        <v>1</v>
      </c>
      <c r="H312">
        <v>47</v>
      </c>
      <c r="I312" t="s">
        <v>386</v>
      </c>
      <c r="J312" t="s">
        <v>386</v>
      </c>
      <c r="K312">
        <v>1000000</v>
      </c>
      <c r="L312">
        <v>145</v>
      </c>
      <c r="M312">
        <v>145</v>
      </c>
      <c r="N312">
        <v>224</v>
      </c>
      <c r="O312">
        <v>0</v>
      </c>
      <c r="P312">
        <v>265</v>
      </c>
      <c r="Q312">
        <v>415</v>
      </c>
      <c r="R312">
        <v>438</v>
      </c>
      <c r="S312">
        <v>308</v>
      </c>
      <c r="T312">
        <v>0</v>
      </c>
      <c r="U312">
        <v>2349</v>
      </c>
      <c r="V312">
        <v>8719.7270631299998</v>
      </c>
      <c r="AH312">
        <f t="shared" si="41"/>
        <v>145</v>
      </c>
      <c r="AI312">
        <f t="shared" si="42"/>
        <v>224</v>
      </c>
      <c r="AJ312" t="str">
        <f t="shared" si="43"/>
        <v/>
      </c>
      <c r="AK312">
        <f t="shared" si="44"/>
        <v>265</v>
      </c>
      <c r="AL312">
        <f t="shared" si="37"/>
        <v>415</v>
      </c>
      <c r="AM312">
        <f t="shared" si="38"/>
        <v>438</v>
      </c>
      <c r="AN312">
        <f t="shared" si="39"/>
        <v>308</v>
      </c>
      <c r="AO312" t="str">
        <f t="shared" si="40"/>
        <v/>
      </c>
    </row>
    <row r="313" spans="1:41">
      <c r="A313">
        <f t="shared" si="45"/>
        <v>309</v>
      </c>
      <c r="B313" t="s">
        <v>268</v>
      </c>
      <c r="C313">
        <v>5</v>
      </c>
      <c r="D313">
        <v>5</v>
      </c>
      <c r="E313" t="s">
        <v>387</v>
      </c>
      <c r="F313">
        <v>412</v>
      </c>
      <c r="G313">
        <v>1</v>
      </c>
      <c r="H313">
        <v>48</v>
      </c>
      <c r="I313" t="s">
        <v>386</v>
      </c>
      <c r="J313" t="s">
        <v>386</v>
      </c>
      <c r="K313">
        <v>1000000</v>
      </c>
      <c r="L313">
        <v>158</v>
      </c>
      <c r="M313">
        <v>158</v>
      </c>
      <c r="N313">
        <v>241</v>
      </c>
      <c r="O313">
        <v>0</v>
      </c>
      <c r="P313">
        <v>300</v>
      </c>
      <c r="Q313">
        <v>476</v>
      </c>
      <c r="R313">
        <v>504</v>
      </c>
      <c r="S313">
        <v>357</v>
      </c>
      <c r="T313">
        <v>0</v>
      </c>
      <c r="U313">
        <v>2417</v>
      </c>
      <c r="V313">
        <v>8757.8134560500002</v>
      </c>
      <c r="AH313">
        <f t="shared" si="41"/>
        <v>158</v>
      </c>
      <c r="AI313">
        <f t="shared" si="42"/>
        <v>241</v>
      </c>
      <c r="AJ313" t="str">
        <f t="shared" si="43"/>
        <v/>
      </c>
      <c r="AK313">
        <f t="shared" si="44"/>
        <v>300</v>
      </c>
      <c r="AL313">
        <f t="shared" si="37"/>
        <v>476</v>
      </c>
      <c r="AM313">
        <f t="shared" si="38"/>
        <v>504</v>
      </c>
      <c r="AN313">
        <f t="shared" si="39"/>
        <v>357</v>
      </c>
      <c r="AO313" t="str">
        <f t="shared" si="40"/>
        <v/>
      </c>
    </row>
    <row r="314" spans="1:41">
      <c r="A314">
        <f t="shared" si="45"/>
        <v>310</v>
      </c>
      <c r="B314" t="s">
        <v>268</v>
      </c>
      <c r="C314">
        <v>5</v>
      </c>
      <c r="D314">
        <v>5</v>
      </c>
      <c r="E314" t="s">
        <v>387</v>
      </c>
      <c r="F314">
        <v>412</v>
      </c>
      <c r="G314">
        <v>1</v>
      </c>
      <c r="H314">
        <v>49</v>
      </c>
      <c r="I314" t="s">
        <v>386</v>
      </c>
      <c r="J314" t="s">
        <v>386</v>
      </c>
      <c r="K314">
        <v>1000000</v>
      </c>
      <c r="L314">
        <v>173</v>
      </c>
      <c r="M314">
        <v>173</v>
      </c>
      <c r="N314">
        <v>260</v>
      </c>
      <c r="O314">
        <v>0</v>
      </c>
      <c r="P314">
        <v>348</v>
      </c>
      <c r="Q314">
        <v>552</v>
      </c>
      <c r="R314">
        <v>587</v>
      </c>
      <c r="S314">
        <v>416</v>
      </c>
      <c r="T314">
        <v>0</v>
      </c>
      <c r="U314">
        <v>2496</v>
      </c>
      <c r="V314">
        <v>8801.6513190900005</v>
      </c>
      <c r="AH314">
        <f t="shared" si="41"/>
        <v>173</v>
      </c>
      <c r="AI314">
        <f t="shared" si="42"/>
        <v>260</v>
      </c>
      <c r="AJ314" t="str">
        <f t="shared" si="43"/>
        <v/>
      </c>
      <c r="AK314">
        <f t="shared" si="44"/>
        <v>348</v>
      </c>
      <c r="AL314">
        <f t="shared" si="37"/>
        <v>552</v>
      </c>
      <c r="AM314">
        <f t="shared" si="38"/>
        <v>587</v>
      </c>
      <c r="AN314">
        <f t="shared" si="39"/>
        <v>416</v>
      </c>
      <c r="AO314" t="str">
        <f t="shared" si="40"/>
        <v/>
      </c>
    </row>
    <row r="315" spans="1:41">
      <c r="A315">
        <f t="shared" si="45"/>
        <v>311</v>
      </c>
      <c r="B315" t="s">
        <v>268</v>
      </c>
      <c r="C315">
        <v>5</v>
      </c>
      <c r="D315">
        <v>5</v>
      </c>
      <c r="E315" t="s">
        <v>387</v>
      </c>
      <c r="F315">
        <v>412</v>
      </c>
      <c r="G315">
        <v>1</v>
      </c>
      <c r="H315">
        <v>50</v>
      </c>
      <c r="I315" t="s">
        <v>386</v>
      </c>
      <c r="J315" t="s">
        <v>386</v>
      </c>
      <c r="K315">
        <v>1000000</v>
      </c>
      <c r="L315">
        <v>190</v>
      </c>
      <c r="M315">
        <v>190</v>
      </c>
      <c r="N315">
        <v>283</v>
      </c>
      <c r="O315">
        <v>0</v>
      </c>
      <c r="P315">
        <v>404</v>
      </c>
      <c r="Q315">
        <v>644</v>
      </c>
      <c r="R315">
        <v>683</v>
      </c>
      <c r="S315">
        <v>483</v>
      </c>
      <c r="T315">
        <v>0</v>
      </c>
      <c r="U315">
        <v>2588</v>
      </c>
      <c r="V315">
        <v>8852.4364248999991</v>
      </c>
      <c r="AH315">
        <f t="shared" si="41"/>
        <v>190</v>
      </c>
      <c r="AI315">
        <f t="shared" si="42"/>
        <v>283</v>
      </c>
      <c r="AJ315" t="str">
        <f t="shared" si="43"/>
        <v/>
      </c>
      <c r="AK315">
        <f t="shared" si="44"/>
        <v>404</v>
      </c>
      <c r="AL315">
        <f t="shared" si="37"/>
        <v>644</v>
      </c>
      <c r="AM315">
        <f t="shared" si="38"/>
        <v>683</v>
      </c>
      <c r="AN315">
        <f t="shared" si="39"/>
        <v>483</v>
      </c>
      <c r="AO315" t="str">
        <f t="shared" si="40"/>
        <v/>
      </c>
    </row>
    <row r="316" spans="1:41">
      <c r="A316">
        <f t="shared" si="45"/>
        <v>312</v>
      </c>
      <c r="B316" t="s">
        <v>268</v>
      </c>
      <c r="C316">
        <v>5</v>
      </c>
      <c r="D316">
        <v>5</v>
      </c>
      <c r="E316" t="s">
        <v>387</v>
      </c>
      <c r="F316">
        <v>412</v>
      </c>
      <c r="G316">
        <v>1</v>
      </c>
      <c r="H316">
        <v>51</v>
      </c>
      <c r="I316" t="s">
        <v>386</v>
      </c>
      <c r="J316" t="s">
        <v>386</v>
      </c>
      <c r="K316">
        <v>1000000</v>
      </c>
      <c r="L316">
        <v>210</v>
      </c>
      <c r="M316">
        <v>210</v>
      </c>
      <c r="N316">
        <v>309</v>
      </c>
      <c r="O316">
        <v>0</v>
      </c>
      <c r="P316">
        <v>470</v>
      </c>
      <c r="Q316">
        <v>746</v>
      </c>
      <c r="R316">
        <v>789</v>
      </c>
      <c r="S316">
        <v>556</v>
      </c>
      <c r="T316">
        <v>0</v>
      </c>
      <c r="U316">
        <v>2693</v>
      </c>
      <c r="V316">
        <v>8911.1628361999992</v>
      </c>
      <c r="AH316">
        <f t="shared" si="41"/>
        <v>210</v>
      </c>
      <c r="AI316">
        <f t="shared" si="42"/>
        <v>309</v>
      </c>
      <c r="AJ316" t="str">
        <f t="shared" si="43"/>
        <v/>
      </c>
      <c r="AK316">
        <f t="shared" si="44"/>
        <v>470</v>
      </c>
      <c r="AL316">
        <f t="shared" si="37"/>
        <v>746</v>
      </c>
      <c r="AM316">
        <f t="shared" si="38"/>
        <v>789</v>
      </c>
      <c r="AN316">
        <f t="shared" si="39"/>
        <v>556</v>
      </c>
      <c r="AO316" t="str">
        <f t="shared" si="40"/>
        <v/>
      </c>
    </row>
    <row r="317" spans="1:41">
      <c r="A317">
        <f t="shared" si="45"/>
        <v>313</v>
      </c>
      <c r="B317" t="s">
        <v>268</v>
      </c>
      <c r="C317">
        <v>5</v>
      </c>
      <c r="D317">
        <v>5</v>
      </c>
      <c r="E317" t="s">
        <v>387</v>
      </c>
      <c r="F317">
        <v>412</v>
      </c>
      <c r="G317">
        <v>1</v>
      </c>
      <c r="H317">
        <v>52</v>
      </c>
      <c r="I317" t="s">
        <v>386</v>
      </c>
      <c r="J317" t="s">
        <v>386</v>
      </c>
      <c r="K317">
        <v>1000000</v>
      </c>
      <c r="L317">
        <v>232</v>
      </c>
      <c r="M317">
        <v>232</v>
      </c>
      <c r="N317">
        <v>339</v>
      </c>
      <c r="O317">
        <v>0</v>
      </c>
      <c r="P317">
        <v>541</v>
      </c>
      <c r="Q317">
        <v>856</v>
      </c>
      <c r="R317">
        <v>904</v>
      </c>
      <c r="S317">
        <v>636</v>
      </c>
      <c r="T317">
        <v>0</v>
      </c>
      <c r="U317">
        <v>2815</v>
      </c>
      <c r="V317">
        <v>8978.8245533600002</v>
      </c>
      <c r="AH317">
        <f t="shared" si="41"/>
        <v>232</v>
      </c>
      <c r="AI317">
        <f t="shared" si="42"/>
        <v>339</v>
      </c>
      <c r="AJ317" t="str">
        <f t="shared" si="43"/>
        <v/>
      </c>
      <c r="AK317">
        <f t="shared" si="44"/>
        <v>541</v>
      </c>
      <c r="AL317">
        <f t="shared" si="37"/>
        <v>856</v>
      </c>
      <c r="AM317">
        <f t="shared" si="38"/>
        <v>904</v>
      </c>
      <c r="AN317">
        <f t="shared" si="39"/>
        <v>636</v>
      </c>
      <c r="AO317" t="str">
        <f t="shared" si="40"/>
        <v/>
      </c>
    </row>
    <row r="318" spans="1:41">
      <c r="A318">
        <f t="shared" si="45"/>
        <v>314</v>
      </c>
      <c r="B318" t="s">
        <v>268</v>
      </c>
      <c r="C318">
        <v>5</v>
      </c>
      <c r="D318">
        <v>5</v>
      </c>
      <c r="E318" t="s">
        <v>387</v>
      </c>
      <c r="F318">
        <v>412</v>
      </c>
      <c r="G318">
        <v>1</v>
      </c>
      <c r="H318">
        <v>53</v>
      </c>
      <c r="I318" t="s">
        <v>386</v>
      </c>
      <c r="J318" t="s">
        <v>386</v>
      </c>
      <c r="K318">
        <v>1000000</v>
      </c>
      <c r="L318">
        <v>258</v>
      </c>
      <c r="M318">
        <v>258</v>
      </c>
      <c r="N318">
        <v>373</v>
      </c>
      <c r="O318">
        <v>0</v>
      </c>
      <c r="P318">
        <v>617</v>
      </c>
      <c r="Q318">
        <v>975</v>
      </c>
      <c r="R318">
        <v>1026</v>
      </c>
      <c r="S318">
        <v>719</v>
      </c>
      <c r="T318">
        <v>0</v>
      </c>
      <c r="U318">
        <v>2954</v>
      </c>
      <c r="V318">
        <v>9055.9212608100006</v>
      </c>
      <c r="AH318">
        <f t="shared" si="41"/>
        <v>258</v>
      </c>
      <c r="AI318">
        <f t="shared" si="42"/>
        <v>373</v>
      </c>
      <c r="AJ318" t="str">
        <f t="shared" si="43"/>
        <v/>
      </c>
      <c r="AK318">
        <f t="shared" si="44"/>
        <v>617</v>
      </c>
      <c r="AL318">
        <f t="shared" si="37"/>
        <v>975</v>
      </c>
      <c r="AM318">
        <f t="shared" si="38"/>
        <v>1026</v>
      </c>
      <c r="AN318">
        <f t="shared" si="39"/>
        <v>719</v>
      </c>
      <c r="AO318" t="str">
        <f t="shared" si="40"/>
        <v/>
      </c>
    </row>
    <row r="319" spans="1:41">
      <c r="A319">
        <f t="shared" si="45"/>
        <v>315</v>
      </c>
      <c r="B319" t="s">
        <v>268</v>
      </c>
      <c r="C319">
        <v>5</v>
      </c>
      <c r="D319">
        <v>5</v>
      </c>
      <c r="E319" t="s">
        <v>387</v>
      </c>
      <c r="F319">
        <v>412</v>
      </c>
      <c r="G319">
        <v>1</v>
      </c>
      <c r="H319">
        <v>54</v>
      </c>
      <c r="I319" t="s">
        <v>386</v>
      </c>
      <c r="J319" t="s">
        <v>386</v>
      </c>
      <c r="K319">
        <v>1000000</v>
      </c>
      <c r="L319">
        <v>288</v>
      </c>
      <c r="M319">
        <v>288</v>
      </c>
      <c r="N319">
        <v>411</v>
      </c>
      <c r="O319">
        <v>0</v>
      </c>
      <c r="P319">
        <v>696</v>
      </c>
      <c r="Q319">
        <v>1095</v>
      </c>
      <c r="R319">
        <v>1146</v>
      </c>
      <c r="S319">
        <v>795</v>
      </c>
      <c r="T319">
        <v>0</v>
      </c>
      <c r="U319">
        <v>3110</v>
      </c>
      <c r="V319">
        <v>9142.4397352300002</v>
      </c>
      <c r="AH319">
        <f t="shared" si="41"/>
        <v>288</v>
      </c>
      <c r="AI319">
        <f t="shared" si="42"/>
        <v>411</v>
      </c>
      <c r="AJ319" t="str">
        <f t="shared" si="43"/>
        <v/>
      </c>
      <c r="AK319">
        <f t="shared" si="44"/>
        <v>696</v>
      </c>
      <c r="AL319">
        <f t="shared" si="37"/>
        <v>1095</v>
      </c>
      <c r="AM319">
        <f t="shared" si="38"/>
        <v>1146</v>
      </c>
      <c r="AN319">
        <f t="shared" si="39"/>
        <v>795</v>
      </c>
      <c r="AO319" t="str">
        <f t="shared" si="40"/>
        <v/>
      </c>
    </row>
    <row r="320" spans="1:41">
      <c r="A320">
        <f t="shared" si="45"/>
        <v>316</v>
      </c>
      <c r="B320" t="s">
        <v>268</v>
      </c>
      <c r="C320">
        <v>5</v>
      </c>
      <c r="D320">
        <v>5</v>
      </c>
      <c r="E320" t="s">
        <v>387</v>
      </c>
      <c r="F320">
        <v>412</v>
      </c>
      <c r="G320">
        <v>1</v>
      </c>
      <c r="H320">
        <v>55</v>
      </c>
      <c r="I320" t="s">
        <v>386</v>
      </c>
      <c r="J320" t="s">
        <v>386</v>
      </c>
      <c r="K320">
        <v>1000000</v>
      </c>
      <c r="L320">
        <v>320</v>
      </c>
      <c r="M320">
        <v>320</v>
      </c>
      <c r="N320">
        <v>454</v>
      </c>
      <c r="O320">
        <v>0</v>
      </c>
      <c r="P320">
        <v>771</v>
      </c>
      <c r="Q320">
        <v>1203</v>
      </c>
      <c r="R320">
        <v>1247</v>
      </c>
      <c r="S320">
        <v>856</v>
      </c>
      <c r="T320">
        <v>0</v>
      </c>
      <c r="U320">
        <v>3282</v>
      </c>
      <c r="V320">
        <v>9237.6013713299999</v>
      </c>
      <c r="AH320">
        <f t="shared" si="41"/>
        <v>320</v>
      </c>
      <c r="AI320">
        <f t="shared" si="42"/>
        <v>454</v>
      </c>
      <c r="AJ320" t="str">
        <f t="shared" si="43"/>
        <v/>
      </c>
      <c r="AK320">
        <f t="shared" si="44"/>
        <v>771</v>
      </c>
      <c r="AL320">
        <f t="shared" si="37"/>
        <v>1203</v>
      </c>
      <c r="AM320">
        <f t="shared" si="38"/>
        <v>1247</v>
      </c>
      <c r="AN320">
        <f t="shared" si="39"/>
        <v>856</v>
      </c>
      <c r="AO320" t="str">
        <f t="shared" si="40"/>
        <v/>
      </c>
    </row>
    <row r="321" spans="1:41">
      <c r="A321">
        <f t="shared" si="45"/>
        <v>317</v>
      </c>
      <c r="B321" t="s">
        <v>268</v>
      </c>
      <c r="C321">
        <v>5</v>
      </c>
      <c r="D321">
        <v>5</v>
      </c>
      <c r="E321" t="s">
        <v>387</v>
      </c>
      <c r="F321">
        <v>412</v>
      </c>
      <c r="G321">
        <v>1</v>
      </c>
      <c r="H321">
        <v>56</v>
      </c>
      <c r="I321" t="s">
        <v>386</v>
      </c>
      <c r="J321" t="s">
        <v>386</v>
      </c>
      <c r="K321">
        <v>1000000</v>
      </c>
      <c r="L321">
        <v>355</v>
      </c>
      <c r="M321">
        <v>355</v>
      </c>
      <c r="N321">
        <v>499</v>
      </c>
      <c r="O321">
        <v>0</v>
      </c>
      <c r="P321">
        <v>832</v>
      </c>
      <c r="Q321">
        <v>1287</v>
      </c>
      <c r="R321">
        <v>1320</v>
      </c>
      <c r="S321">
        <v>900</v>
      </c>
      <c r="T321">
        <v>0</v>
      </c>
      <c r="U321">
        <v>3466</v>
      </c>
      <c r="V321">
        <v>9340.1217582000008</v>
      </c>
      <c r="AH321">
        <f t="shared" si="41"/>
        <v>355</v>
      </c>
      <c r="AI321">
        <f t="shared" si="42"/>
        <v>499</v>
      </c>
      <c r="AJ321" t="str">
        <f t="shared" si="43"/>
        <v/>
      </c>
      <c r="AK321">
        <f t="shared" si="44"/>
        <v>832</v>
      </c>
      <c r="AL321">
        <f t="shared" si="37"/>
        <v>1287</v>
      </c>
      <c r="AM321">
        <f t="shared" si="38"/>
        <v>1320</v>
      </c>
      <c r="AN321">
        <f t="shared" si="39"/>
        <v>900</v>
      </c>
      <c r="AO321" t="str">
        <f t="shared" si="40"/>
        <v/>
      </c>
    </row>
    <row r="322" spans="1:41">
      <c r="A322">
        <f t="shared" si="45"/>
        <v>318</v>
      </c>
      <c r="B322" t="s">
        <v>268</v>
      </c>
      <c r="C322">
        <v>5</v>
      </c>
      <c r="D322">
        <v>5</v>
      </c>
      <c r="E322" t="s">
        <v>387</v>
      </c>
      <c r="F322">
        <v>412</v>
      </c>
      <c r="G322">
        <v>1</v>
      </c>
      <c r="H322">
        <v>57</v>
      </c>
      <c r="I322" t="s">
        <v>386</v>
      </c>
      <c r="J322" t="s">
        <v>386</v>
      </c>
      <c r="K322">
        <v>1000000</v>
      </c>
      <c r="L322">
        <v>391</v>
      </c>
      <c r="M322">
        <v>391</v>
      </c>
      <c r="N322">
        <v>548</v>
      </c>
      <c r="O322">
        <v>0</v>
      </c>
      <c r="P322">
        <v>877</v>
      </c>
      <c r="Q322">
        <v>1345</v>
      </c>
      <c r="R322">
        <v>1372</v>
      </c>
      <c r="S322">
        <v>935</v>
      </c>
      <c r="T322">
        <v>0</v>
      </c>
      <c r="U322">
        <v>3662</v>
      </c>
      <c r="V322">
        <v>9448.6533206500008</v>
      </c>
      <c r="AH322">
        <f t="shared" si="41"/>
        <v>391</v>
      </c>
      <c r="AI322">
        <f t="shared" si="42"/>
        <v>548</v>
      </c>
      <c r="AJ322" t="str">
        <f t="shared" si="43"/>
        <v/>
      </c>
      <c r="AK322">
        <f t="shared" si="44"/>
        <v>877</v>
      </c>
      <c r="AL322">
        <f t="shared" si="37"/>
        <v>1345</v>
      </c>
      <c r="AM322">
        <f t="shared" si="38"/>
        <v>1372</v>
      </c>
      <c r="AN322">
        <f t="shared" si="39"/>
        <v>935</v>
      </c>
      <c r="AO322" t="str">
        <f t="shared" si="40"/>
        <v/>
      </c>
    </row>
    <row r="323" spans="1:41">
      <c r="A323">
        <f t="shared" si="45"/>
        <v>319</v>
      </c>
      <c r="B323" t="s">
        <v>268</v>
      </c>
      <c r="C323">
        <v>5</v>
      </c>
      <c r="D323">
        <v>5</v>
      </c>
      <c r="E323" t="s">
        <v>387</v>
      </c>
      <c r="F323">
        <v>412</v>
      </c>
      <c r="G323">
        <v>1</v>
      </c>
      <c r="H323">
        <v>58</v>
      </c>
      <c r="I323" t="s">
        <v>386</v>
      </c>
      <c r="J323" t="s">
        <v>386</v>
      </c>
      <c r="K323">
        <v>1000000</v>
      </c>
      <c r="L323">
        <v>430</v>
      </c>
      <c r="M323">
        <v>430</v>
      </c>
      <c r="N323">
        <v>598</v>
      </c>
      <c r="O323">
        <v>0</v>
      </c>
      <c r="P323">
        <v>910</v>
      </c>
      <c r="Q323">
        <v>1394</v>
      </c>
      <c r="R323">
        <v>1425</v>
      </c>
      <c r="S323">
        <v>975</v>
      </c>
      <c r="T323">
        <v>0</v>
      </c>
      <c r="U323">
        <v>3867</v>
      </c>
      <c r="V323">
        <v>9562.3804124300004</v>
      </c>
      <c r="AH323">
        <f t="shared" si="41"/>
        <v>430</v>
      </c>
      <c r="AI323">
        <f t="shared" si="42"/>
        <v>598</v>
      </c>
      <c r="AJ323" t="str">
        <f t="shared" si="43"/>
        <v/>
      </c>
      <c r="AK323">
        <f t="shared" si="44"/>
        <v>910</v>
      </c>
      <c r="AL323">
        <f t="shared" si="37"/>
        <v>1394</v>
      </c>
      <c r="AM323">
        <f t="shared" si="38"/>
        <v>1425</v>
      </c>
      <c r="AN323">
        <f t="shared" si="39"/>
        <v>975</v>
      </c>
      <c r="AO323" t="str">
        <f t="shared" si="40"/>
        <v/>
      </c>
    </row>
    <row r="324" spans="1:41">
      <c r="A324">
        <f t="shared" si="45"/>
        <v>320</v>
      </c>
      <c r="B324" t="s">
        <v>268</v>
      </c>
      <c r="C324">
        <v>5</v>
      </c>
      <c r="D324">
        <v>5</v>
      </c>
      <c r="E324" t="s">
        <v>387</v>
      </c>
      <c r="F324">
        <v>412</v>
      </c>
      <c r="G324">
        <v>1</v>
      </c>
      <c r="H324">
        <v>59</v>
      </c>
      <c r="I324" t="s">
        <v>386</v>
      </c>
      <c r="J324" t="s">
        <v>386</v>
      </c>
      <c r="K324">
        <v>1000000</v>
      </c>
      <c r="L324">
        <v>470</v>
      </c>
      <c r="M324">
        <v>470</v>
      </c>
      <c r="N324">
        <v>652</v>
      </c>
      <c r="O324">
        <v>0</v>
      </c>
      <c r="P324">
        <v>947</v>
      </c>
      <c r="Q324">
        <v>1456</v>
      </c>
      <c r="R324">
        <v>1498</v>
      </c>
      <c r="S324">
        <v>1031</v>
      </c>
      <c r="T324">
        <v>0</v>
      </c>
      <c r="U324">
        <v>4081</v>
      </c>
      <c r="V324">
        <v>9681.5469948000009</v>
      </c>
      <c r="AH324">
        <f t="shared" si="41"/>
        <v>470</v>
      </c>
      <c r="AI324">
        <f t="shared" si="42"/>
        <v>652</v>
      </c>
      <c r="AJ324" t="str">
        <f t="shared" si="43"/>
        <v/>
      </c>
      <c r="AK324">
        <f t="shared" si="44"/>
        <v>947</v>
      </c>
      <c r="AL324">
        <f t="shared" si="37"/>
        <v>1456</v>
      </c>
      <c r="AM324">
        <f t="shared" si="38"/>
        <v>1498</v>
      </c>
      <c r="AN324">
        <f t="shared" si="39"/>
        <v>1031</v>
      </c>
      <c r="AO324" t="str">
        <f t="shared" si="40"/>
        <v/>
      </c>
    </row>
    <row r="325" spans="1:41">
      <c r="A325">
        <f t="shared" si="45"/>
        <v>321</v>
      </c>
      <c r="B325" t="s">
        <v>268</v>
      </c>
      <c r="C325">
        <v>5</v>
      </c>
      <c r="D325">
        <v>5</v>
      </c>
      <c r="E325" t="s">
        <v>387</v>
      </c>
      <c r="F325">
        <v>412</v>
      </c>
      <c r="G325">
        <v>1</v>
      </c>
      <c r="H325">
        <v>60</v>
      </c>
      <c r="I325" t="s">
        <v>386</v>
      </c>
      <c r="J325" t="s">
        <v>386</v>
      </c>
      <c r="K325">
        <v>1000000</v>
      </c>
      <c r="L325">
        <v>513</v>
      </c>
      <c r="M325">
        <v>513</v>
      </c>
      <c r="N325">
        <v>708</v>
      </c>
      <c r="O325">
        <v>0</v>
      </c>
      <c r="P325">
        <v>998</v>
      </c>
      <c r="Q325">
        <v>1543</v>
      </c>
      <c r="R325">
        <v>1595</v>
      </c>
      <c r="S325">
        <v>1100</v>
      </c>
      <c r="T325">
        <v>0</v>
      </c>
      <c r="U325">
        <v>4308</v>
      </c>
      <c r="V325">
        <v>9807.0533840299995</v>
      </c>
      <c r="AH325">
        <f t="shared" si="41"/>
        <v>513</v>
      </c>
      <c r="AI325">
        <f t="shared" si="42"/>
        <v>708</v>
      </c>
      <c r="AJ325" t="str">
        <f t="shared" si="43"/>
        <v/>
      </c>
      <c r="AK325">
        <f t="shared" si="44"/>
        <v>998</v>
      </c>
      <c r="AL325">
        <f t="shared" ref="AL325:AL388" si="46">IF(Q325=AC325, "", Q325-AC325)</f>
        <v>1543</v>
      </c>
      <c r="AM325">
        <f t="shared" ref="AM325:AM388" si="47">IF(R325=AD325, "", R325-AD325)</f>
        <v>1595</v>
      </c>
      <c r="AN325">
        <f t="shared" ref="AN325:AN388" si="48">IF(S325=AE325, "", S325-AE325)</f>
        <v>1100</v>
      </c>
      <c r="AO325" t="str">
        <f t="shared" ref="AO325:AO388" si="49">IF(T325=AF325, "", T325-AF325)</f>
        <v/>
      </c>
    </row>
    <row r="326" spans="1:41">
      <c r="A326">
        <f t="shared" si="45"/>
        <v>322</v>
      </c>
      <c r="B326" t="s">
        <v>268</v>
      </c>
      <c r="C326">
        <v>5</v>
      </c>
      <c r="D326">
        <v>5</v>
      </c>
      <c r="E326" t="s">
        <v>387</v>
      </c>
      <c r="F326">
        <v>412</v>
      </c>
      <c r="G326">
        <v>1</v>
      </c>
      <c r="H326">
        <v>61</v>
      </c>
      <c r="I326" t="s">
        <v>386</v>
      </c>
      <c r="J326" t="s">
        <v>386</v>
      </c>
      <c r="K326">
        <v>1000000</v>
      </c>
      <c r="L326">
        <v>558</v>
      </c>
      <c r="M326">
        <v>558</v>
      </c>
      <c r="N326">
        <v>767</v>
      </c>
      <c r="O326">
        <v>0</v>
      </c>
      <c r="P326">
        <v>1062</v>
      </c>
      <c r="Q326">
        <v>1647</v>
      </c>
      <c r="R326">
        <v>1702</v>
      </c>
      <c r="S326">
        <v>1170</v>
      </c>
      <c r="T326">
        <v>0</v>
      </c>
      <c r="U326">
        <v>4547</v>
      </c>
      <c r="V326">
        <v>9939.8332267099995</v>
      </c>
      <c r="AH326">
        <f t="shared" ref="AH326:AH389" si="50">IF(L326=Y326, "",L326-Y326)</f>
        <v>558</v>
      </c>
      <c r="AI326">
        <f t="shared" ref="AI326:AI389" si="51">IF(N326=Z326, "", N326-Z326)</f>
        <v>767</v>
      </c>
      <c r="AJ326" t="str">
        <f t="shared" ref="AJ326:AJ389" si="52">IF(O326=AA326, "", O326-AA326)</f>
        <v/>
      </c>
      <c r="AK326">
        <f t="shared" ref="AK326:AK389" si="53">IF(P326=AB326, "", P326-AB326)</f>
        <v>1062</v>
      </c>
      <c r="AL326">
        <f t="shared" si="46"/>
        <v>1647</v>
      </c>
      <c r="AM326">
        <f t="shared" si="47"/>
        <v>1702</v>
      </c>
      <c r="AN326">
        <f t="shared" si="48"/>
        <v>1170</v>
      </c>
      <c r="AO326" t="str">
        <f t="shared" si="49"/>
        <v/>
      </c>
    </row>
    <row r="327" spans="1:41">
      <c r="A327">
        <f t="shared" ref="A327:A390" si="54">A326+1</f>
        <v>323</v>
      </c>
      <c r="B327" t="s">
        <v>268</v>
      </c>
      <c r="C327">
        <v>5</v>
      </c>
      <c r="D327">
        <v>5</v>
      </c>
      <c r="E327" t="s">
        <v>387</v>
      </c>
      <c r="F327">
        <v>412</v>
      </c>
      <c r="G327">
        <v>1</v>
      </c>
      <c r="H327">
        <v>62</v>
      </c>
      <c r="I327" t="s">
        <v>386</v>
      </c>
      <c r="J327" t="s">
        <v>386</v>
      </c>
      <c r="K327">
        <v>1000000</v>
      </c>
      <c r="L327">
        <v>605</v>
      </c>
      <c r="M327">
        <v>605</v>
      </c>
      <c r="N327">
        <v>829</v>
      </c>
      <c r="O327">
        <v>0</v>
      </c>
      <c r="P327">
        <v>1131</v>
      </c>
      <c r="Q327">
        <v>1748</v>
      </c>
      <c r="R327">
        <v>1796</v>
      </c>
      <c r="S327">
        <v>1227</v>
      </c>
      <c r="T327">
        <v>0</v>
      </c>
      <c r="U327">
        <v>4800</v>
      </c>
      <c r="V327">
        <v>10080.081035499999</v>
      </c>
      <c r="AH327">
        <f t="shared" si="50"/>
        <v>605</v>
      </c>
      <c r="AI327">
        <f t="shared" si="51"/>
        <v>829</v>
      </c>
      <c r="AJ327" t="str">
        <f t="shared" si="52"/>
        <v/>
      </c>
      <c r="AK327">
        <f t="shared" si="53"/>
        <v>1131</v>
      </c>
      <c r="AL327">
        <f t="shared" si="46"/>
        <v>1748</v>
      </c>
      <c r="AM327">
        <f t="shared" si="47"/>
        <v>1796</v>
      </c>
      <c r="AN327">
        <f t="shared" si="48"/>
        <v>1227</v>
      </c>
      <c r="AO327" t="str">
        <f t="shared" si="49"/>
        <v/>
      </c>
    </row>
    <row r="328" spans="1:41">
      <c r="A328">
        <f t="shared" si="54"/>
        <v>324</v>
      </c>
      <c r="B328" t="s">
        <v>268</v>
      </c>
      <c r="C328">
        <v>5</v>
      </c>
      <c r="D328">
        <v>5</v>
      </c>
      <c r="E328" t="s">
        <v>387</v>
      </c>
      <c r="F328">
        <v>412</v>
      </c>
      <c r="G328">
        <v>1</v>
      </c>
      <c r="H328">
        <v>63</v>
      </c>
      <c r="I328" t="s">
        <v>386</v>
      </c>
      <c r="J328" t="s">
        <v>386</v>
      </c>
      <c r="K328">
        <v>1000000</v>
      </c>
      <c r="L328">
        <v>655</v>
      </c>
      <c r="M328">
        <v>655</v>
      </c>
      <c r="N328">
        <v>895</v>
      </c>
      <c r="O328">
        <v>0</v>
      </c>
      <c r="P328">
        <v>1188</v>
      </c>
      <c r="Q328">
        <v>1826</v>
      </c>
      <c r="R328">
        <v>1865</v>
      </c>
      <c r="S328">
        <v>1268</v>
      </c>
      <c r="T328">
        <v>0</v>
      </c>
      <c r="U328">
        <v>5066</v>
      </c>
      <c r="V328">
        <v>10227.13886646</v>
      </c>
      <c r="AH328">
        <f t="shared" si="50"/>
        <v>655</v>
      </c>
      <c r="AI328">
        <f t="shared" si="51"/>
        <v>895</v>
      </c>
      <c r="AJ328" t="str">
        <f t="shared" si="52"/>
        <v/>
      </c>
      <c r="AK328">
        <f t="shared" si="53"/>
        <v>1188</v>
      </c>
      <c r="AL328">
        <f t="shared" si="46"/>
        <v>1826</v>
      </c>
      <c r="AM328">
        <f t="shared" si="47"/>
        <v>1865</v>
      </c>
      <c r="AN328">
        <f t="shared" si="48"/>
        <v>1268</v>
      </c>
      <c r="AO328" t="str">
        <f t="shared" si="49"/>
        <v/>
      </c>
    </row>
    <row r="329" spans="1:41">
      <c r="A329">
        <f t="shared" si="54"/>
        <v>325</v>
      </c>
      <c r="B329" t="s">
        <v>268</v>
      </c>
      <c r="C329">
        <v>5</v>
      </c>
      <c r="D329">
        <v>5</v>
      </c>
      <c r="E329" t="s">
        <v>387</v>
      </c>
      <c r="F329">
        <v>412</v>
      </c>
      <c r="G329">
        <v>1</v>
      </c>
      <c r="H329">
        <v>64</v>
      </c>
      <c r="I329" t="s">
        <v>386</v>
      </c>
      <c r="J329" t="s">
        <v>386</v>
      </c>
      <c r="K329">
        <v>1000000</v>
      </c>
      <c r="L329">
        <v>707</v>
      </c>
      <c r="M329">
        <v>707</v>
      </c>
      <c r="N329">
        <v>963</v>
      </c>
      <c r="O329">
        <v>0</v>
      </c>
      <c r="P329">
        <v>1228</v>
      </c>
      <c r="Q329">
        <v>1878</v>
      </c>
      <c r="R329">
        <v>1911</v>
      </c>
      <c r="S329">
        <v>1295</v>
      </c>
      <c r="T329">
        <v>0</v>
      </c>
      <c r="U329">
        <v>5341</v>
      </c>
      <c r="V329">
        <v>10379.48875088</v>
      </c>
      <c r="AH329">
        <f t="shared" si="50"/>
        <v>707</v>
      </c>
      <c r="AI329">
        <f t="shared" si="51"/>
        <v>963</v>
      </c>
      <c r="AJ329" t="str">
        <f t="shared" si="52"/>
        <v/>
      </c>
      <c r="AK329">
        <f t="shared" si="53"/>
        <v>1228</v>
      </c>
      <c r="AL329">
        <f t="shared" si="46"/>
        <v>1878</v>
      </c>
      <c r="AM329">
        <f t="shared" si="47"/>
        <v>1911</v>
      </c>
      <c r="AN329">
        <f t="shared" si="48"/>
        <v>1295</v>
      </c>
      <c r="AO329" t="str">
        <f t="shared" si="49"/>
        <v/>
      </c>
    </row>
    <row r="330" spans="1:41">
      <c r="A330">
        <f t="shared" si="54"/>
        <v>326</v>
      </c>
      <c r="B330" t="s">
        <v>268</v>
      </c>
      <c r="C330">
        <v>5</v>
      </c>
      <c r="D330">
        <v>5</v>
      </c>
      <c r="E330" t="s">
        <v>387</v>
      </c>
      <c r="F330">
        <v>412</v>
      </c>
      <c r="G330">
        <v>1</v>
      </c>
      <c r="H330">
        <v>65</v>
      </c>
      <c r="I330" t="s">
        <v>386</v>
      </c>
      <c r="J330" t="s">
        <v>386</v>
      </c>
      <c r="K330">
        <v>1000000</v>
      </c>
      <c r="L330">
        <v>760</v>
      </c>
      <c r="M330">
        <v>760</v>
      </c>
      <c r="N330">
        <v>1033</v>
      </c>
      <c r="O330">
        <v>0</v>
      </c>
      <c r="P330">
        <v>1254</v>
      </c>
      <c r="Q330">
        <v>1912</v>
      </c>
      <c r="R330">
        <v>1942</v>
      </c>
      <c r="S330">
        <v>1316</v>
      </c>
      <c r="T330">
        <v>0</v>
      </c>
      <c r="U330">
        <v>5622</v>
      </c>
      <c r="V330">
        <v>10535.616968140001</v>
      </c>
      <c r="AH330">
        <f t="shared" si="50"/>
        <v>760</v>
      </c>
      <c r="AI330">
        <f t="shared" si="51"/>
        <v>1033</v>
      </c>
      <c r="AJ330" t="str">
        <f t="shared" si="52"/>
        <v/>
      </c>
      <c r="AK330">
        <f t="shared" si="53"/>
        <v>1254</v>
      </c>
      <c r="AL330">
        <f t="shared" si="46"/>
        <v>1912</v>
      </c>
      <c r="AM330">
        <f t="shared" si="47"/>
        <v>1942</v>
      </c>
      <c r="AN330">
        <f t="shared" si="48"/>
        <v>1316</v>
      </c>
      <c r="AO330" t="str">
        <f t="shared" si="49"/>
        <v/>
      </c>
    </row>
    <row r="331" spans="1:41">
      <c r="A331">
        <f t="shared" si="54"/>
        <v>327</v>
      </c>
      <c r="B331" t="s">
        <v>268</v>
      </c>
      <c r="C331">
        <v>5</v>
      </c>
      <c r="D331">
        <v>5</v>
      </c>
      <c r="E331" t="s">
        <v>387</v>
      </c>
      <c r="F331">
        <v>412</v>
      </c>
      <c r="G331">
        <v>1</v>
      </c>
      <c r="H331">
        <v>66</v>
      </c>
      <c r="I331" t="s">
        <v>386</v>
      </c>
      <c r="J331" t="s">
        <v>386</v>
      </c>
      <c r="K331">
        <v>1000000</v>
      </c>
      <c r="L331">
        <v>814</v>
      </c>
      <c r="M331">
        <v>814</v>
      </c>
      <c r="N331">
        <v>1105</v>
      </c>
      <c r="O331">
        <v>0</v>
      </c>
      <c r="P331">
        <v>1273</v>
      </c>
      <c r="Q331">
        <v>1940</v>
      </c>
      <c r="R331">
        <v>1972</v>
      </c>
      <c r="S331">
        <v>1339</v>
      </c>
      <c r="T331">
        <v>0</v>
      </c>
      <c r="U331">
        <v>5910</v>
      </c>
      <c r="V331">
        <v>10694.667395009999</v>
      </c>
      <c r="AH331">
        <f t="shared" si="50"/>
        <v>814</v>
      </c>
      <c r="AI331">
        <f t="shared" si="51"/>
        <v>1105</v>
      </c>
      <c r="AJ331" t="str">
        <f t="shared" si="52"/>
        <v/>
      </c>
      <c r="AK331">
        <f t="shared" si="53"/>
        <v>1273</v>
      </c>
      <c r="AL331">
        <f t="shared" si="46"/>
        <v>1940</v>
      </c>
      <c r="AM331">
        <f t="shared" si="47"/>
        <v>1972</v>
      </c>
      <c r="AN331">
        <f t="shared" si="48"/>
        <v>1339</v>
      </c>
      <c r="AO331" t="str">
        <f t="shared" si="49"/>
        <v/>
      </c>
    </row>
    <row r="332" spans="1:41">
      <c r="A332">
        <f t="shared" si="54"/>
        <v>328</v>
      </c>
      <c r="B332" t="s">
        <v>268</v>
      </c>
      <c r="C332">
        <v>5</v>
      </c>
      <c r="D332">
        <v>5</v>
      </c>
      <c r="E332" t="s">
        <v>387</v>
      </c>
      <c r="F332">
        <v>412</v>
      </c>
      <c r="G332">
        <v>1</v>
      </c>
      <c r="H332">
        <v>67</v>
      </c>
      <c r="I332" t="s">
        <v>386</v>
      </c>
      <c r="J332" t="s">
        <v>386</v>
      </c>
      <c r="K332">
        <v>1000000</v>
      </c>
      <c r="L332">
        <v>869</v>
      </c>
      <c r="M332">
        <v>869</v>
      </c>
      <c r="N332">
        <v>1178</v>
      </c>
      <c r="O332">
        <v>0</v>
      </c>
      <c r="P332">
        <v>1295</v>
      </c>
      <c r="Q332">
        <v>1976</v>
      </c>
      <c r="R332">
        <v>2015</v>
      </c>
      <c r="S332">
        <v>1374</v>
      </c>
      <c r="T332">
        <v>0</v>
      </c>
      <c r="U332">
        <v>6203</v>
      </c>
      <c r="V332">
        <v>10856.9557477</v>
      </c>
      <c r="AH332">
        <f t="shared" si="50"/>
        <v>869</v>
      </c>
      <c r="AI332">
        <f t="shared" si="51"/>
        <v>1178</v>
      </c>
      <c r="AJ332" t="str">
        <f t="shared" si="52"/>
        <v/>
      </c>
      <c r="AK332">
        <f t="shared" si="53"/>
        <v>1295</v>
      </c>
      <c r="AL332">
        <f t="shared" si="46"/>
        <v>1976</v>
      </c>
      <c r="AM332">
        <f t="shared" si="47"/>
        <v>2015</v>
      </c>
      <c r="AN332">
        <f t="shared" si="48"/>
        <v>1374</v>
      </c>
      <c r="AO332" t="str">
        <f t="shared" si="49"/>
        <v/>
      </c>
    </row>
    <row r="333" spans="1:41">
      <c r="A333">
        <f t="shared" si="54"/>
        <v>329</v>
      </c>
      <c r="B333" t="s">
        <v>268</v>
      </c>
      <c r="C333">
        <v>5</v>
      </c>
      <c r="D333">
        <v>5</v>
      </c>
      <c r="E333" t="s">
        <v>387</v>
      </c>
      <c r="F333">
        <v>412</v>
      </c>
      <c r="G333">
        <v>1</v>
      </c>
      <c r="H333">
        <v>68</v>
      </c>
      <c r="I333" t="s">
        <v>386</v>
      </c>
      <c r="J333" t="s">
        <v>386</v>
      </c>
      <c r="K333">
        <v>1000000</v>
      </c>
      <c r="L333">
        <v>926</v>
      </c>
      <c r="M333">
        <v>926</v>
      </c>
      <c r="N333">
        <v>1253</v>
      </c>
      <c r="O333">
        <v>0</v>
      </c>
      <c r="P333">
        <v>1327</v>
      </c>
      <c r="Q333">
        <v>2035</v>
      </c>
      <c r="R333">
        <v>2087</v>
      </c>
      <c r="S333">
        <v>1432</v>
      </c>
      <c r="T333">
        <v>0</v>
      </c>
      <c r="U333">
        <v>6504</v>
      </c>
      <c r="V333">
        <v>11023.9206101</v>
      </c>
      <c r="AH333">
        <f t="shared" si="50"/>
        <v>926</v>
      </c>
      <c r="AI333">
        <f t="shared" si="51"/>
        <v>1253</v>
      </c>
      <c r="AJ333" t="str">
        <f t="shared" si="52"/>
        <v/>
      </c>
      <c r="AK333">
        <f t="shared" si="53"/>
        <v>1327</v>
      </c>
      <c r="AL333">
        <f t="shared" si="46"/>
        <v>2035</v>
      </c>
      <c r="AM333">
        <f t="shared" si="47"/>
        <v>2087</v>
      </c>
      <c r="AN333">
        <f t="shared" si="48"/>
        <v>1432</v>
      </c>
      <c r="AO333" t="str">
        <f t="shared" si="49"/>
        <v/>
      </c>
    </row>
    <row r="334" spans="1:41">
      <c r="A334">
        <f t="shared" si="54"/>
        <v>330</v>
      </c>
      <c r="B334" t="s">
        <v>268</v>
      </c>
      <c r="C334">
        <v>5</v>
      </c>
      <c r="D334">
        <v>5</v>
      </c>
      <c r="E334" t="s">
        <v>387</v>
      </c>
      <c r="F334">
        <v>412</v>
      </c>
      <c r="G334">
        <v>1</v>
      </c>
      <c r="H334">
        <v>69</v>
      </c>
      <c r="I334" t="s">
        <v>386</v>
      </c>
      <c r="J334" t="s">
        <v>386</v>
      </c>
      <c r="K334">
        <v>1000000</v>
      </c>
      <c r="L334">
        <v>985</v>
      </c>
      <c r="M334">
        <v>985</v>
      </c>
      <c r="N334">
        <v>1331</v>
      </c>
      <c r="O334">
        <v>0</v>
      </c>
      <c r="P334">
        <v>1379</v>
      </c>
      <c r="Q334">
        <v>2127</v>
      </c>
      <c r="R334">
        <v>2194</v>
      </c>
      <c r="S334">
        <v>1512</v>
      </c>
      <c r="T334">
        <v>0</v>
      </c>
      <c r="U334">
        <v>6818</v>
      </c>
      <c r="V334">
        <v>11197.531503</v>
      </c>
      <c r="AH334">
        <f t="shared" si="50"/>
        <v>985</v>
      </c>
      <c r="AI334">
        <f t="shared" si="51"/>
        <v>1331</v>
      </c>
      <c r="AJ334" t="str">
        <f t="shared" si="52"/>
        <v/>
      </c>
      <c r="AK334">
        <f t="shared" si="53"/>
        <v>1379</v>
      </c>
      <c r="AL334">
        <f t="shared" si="46"/>
        <v>2127</v>
      </c>
      <c r="AM334">
        <f t="shared" si="47"/>
        <v>2194</v>
      </c>
      <c r="AN334">
        <f t="shared" si="48"/>
        <v>1512</v>
      </c>
      <c r="AO334" t="str">
        <f t="shared" si="49"/>
        <v/>
      </c>
    </row>
    <row r="335" spans="1:41">
      <c r="A335">
        <f t="shared" si="54"/>
        <v>331</v>
      </c>
      <c r="B335" t="s">
        <v>268</v>
      </c>
      <c r="C335">
        <v>5</v>
      </c>
      <c r="D335">
        <v>5</v>
      </c>
      <c r="E335" t="s">
        <v>387</v>
      </c>
      <c r="F335">
        <v>412</v>
      </c>
      <c r="G335">
        <v>1</v>
      </c>
      <c r="H335">
        <v>70</v>
      </c>
      <c r="I335" t="s">
        <v>386</v>
      </c>
      <c r="J335" t="s">
        <v>386</v>
      </c>
      <c r="K335">
        <v>1000000</v>
      </c>
      <c r="L335">
        <v>1047</v>
      </c>
      <c r="M335">
        <v>1047</v>
      </c>
      <c r="N335">
        <v>1412</v>
      </c>
      <c r="O335">
        <v>0</v>
      </c>
      <c r="P335">
        <v>1449</v>
      </c>
      <c r="Q335">
        <v>2243</v>
      </c>
      <c r="R335">
        <v>2315</v>
      </c>
      <c r="S335">
        <v>1588</v>
      </c>
      <c r="T335">
        <v>0</v>
      </c>
      <c r="U335">
        <v>7145</v>
      </c>
      <c r="V335">
        <v>11378.82008016</v>
      </c>
      <c r="AH335">
        <f t="shared" si="50"/>
        <v>1047</v>
      </c>
      <c r="AI335">
        <f t="shared" si="51"/>
        <v>1412</v>
      </c>
      <c r="AJ335" t="str">
        <f t="shared" si="52"/>
        <v/>
      </c>
      <c r="AK335">
        <f t="shared" si="53"/>
        <v>1449</v>
      </c>
      <c r="AL335">
        <f t="shared" si="46"/>
        <v>2243</v>
      </c>
      <c r="AM335">
        <f t="shared" si="47"/>
        <v>2315</v>
      </c>
      <c r="AN335">
        <f t="shared" si="48"/>
        <v>1588</v>
      </c>
      <c r="AO335" t="str">
        <f t="shared" si="49"/>
        <v/>
      </c>
    </row>
    <row r="336" spans="1:41">
      <c r="A336">
        <f t="shared" si="54"/>
        <v>332</v>
      </c>
      <c r="B336" t="s">
        <v>268</v>
      </c>
      <c r="C336">
        <v>5</v>
      </c>
      <c r="D336">
        <v>5</v>
      </c>
      <c r="E336" t="s">
        <v>387</v>
      </c>
      <c r="F336">
        <v>412</v>
      </c>
      <c r="G336">
        <v>1</v>
      </c>
      <c r="H336">
        <v>71</v>
      </c>
      <c r="I336" t="s">
        <v>386</v>
      </c>
      <c r="J336" t="s">
        <v>386</v>
      </c>
      <c r="K336">
        <v>1000000</v>
      </c>
      <c r="L336">
        <v>1111</v>
      </c>
      <c r="M336">
        <v>1111</v>
      </c>
      <c r="N336">
        <v>1496</v>
      </c>
      <c r="O336">
        <v>0</v>
      </c>
      <c r="P336">
        <v>1516</v>
      </c>
      <c r="Q336">
        <v>2338</v>
      </c>
      <c r="R336">
        <v>2389</v>
      </c>
      <c r="S336">
        <v>1611</v>
      </c>
      <c r="T336">
        <v>0</v>
      </c>
      <c r="U336">
        <v>7484</v>
      </c>
      <c r="V336">
        <v>11565.92990193</v>
      </c>
      <c r="AH336">
        <f t="shared" si="50"/>
        <v>1111</v>
      </c>
      <c r="AI336">
        <f t="shared" si="51"/>
        <v>1496</v>
      </c>
      <c r="AJ336" t="str">
        <f t="shared" si="52"/>
        <v/>
      </c>
      <c r="AK336">
        <f t="shared" si="53"/>
        <v>1516</v>
      </c>
      <c r="AL336">
        <f t="shared" si="46"/>
        <v>2338</v>
      </c>
      <c r="AM336">
        <f t="shared" si="47"/>
        <v>2389</v>
      </c>
      <c r="AN336">
        <f t="shared" si="48"/>
        <v>1611</v>
      </c>
      <c r="AO336" t="str">
        <f t="shared" si="49"/>
        <v/>
      </c>
    </row>
    <row r="337" spans="1:41">
      <c r="A337">
        <f t="shared" si="54"/>
        <v>333</v>
      </c>
      <c r="B337" t="s">
        <v>268</v>
      </c>
      <c r="C337">
        <v>5</v>
      </c>
      <c r="D337">
        <v>5</v>
      </c>
      <c r="E337" t="s">
        <v>387</v>
      </c>
      <c r="F337">
        <v>412</v>
      </c>
      <c r="G337">
        <v>1</v>
      </c>
      <c r="H337">
        <v>72</v>
      </c>
      <c r="I337" t="s">
        <v>386</v>
      </c>
      <c r="J337" t="s">
        <v>386</v>
      </c>
      <c r="K337">
        <v>1000000</v>
      </c>
      <c r="L337">
        <v>1175</v>
      </c>
      <c r="M337">
        <v>1175</v>
      </c>
      <c r="N337">
        <v>1581</v>
      </c>
      <c r="O337">
        <v>0</v>
      </c>
      <c r="P337">
        <v>1539</v>
      </c>
      <c r="Q337">
        <v>2334</v>
      </c>
      <c r="R337">
        <v>2330</v>
      </c>
      <c r="S337">
        <v>1524</v>
      </c>
      <c r="T337">
        <v>0</v>
      </c>
      <c r="U337">
        <v>7821</v>
      </c>
      <c r="V337">
        <v>11752.5103571</v>
      </c>
      <c r="AH337">
        <f t="shared" si="50"/>
        <v>1175</v>
      </c>
      <c r="AI337">
        <f t="shared" si="51"/>
        <v>1581</v>
      </c>
      <c r="AJ337" t="str">
        <f t="shared" si="52"/>
        <v/>
      </c>
      <c r="AK337">
        <f t="shared" si="53"/>
        <v>1539</v>
      </c>
      <c r="AL337">
        <f t="shared" si="46"/>
        <v>2334</v>
      </c>
      <c r="AM337">
        <f t="shared" si="47"/>
        <v>2330</v>
      </c>
      <c r="AN337">
        <f t="shared" si="48"/>
        <v>1524</v>
      </c>
      <c r="AO337" t="str">
        <f t="shared" si="49"/>
        <v/>
      </c>
    </row>
    <row r="338" spans="1:41">
      <c r="A338">
        <f t="shared" si="54"/>
        <v>334</v>
      </c>
      <c r="B338" t="s">
        <v>268</v>
      </c>
      <c r="C338">
        <v>5</v>
      </c>
      <c r="D338">
        <v>5</v>
      </c>
      <c r="E338" t="s">
        <v>387</v>
      </c>
      <c r="F338">
        <v>412</v>
      </c>
      <c r="G338">
        <v>1</v>
      </c>
      <c r="H338">
        <v>73</v>
      </c>
      <c r="I338" t="s">
        <v>386</v>
      </c>
      <c r="J338" t="s">
        <v>386</v>
      </c>
      <c r="K338">
        <v>1000000</v>
      </c>
      <c r="L338">
        <v>1234</v>
      </c>
      <c r="M338">
        <v>1234</v>
      </c>
      <c r="N338">
        <v>1660</v>
      </c>
      <c r="O338">
        <v>0</v>
      </c>
      <c r="P338">
        <v>1463</v>
      </c>
      <c r="Q338">
        <v>2153</v>
      </c>
      <c r="R338">
        <v>2069</v>
      </c>
      <c r="S338">
        <v>1297</v>
      </c>
      <c r="T338">
        <v>0</v>
      </c>
      <c r="U338">
        <v>8138</v>
      </c>
      <c r="V338">
        <v>11927.652116679999</v>
      </c>
      <c r="AH338">
        <f t="shared" si="50"/>
        <v>1234</v>
      </c>
      <c r="AI338">
        <f t="shared" si="51"/>
        <v>1660</v>
      </c>
      <c r="AJ338" t="str">
        <f t="shared" si="52"/>
        <v/>
      </c>
      <c r="AK338">
        <f t="shared" si="53"/>
        <v>1463</v>
      </c>
      <c r="AL338">
        <f t="shared" si="46"/>
        <v>2153</v>
      </c>
      <c r="AM338">
        <f t="shared" si="47"/>
        <v>2069</v>
      </c>
      <c r="AN338">
        <f t="shared" si="48"/>
        <v>1297</v>
      </c>
      <c r="AO338" t="str">
        <f t="shared" si="49"/>
        <v/>
      </c>
    </row>
    <row r="339" spans="1:41">
      <c r="A339">
        <f t="shared" si="54"/>
        <v>335</v>
      </c>
      <c r="B339" t="s">
        <v>268</v>
      </c>
      <c r="C339">
        <v>5</v>
      </c>
      <c r="D339">
        <v>5</v>
      </c>
      <c r="E339" t="s">
        <v>387</v>
      </c>
      <c r="F339">
        <v>412</v>
      </c>
      <c r="G339">
        <v>1</v>
      </c>
      <c r="H339">
        <v>74</v>
      </c>
      <c r="I339" t="s">
        <v>386</v>
      </c>
      <c r="J339" t="s">
        <v>386</v>
      </c>
      <c r="K339">
        <v>1000000</v>
      </c>
      <c r="L339">
        <v>1286</v>
      </c>
      <c r="M339">
        <v>1286</v>
      </c>
      <c r="N339">
        <v>1728</v>
      </c>
      <c r="O339">
        <v>0</v>
      </c>
      <c r="P339">
        <v>1259</v>
      </c>
      <c r="Q339">
        <v>1767</v>
      </c>
      <c r="R339">
        <v>1611</v>
      </c>
      <c r="S339">
        <v>956</v>
      </c>
      <c r="T339">
        <v>0</v>
      </c>
      <c r="U339">
        <v>8411</v>
      </c>
      <c r="V339">
        <v>12078.549296880001</v>
      </c>
      <c r="AH339">
        <f t="shared" si="50"/>
        <v>1286</v>
      </c>
      <c r="AI339">
        <f t="shared" si="51"/>
        <v>1728</v>
      </c>
      <c r="AJ339" t="str">
        <f t="shared" si="52"/>
        <v/>
      </c>
      <c r="AK339">
        <f t="shared" si="53"/>
        <v>1259</v>
      </c>
      <c r="AL339">
        <f t="shared" si="46"/>
        <v>1767</v>
      </c>
      <c r="AM339">
        <f t="shared" si="47"/>
        <v>1611</v>
      </c>
      <c r="AN339">
        <f t="shared" si="48"/>
        <v>956</v>
      </c>
      <c r="AO339" t="str">
        <f t="shared" si="49"/>
        <v/>
      </c>
    </row>
    <row r="340" spans="1:41">
      <c r="A340">
        <f t="shared" si="54"/>
        <v>336</v>
      </c>
      <c r="B340" t="s">
        <v>268</v>
      </c>
      <c r="C340">
        <v>5</v>
      </c>
      <c r="D340">
        <v>5</v>
      </c>
      <c r="E340" t="s">
        <v>387</v>
      </c>
      <c r="F340">
        <v>412</v>
      </c>
      <c r="G340">
        <v>1</v>
      </c>
      <c r="H340">
        <v>75</v>
      </c>
      <c r="I340" t="s">
        <v>386</v>
      </c>
      <c r="J340" t="s">
        <v>386</v>
      </c>
      <c r="K340">
        <v>1000000</v>
      </c>
      <c r="L340">
        <v>1326</v>
      </c>
      <c r="M340">
        <v>1326</v>
      </c>
      <c r="N340">
        <v>1780</v>
      </c>
      <c r="O340">
        <v>0</v>
      </c>
      <c r="P340">
        <v>940</v>
      </c>
      <c r="Q340">
        <v>1233</v>
      </c>
      <c r="R340">
        <v>1045</v>
      </c>
      <c r="S340">
        <v>576</v>
      </c>
      <c r="T340">
        <v>0</v>
      </c>
      <c r="U340">
        <v>8621</v>
      </c>
      <c r="V340">
        <v>12194.5235357</v>
      </c>
      <c r="AH340">
        <f t="shared" si="50"/>
        <v>1326</v>
      </c>
      <c r="AI340">
        <f t="shared" si="51"/>
        <v>1780</v>
      </c>
      <c r="AJ340" t="str">
        <f t="shared" si="52"/>
        <v/>
      </c>
      <c r="AK340">
        <f t="shared" si="53"/>
        <v>940</v>
      </c>
      <c r="AL340">
        <f t="shared" si="46"/>
        <v>1233</v>
      </c>
      <c r="AM340">
        <f t="shared" si="47"/>
        <v>1045</v>
      </c>
      <c r="AN340">
        <f t="shared" si="48"/>
        <v>576</v>
      </c>
      <c r="AO340" t="str">
        <f t="shared" si="49"/>
        <v/>
      </c>
    </row>
    <row r="341" spans="1:41">
      <c r="A341">
        <f t="shared" si="54"/>
        <v>337</v>
      </c>
      <c r="B341" t="s">
        <v>268</v>
      </c>
      <c r="C341">
        <v>5</v>
      </c>
      <c r="D341">
        <v>5</v>
      </c>
      <c r="E341" t="s">
        <v>387</v>
      </c>
      <c r="F341">
        <v>412</v>
      </c>
      <c r="G341">
        <v>1</v>
      </c>
      <c r="H341">
        <v>76</v>
      </c>
      <c r="I341" t="s">
        <v>386</v>
      </c>
      <c r="J341" t="s">
        <v>386</v>
      </c>
      <c r="K341">
        <v>1000000</v>
      </c>
      <c r="L341">
        <v>1352</v>
      </c>
      <c r="M341">
        <v>1352</v>
      </c>
      <c r="N341">
        <v>1815</v>
      </c>
      <c r="O341">
        <v>0</v>
      </c>
      <c r="P341">
        <v>571</v>
      </c>
      <c r="Q341">
        <v>674</v>
      </c>
      <c r="R341">
        <v>507</v>
      </c>
      <c r="S341">
        <v>246</v>
      </c>
      <c r="T341">
        <v>0</v>
      </c>
      <c r="U341">
        <v>8760</v>
      </c>
      <c r="V341">
        <v>12270.79148127</v>
      </c>
      <c r="AH341">
        <f t="shared" si="50"/>
        <v>1352</v>
      </c>
      <c r="AI341">
        <f t="shared" si="51"/>
        <v>1815</v>
      </c>
      <c r="AJ341" t="str">
        <f t="shared" si="52"/>
        <v/>
      </c>
      <c r="AK341">
        <f t="shared" si="53"/>
        <v>571</v>
      </c>
      <c r="AL341">
        <f t="shared" si="46"/>
        <v>674</v>
      </c>
      <c r="AM341">
        <f t="shared" si="47"/>
        <v>507</v>
      </c>
      <c r="AN341">
        <f t="shared" si="48"/>
        <v>246</v>
      </c>
      <c r="AO341" t="str">
        <f t="shared" si="49"/>
        <v/>
      </c>
    </row>
    <row r="342" spans="1:41">
      <c r="A342">
        <f t="shared" si="54"/>
        <v>338</v>
      </c>
      <c r="B342" t="s">
        <v>268</v>
      </c>
      <c r="C342">
        <v>5</v>
      </c>
      <c r="D342">
        <v>5</v>
      </c>
      <c r="E342" t="s">
        <v>387</v>
      </c>
      <c r="F342">
        <v>412</v>
      </c>
      <c r="G342">
        <v>1</v>
      </c>
      <c r="H342">
        <v>77</v>
      </c>
      <c r="I342" t="s">
        <v>386</v>
      </c>
      <c r="J342" t="s">
        <v>386</v>
      </c>
      <c r="K342">
        <v>1000000</v>
      </c>
      <c r="L342">
        <v>1365</v>
      </c>
      <c r="M342">
        <v>1365</v>
      </c>
      <c r="N342">
        <v>1833</v>
      </c>
      <c r="O342">
        <v>0</v>
      </c>
      <c r="P342">
        <v>244</v>
      </c>
      <c r="Q342">
        <v>225</v>
      </c>
      <c r="R342">
        <v>117</v>
      </c>
      <c r="S342">
        <v>30</v>
      </c>
      <c r="T342">
        <v>0</v>
      </c>
      <c r="U342">
        <v>8832</v>
      </c>
      <c r="V342">
        <v>12310.44443222</v>
      </c>
      <c r="AH342">
        <f t="shared" si="50"/>
        <v>1365</v>
      </c>
      <c r="AI342">
        <f t="shared" si="51"/>
        <v>1833</v>
      </c>
      <c r="AJ342" t="str">
        <f t="shared" si="52"/>
        <v/>
      </c>
      <c r="AK342">
        <f t="shared" si="53"/>
        <v>244</v>
      </c>
      <c r="AL342">
        <f t="shared" si="46"/>
        <v>225</v>
      </c>
      <c r="AM342">
        <f t="shared" si="47"/>
        <v>117</v>
      </c>
      <c r="AN342">
        <f t="shared" si="48"/>
        <v>30</v>
      </c>
      <c r="AO342" t="str">
        <f t="shared" si="49"/>
        <v/>
      </c>
    </row>
    <row r="343" spans="1:41">
      <c r="A343">
        <f t="shared" si="54"/>
        <v>339</v>
      </c>
      <c r="B343" t="s">
        <v>268</v>
      </c>
      <c r="C343">
        <v>5</v>
      </c>
      <c r="D343">
        <v>5</v>
      </c>
      <c r="E343" t="s">
        <v>387</v>
      </c>
      <c r="F343">
        <v>412</v>
      </c>
      <c r="G343">
        <v>1</v>
      </c>
      <c r="H343">
        <v>78</v>
      </c>
      <c r="I343" t="s">
        <v>386</v>
      </c>
      <c r="J343" t="s">
        <v>386</v>
      </c>
      <c r="K343">
        <v>1000000</v>
      </c>
      <c r="L343">
        <v>1370</v>
      </c>
      <c r="M343">
        <v>1370</v>
      </c>
      <c r="N343">
        <v>1839</v>
      </c>
      <c r="O343">
        <v>0</v>
      </c>
      <c r="P343">
        <v>23</v>
      </c>
      <c r="Q343">
        <v>-41</v>
      </c>
      <c r="R343">
        <v>-81</v>
      </c>
      <c r="S343">
        <v>-64</v>
      </c>
      <c r="T343">
        <v>0</v>
      </c>
      <c r="U343">
        <v>8855</v>
      </c>
      <c r="V343">
        <v>12323.07301686</v>
      </c>
      <c r="AH343">
        <f t="shared" si="50"/>
        <v>1370</v>
      </c>
      <c r="AI343">
        <f t="shared" si="51"/>
        <v>1839</v>
      </c>
      <c r="AJ343" t="str">
        <f t="shared" si="52"/>
        <v/>
      </c>
      <c r="AK343">
        <f t="shared" si="53"/>
        <v>23</v>
      </c>
      <c r="AL343">
        <f t="shared" si="46"/>
        <v>-41</v>
      </c>
      <c r="AM343">
        <f t="shared" si="47"/>
        <v>-81</v>
      </c>
      <c r="AN343">
        <f t="shared" si="48"/>
        <v>-64</v>
      </c>
      <c r="AO343" t="str">
        <f t="shared" si="49"/>
        <v/>
      </c>
    </row>
    <row r="344" spans="1:41">
      <c r="A344">
        <f t="shared" si="54"/>
        <v>340</v>
      </c>
      <c r="B344" t="s">
        <v>268</v>
      </c>
      <c r="C344">
        <v>5</v>
      </c>
      <c r="D344">
        <v>5</v>
      </c>
      <c r="E344" t="s">
        <v>387</v>
      </c>
      <c r="F344">
        <v>412</v>
      </c>
      <c r="G344">
        <v>1</v>
      </c>
      <c r="H344">
        <v>79</v>
      </c>
      <c r="I344" t="s">
        <v>386</v>
      </c>
      <c r="J344" t="s">
        <v>386</v>
      </c>
      <c r="K344">
        <v>1000000</v>
      </c>
      <c r="L344">
        <v>1369</v>
      </c>
      <c r="M344">
        <v>1369</v>
      </c>
      <c r="N344">
        <v>1838</v>
      </c>
      <c r="O344">
        <v>0</v>
      </c>
      <c r="P344">
        <v>-75</v>
      </c>
      <c r="Q344">
        <v>-127</v>
      </c>
      <c r="R344">
        <v>-122</v>
      </c>
      <c r="S344">
        <v>-71</v>
      </c>
      <c r="T344">
        <v>0</v>
      </c>
      <c r="U344">
        <v>8850</v>
      </c>
      <c r="V344">
        <v>12320.580133490001</v>
      </c>
      <c r="AH344">
        <f t="shared" si="50"/>
        <v>1369</v>
      </c>
      <c r="AI344">
        <f t="shared" si="51"/>
        <v>1838</v>
      </c>
      <c r="AJ344" t="str">
        <f t="shared" si="52"/>
        <v/>
      </c>
      <c r="AK344">
        <f t="shared" si="53"/>
        <v>-75</v>
      </c>
      <c r="AL344">
        <f t="shared" si="46"/>
        <v>-127</v>
      </c>
      <c r="AM344">
        <f t="shared" si="47"/>
        <v>-122</v>
      </c>
      <c r="AN344">
        <f t="shared" si="48"/>
        <v>-71</v>
      </c>
      <c r="AO344" t="str">
        <f t="shared" si="49"/>
        <v/>
      </c>
    </row>
    <row r="345" spans="1:41">
      <c r="A345">
        <f t="shared" si="54"/>
        <v>341</v>
      </c>
      <c r="B345" t="s">
        <v>268</v>
      </c>
      <c r="C345">
        <v>5</v>
      </c>
      <c r="D345">
        <v>5</v>
      </c>
      <c r="E345" t="s">
        <v>387</v>
      </c>
      <c r="F345">
        <v>412</v>
      </c>
      <c r="G345">
        <v>1</v>
      </c>
      <c r="H345">
        <v>80</v>
      </c>
      <c r="I345" t="s">
        <v>386</v>
      </c>
      <c r="J345" t="s">
        <v>386</v>
      </c>
      <c r="K345">
        <v>1000000</v>
      </c>
      <c r="L345">
        <v>1366</v>
      </c>
      <c r="M345">
        <v>1366</v>
      </c>
      <c r="N345">
        <v>1834</v>
      </c>
      <c r="O345">
        <v>0</v>
      </c>
      <c r="P345">
        <v>-80</v>
      </c>
      <c r="Q345">
        <v>-103</v>
      </c>
      <c r="R345">
        <v>-82</v>
      </c>
      <c r="S345">
        <v>-42</v>
      </c>
      <c r="T345">
        <v>0</v>
      </c>
      <c r="U345">
        <v>8837</v>
      </c>
      <c r="V345">
        <v>12313.240564870001</v>
      </c>
      <c r="AH345">
        <f t="shared" si="50"/>
        <v>1366</v>
      </c>
      <c r="AI345">
        <f t="shared" si="51"/>
        <v>1834</v>
      </c>
      <c r="AJ345" t="str">
        <f t="shared" si="52"/>
        <v/>
      </c>
      <c r="AK345">
        <f t="shared" si="53"/>
        <v>-80</v>
      </c>
      <c r="AL345">
        <f t="shared" si="46"/>
        <v>-103</v>
      </c>
      <c r="AM345">
        <f t="shared" si="47"/>
        <v>-82</v>
      </c>
      <c r="AN345">
        <f t="shared" si="48"/>
        <v>-42</v>
      </c>
      <c r="AO345" t="str">
        <f t="shared" si="49"/>
        <v/>
      </c>
    </row>
    <row r="346" spans="1:41">
      <c r="A346">
        <f t="shared" si="54"/>
        <v>342</v>
      </c>
      <c r="B346" t="s">
        <v>268</v>
      </c>
      <c r="C346">
        <v>5</v>
      </c>
      <c r="D346">
        <v>5</v>
      </c>
      <c r="E346" t="s">
        <v>387</v>
      </c>
      <c r="F346">
        <v>412</v>
      </c>
      <c r="G346">
        <v>1</v>
      </c>
      <c r="H346">
        <v>81</v>
      </c>
      <c r="I346" t="s">
        <v>386</v>
      </c>
      <c r="J346" t="s">
        <v>386</v>
      </c>
      <c r="K346">
        <v>1000000</v>
      </c>
      <c r="L346">
        <v>1364</v>
      </c>
      <c r="M346">
        <v>1364</v>
      </c>
      <c r="N346">
        <v>1832</v>
      </c>
      <c r="O346">
        <v>0</v>
      </c>
      <c r="P346">
        <v>-45</v>
      </c>
      <c r="Q346">
        <v>-47</v>
      </c>
      <c r="R346">
        <v>-31</v>
      </c>
      <c r="S346">
        <v>-14</v>
      </c>
      <c r="T346">
        <v>0</v>
      </c>
      <c r="U346">
        <v>8826</v>
      </c>
      <c r="V346">
        <v>12307.169326900001</v>
      </c>
      <c r="AH346">
        <f t="shared" si="50"/>
        <v>1364</v>
      </c>
      <c r="AI346">
        <f t="shared" si="51"/>
        <v>1832</v>
      </c>
      <c r="AJ346" t="str">
        <f t="shared" si="52"/>
        <v/>
      </c>
      <c r="AK346">
        <f t="shared" si="53"/>
        <v>-45</v>
      </c>
      <c r="AL346">
        <f t="shared" si="46"/>
        <v>-47</v>
      </c>
      <c r="AM346">
        <f t="shared" si="47"/>
        <v>-31</v>
      </c>
      <c r="AN346">
        <f t="shared" si="48"/>
        <v>-14</v>
      </c>
      <c r="AO346" t="str">
        <f t="shared" si="49"/>
        <v/>
      </c>
    </row>
    <row r="347" spans="1:41">
      <c r="A347">
        <f t="shared" si="54"/>
        <v>343</v>
      </c>
      <c r="B347" t="s">
        <v>268</v>
      </c>
      <c r="C347">
        <v>5</v>
      </c>
      <c r="D347">
        <v>5</v>
      </c>
      <c r="E347" t="s">
        <v>387</v>
      </c>
      <c r="F347">
        <v>412</v>
      </c>
      <c r="G347">
        <v>1</v>
      </c>
      <c r="H347">
        <v>82</v>
      </c>
      <c r="I347" t="s">
        <v>386</v>
      </c>
      <c r="J347" t="s">
        <v>386</v>
      </c>
      <c r="K347">
        <v>1000000</v>
      </c>
      <c r="L347">
        <v>1363</v>
      </c>
      <c r="M347">
        <v>1363</v>
      </c>
      <c r="N347">
        <v>1830</v>
      </c>
      <c r="O347">
        <v>0</v>
      </c>
      <c r="P347">
        <v>-12</v>
      </c>
      <c r="Q347">
        <v>-7</v>
      </c>
      <c r="R347">
        <v>-1</v>
      </c>
      <c r="S347">
        <v>1</v>
      </c>
      <c r="T347">
        <v>0</v>
      </c>
      <c r="U347">
        <v>8821</v>
      </c>
      <c r="V347">
        <v>12304.21491784</v>
      </c>
      <c r="AH347">
        <f t="shared" si="50"/>
        <v>1363</v>
      </c>
      <c r="AI347">
        <f t="shared" si="51"/>
        <v>1830</v>
      </c>
      <c r="AJ347" t="str">
        <f t="shared" si="52"/>
        <v/>
      </c>
      <c r="AK347">
        <f t="shared" si="53"/>
        <v>-12</v>
      </c>
      <c r="AL347">
        <f t="shared" si="46"/>
        <v>-7</v>
      </c>
      <c r="AM347">
        <f t="shared" si="47"/>
        <v>-1</v>
      </c>
      <c r="AN347">
        <f t="shared" si="48"/>
        <v>1</v>
      </c>
      <c r="AO347" t="str">
        <f t="shared" si="49"/>
        <v/>
      </c>
    </row>
    <row r="348" spans="1:41">
      <c r="A348">
        <f t="shared" si="54"/>
        <v>344</v>
      </c>
      <c r="B348" t="s">
        <v>268</v>
      </c>
      <c r="C348">
        <v>5</v>
      </c>
      <c r="D348">
        <v>5</v>
      </c>
      <c r="E348" t="s">
        <v>387</v>
      </c>
      <c r="F348">
        <v>412</v>
      </c>
      <c r="G348">
        <v>1</v>
      </c>
      <c r="H348">
        <v>83</v>
      </c>
      <c r="I348" t="s">
        <v>386</v>
      </c>
      <c r="J348" t="s">
        <v>386</v>
      </c>
      <c r="K348">
        <v>1000000</v>
      </c>
      <c r="L348">
        <v>1363</v>
      </c>
      <c r="M348">
        <v>1363</v>
      </c>
      <c r="N348">
        <v>1830</v>
      </c>
      <c r="O348">
        <v>0</v>
      </c>
      <c r="P348">
        <v>4</v>
      </c>
      <c r="Q348">
        <v>8</v>
      </c>
      <c r="R348">
        <v>8</v>
      </c>
      <c r="S348">
        <v>4</v>
      </c>
      <c r="T348">
        <v>0</v>
      </c>
      <c r="U348">
        <v>8820</v>
      </c>
      <c r="V348">
        <v>12303.63604695</v>
      </c>
      <c r="AH348">
        <f t="shared" si="50"/>
        <v>1363</v>
      </c>
      <c r="AI348">
        <f t="shared" si="51"/>
        <v>1830</v>
      </c>
      <c r="AJ348" t="str">
        <f t="shared" si="52"/>
        <v/>
      </c>
      <c r="AK348">
        <f t="shared" si="53"/>
        <v>4</v>
      </c>
      <c r="AL348">
        <f t="shared" si="46"/>
        <v>8</v>
      </c>
      <c r="AM348">
        <f t="shared" si="47"/>
        <v>8</v>
      </c>
      <c r="AN348">
        <f t="shared" si="48"/>
        <v>4</v>
      </c>
      <c r="AO348" t="str">
        <f t="shared" si="49"/>
        <v/>
      </c>
    </row>
    <row r="349" spans="1:41">
      <c r="A349">
        <f t="shared" si="54"/>
        <v>345</v>
      </c>
      <c r="B349" t="s">
        <v>268</v>
      </c>
      <c r="C349">
        <v>5</v>
      </c>
      <c r="D349">
        <v>5</v>
      </c>
      <c r="E349" t="s">
        <v>387</v>
      </c>
      <c r="F349">
        <v>412</v>
      </c>
      <c r="G349">
        <v>1</v>
      </c>
      <c r="H349">
        <v>84</v>
      </c>
      <c r="I349" t="s">
        <v>386</v>
      </c>
      <c r="J349" t="s">
        <v>386</v>
      </c>
      <c r="K349">
        <v>1000000</v>
      </c>
      <c r="L349">
        <v>1363</v>
      </c>
      <c r="M349">
        <v>1363</v>
      </c>
      <c r="N349">
        <v>1830</v>
      </c>
      <c r="O349">
        <v>0</v>
      </c>
      <c r="P349">
        <v>5</v>
      </c>
      <c r="Q349">
        <v>6</v>
      </c>
      <c r="R349">
        <v>5</v>
      </c>
      <c r="S349">
        <v>2</v>
      </c>
      <c r="T349">
        <v>0</v>
      </c>
      <c r="U349">
        <v>8820</v>
      </c>
      <c r="V349">
        <v>12303.99134244</v>
      </c>
      <c r="AH349">
        <f t="shared" si="50"/>
        <v>1363</v>
      </c>
      <c r="AI349">
        <f t="shared" si="51"/>
        <v>1830</v>
      </c>
      <c r="AJ349" t="str">
        <f t="shared" si="52"/>
        <v/>
      </c>
      <c r="AK349">
        <f t="shared" si="53"/>
        <v>5</v>
      </c>
      <c r="AL349">
        <f t="shared" si="46"/>
        <v>6</v>
      </c>
      <c r="AM349">
        <f t="shared" si="47"/>
        <v>5</v>
      </c>
      <c r="AN349">
        <f t="shared" si="48"/>
        <v>2</v>
      </c>
      <c r="AO349" t="str">
        <f t="shared" si="49"/>
        <v/>
      </c>
    </row>
    <row r="350" spans="1:41">
      <c r="A350">
        <f t="shared" si="54"/>
        <v>346</v>
      </c>
      <c r="B350" t="s">
        <v>268</v>
      </c>
      <c r="C350">
        <v>5</v>
      </c>
      <c r="D350">
        <v>5</v>
      </c>
      <c r="E350" t="s">
        <v>387</v>
      </c>
      <c r="F350">
        <v>412</v>
      </c>
      <c r="G350">
        <v>1</v>
      </c>
      <c r="H350">
        <v>85</v>
      </c>
      <c r="I350" t="s">
        <v>386</v>
      </c>
      <c r="J350" t="s">
        <v>386</v>
      </c>
      <c r="K350">
        <v>1000000</v>
      </c>
      <c r="L350">
        <v>1363</v>
      </c>
      <c r="M350">
        <v>1363</v>
      </c>
      <c r="N350">
        <v>1830</v>
      </c>
      <c r="O350">
        <v>0</v>
      </c>
      <c r="P350">
        <v>3</v>
      </c>
      <c r="Q350">
        <v>2</v>
      </c>
      <c r="R350">
        <v>1</v>
      </c>
      <c r="S350">
        <v>0</v>
      </c>
      <c r="T350">
        <v>0</v>
      </c>
      <c r="U350">
        <v>8821</v>
      </c>
      <c r="V350">
        <v>12304.36153821</v>
      </c>
      <c r="AH350">
        <f t="shared" si="50"/>
        <v>1363</v>
      </c>
      <c r="AI350">
        <f t="shared" si="51"/>
        <v>1830</v>
      </c>
      <c r="AJ350" t="str">
        <f t="shared" si="52"/>
        <v/>
      </c>
      <c r="AK350">
        <f t="shared" si="53"/>
        <v>3</v>
      </c>
      <c r="AL350">
        <f t="shared" si="46"/>
        <v>2</v>
      </c>
      <c r="AM350">
        <f t="shared" si="47"/>
        <v>1</v>
      </c>
      <c r="AN350" t="str">
        <f t="shared" si="48"/>
        <v/>
      </c>
      <c r="AO350" t="str">
        <f t="shared" si="49"/>
        <v/>
      </c>
    </row>
    <row r="351" spans="1:41">
      <c r="A351">
        <f t="shared" si="54"/>
        <v>347</v>
      </c>
      <c r="B351" t="s">
        <v>268</v>
      </c>
      <c r="C351">
        <v>5</v>
      </c>
      <c r="D351">
        <v>5</v>
      </c>
      <c r="E351" t="s">
        <v>387</v>
      </c>
      <c r="F351">
        <v>412</v>
      </c>
      <c r="G351">
        <v>1</v>
      </c>
      <c r="H351">
        <v>86</v>
      </c>
      <c r="I351" t="s">
        <v>386</v>
      </c>
      <c r="J351" t="s">
        <v>386</v>
      </c>
      <c r="K351">
        <v>1000000</v>
      </c>
      <c r="L351">
        <v>1363</v>
      </c>
      <c r="M351">
        <v>1363</v>
      </c>
      <c r="N351">
        <v>1830</v>
      </c>
      <c r="O351">
        <v>0</v>
      </c>
      <c r="P351">
        <v>0</v>
      </c>
      <c r="Q351">
        <v>-1</v>
      </c>
      <c r="R351">
        <v>0</v>
      </c>
      <c r="S351">
        <v>0</v>
      </c>
      <c r="T351">
        <v>0</v>
      </c>
      <c r="U351">
        <v>8821</v>
      </c>
      <c r="V351">
        <v>12304.524181360001</v>
      </c>
      <c r="AH351">
        <f t="shared" si="50"/>
        <v>1363</v>
      </c>
      <c r="AI351">
        <f t="shared" si="51"/>
        <v>1830</v>
      </c>
      <c r="AJ351" t="str">
        <f t="shared" si="52"/>
        <v/>
      </c>
      <c r="AK351" t="str">
        <f t="shared" si="53"/>
        <v/>
      </c>
      <c r="AL351">
        <f t="shared" si="46"/>
        <v>-1</v>
      </c>
      <c r="AM351" t="str">
        <f t="shared" si="47"/>
        <v/>
      </c>
      <c r="AN351" t="str">
        <f t="shared" si="48"/>
        <v/>
      </c>
      <c r="AO351" t="str">
        <f t="shared" si="49"/>
        <v/>
      </c>
    </row>
    <row r="352" spans="1:41">
      <c r="A352">
        <f t="shared" si="54"/>
        <v>348</v>
      </c>
      <c r="B352" t="s">
        <v>268</v>
      </c>
      <c r="C352">
        <v>5</v>
      </c>
      <c r="D352">
        <v>5</v>
      </c>
      <c r="E352" t="s">
        <v>387</v>
      </c>
      <c r="F352">
        <v>412</v>
      </c>
      <c r="G352">
        <v>1</v>
      </c>
      <c r="H352">
        <v>87</v>
      </c>
      <c r="I352" t="s">
        <v>386</v>
      </c>
      <c r="J352" t="s">
        <v>386</v>
      </c>
      <c r="K352">
        <v>1000000</v>
      </c>
      <c r="L352">
        <v>1363</v>
      </c>
      <c r="M352">
        <v>1363</v>
      </c>
      <c r="N352">
        <v>1830</v>
      </c>
      <c r="O352">
        <v>0</v>
      </c>
      <c r="P352">
        <v>-1</v>
      </c>
      <c r="Q352">
        <v>-1</v>
      </c>
      <c r="R352">
        <v>0</v>
      </c>
      <c r="S352">
        <v>0</v>
      </c>
      <c r="T352">
        <v>0</v>
      </c>
      <c r="U352">
        <v>8821</v>
      </c>
      <c r="V352">
        <v>12304.526335750001</v>
      </c>
      <c r="AH352">
        <f t="shared" si="50"/>
        <v>1363</v>
      </c>
      <c r="AI352">
        <f t="shared" si="51"/>
        <v>1830</v>
      </c>
      <c r="AJ352" t="str">
        <f t="shared" si="52"/>
        <v/>
      </c>
      <c r="AK352">
        <f t="shared" si="53"/>
        <v>-1</v>
      </c>
      <c r="AL352">
        <f t="shared" si="46"/>
        <v>-1</v>
      </c>
      <c r="AM352" t="str">
        <f t="shared" si="47"/>
        <v/>
      </c>
      <c r="AN352" t="str">
        <f t="shared" si="48"/>
        <v/>
      </c>
      <c r="AO352" t="str">
        <f t="shared" si="49"/>
        <v/>
      </c>
    </row>
    <row r="353" spans="1:41">
      <c r="A353">
        <f t="shared" si="54"/>
        <v>349</v>
      </c>
      <c r="B353" t="s">
        <v>268</v>
      </c>
      <c r="C353">
        <v>5</v>
      </c>
      <c r="D353">
        <v>5</v>
      </c>
      <c r="E353" t="s">
        <v>387</v>
      </c>
      <c r="F353">
        <v>412</v>
      </c>
      <c r="G353">
        <v>1</v>
      </c>
      <c r="H353">
        <v>88</v>
      </c>
      <c r="I353" t="s">
        <v>386</v>
      </c>
      <c r="J353" t="s">
        <v>386</v>
      </c>
      <c r="K353">
        <v>1000000</v>
      </c>
      <c r="L353">
        <v>1363</v>
      </c>
      <c r="M353">
        <v>1363</v>
      </c>
      <c r="N353">
        <v>1830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8821</v>
      </c>
      <c r="V353">
        <v>12304.472810429999</v>
      </c>
      <c r="AH353">
        <f t="shared" si="50"/>
        <v>1363</v>
      </c>
      <c r="AI353">
        <f t="shared" si="51"/>
        <v>1830</v>
      </c>
      <c r="AJ353" t="str">
        <f t="shared" si="52"/>
        <v/>
      </c>
      <c r="AK353" t="str">
        <f t="shared" si="53"/>
        <v/>
      </c>
      <c r="AL353" t="str">
        <f t="shared" si="46"/>
        <v/>
      </c>
      <c r="AM353" t="str">
        <f t="shared" si="47"/>
        <v/>
      </c>
      <c r="AN353" t="str">
        <f t="shared" si="48"/>
        <v/>
      </c>
      <c r="AO353" t="str">
        <f t="shared" si="49"/>
        <v/>
      </c>
    </row>
    <row r="354" spans="1:41">
      <c r="A354">
        <f t="shared" si="54"/>
        <v>350</v>
      </c>
      <c r="B354" t="s">
        <v>268</v>
      </c>
      <c r="C354">
        <v>5</v>
      </c>
      <c r="D354">
        <v>5</v>
      </c>
      <c r="E354" t="s">
        <v>387</v>
      </c>
      <c r="F354">
        <v>412</v>
      </c>
      <c r="G354">
        <v>1</v>
      </c>
      <c r="H354">
        <v>89</v>
      </c>
      <c r="I354" t="s">
        <v>386</v>
      </c>
      <c r="J354" t="s">
        <v>386</v>
      </c>
      <c r="K354">
        <v>1000000</v>
      </c>
      <c r="L354">
        <v>1363</v>
      </c>
      <c r="M354">
        <v>1363</v>
      </c>
      <c r="N354">
        <v>1830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8821</v>
      </c>
      <c r="V354">
        <v>12304.472810429999</v>
      </c>
      <c r="AH354">
        <f t="shared" si="50"/>
        <v>1363</v>
      </c>
      <c r="AI354">
        <f t="shared" si="51"/>
        <v>1830</v>
      </c>
      <c r="AJ354" t="str">
        <f t="shared" si="52"/>
        <v/>
      </c>
      <c r="AK354" t="str">
        <f t="shared" si="53"/>
        <v/>
      </c>
      <c r="AL354" t="str">
        <f t="shared" si="46"/>
        <v/>
      </c>
      <c r="AM354" t="str">
        <f t="shared" si="47"/>
        <v/>
      </c>
      <c r="AN354" t="str">
        <f t="shared" si="48"/>
        <v/>
      </c>
      <c r="AO354" t="str">
        <f t="shared" si="49"/>
        <v/>
      </c>
    </row>
    <row r="355" spans="1:41">
      <c r="A355">
        <f t="shared" si="54"/>
        <v>351</v>
      </c>
      <c r="B355" t="s">
        <v>268</v>
      </c>
      <c r="C355">
        <v>5</v>
      </c>
      <c r="D355">
        <v>5</v>
      </c>
      <c r="E355" t="s">
        <v>387</v>
      </c>
      <c r="F355">
        <v>412</v>
      </c>
      <c r="G355">
        <v>1</v>
      </c>
      <c r="H355">
        <v>90</v>
      </c>
      <c r="I355" t="s">
        <v>386</v>
      </c>
      <c r="J355" t="s">
        <v>386</v>
      </c>
      <c r="K355">
        <v>1000000</v>
      </c>
      <c r="L355">
        <v>1363</v>
      </c>
      <c r="M355">
        <v>1363</v>
      </c>
      <c r="N355">
        <v>1830</v>
      </c>
      <c r="O355">
        <v>0</v>
      </c>
      <c r="P355">
        <v>1</v>
      </c>
      <c r="Q355">
        <v>3</v>
      </c>
      <c r="R355">
        <v>4</v>
      </c>
      <c r="S355">
        <v>6</v>
      </c>
      <c r="T355">
        <v>0</v>
      </c>
      <c r="U355">
        <v>8822</v>
      </c>
      <c r="V355">
        <v>12304.79070994</v>
      </c>
      <c r="AH355">
        <f t="shared" si="50"/>
        <v>1363</v>
      </c>
      <c r="AI355">
        <f t="shared" si="51"/>
        <v>1830</v>
      </c>
      <c r="AJ355" t="str">
        <f t="shared" si="52"/>
        <v/>
      </c>
      <c r="AK355">
        <f t="shared" si="53"/>
        <v>1</v>
      </c>
      <c r="AL355">
        <f t="shared" si="46"/>
        <v>3</v>
      </c>
      <c r="AM355">
        <f t="shared" si="47"/>
        <v>4</v>
      </c>
      <c r="AN355">
        <f t="shared" si="48"/>
        <v>6</v>
      </c>
      <c r="AO355" t="str">
        <f t="shared" si="49"/>
        <v/>
      </c>
    </row>
    <row r="356" spans="1:41">
      <c r="A356">
        <f t="shared" si="54"/>
        <v>352</v>
      </c>
      <c r="B356" t="s">
        <v>268</v>
      </c>
      <c r="C356">
        <v>5</v>
      </c>
      <c r="D356">
        <v>5</v>
      </c>
      <c r="E356" t="s">
        <v>387</v>
      </c>
      <c r="F356">
        <v>412</v>
      </c>
      <c r="G356">
        <v>1</v>
      </c>
      <c r="H356">
        <v>91</v>
      </c>
      <c r="I356" t="s">
        <v>386</v>
      </c>
      <c r="J356" t="s">
        <v>386</v>
      </c>
      <c r="K356">
        <v>1000000</v>
      </c>
      <c r="L356">
        <v>1364</v>
      </c>
      <c r="M356">
        <v>1364</v>
      </c>
      <c r="N356">
        <v>1831</v>
      </c>
      <c r="O356">
        <v>0</v>
      </c>
      <c r="P356">
        <v>5</v>
      </c>
      <c r="Q356">
        <v>10</v>
      </c>
      <c r="R356">
        <v>15</v>
      </c>
      <c r="S356">
        <v>13</v>
      </c>
      <c r="T356">
        <v>0</v>
      </c>
      <c r="U356">
        <v>8823</v>
      </c>
      <c r="V356">
        <v>12305.62149351</v>
      </c>
      <c r="AH356">
        <f t="shared" si="50"/>
        <v>1364</v>
      </c>
      <c r="AI356">
        <f t="shared" si="51"/>
        <v>1831</v>
      </c>
      <c r="AJ356" t="str">
        <f t="shared" si="52"/>
        <v/>
      </c>
      <c r="AK356">
        <f t="shared" si="53"/>
        <v>5</v>
      </c>
      <c r="AL356">
        <f t="shared" si="46"/>
        <v>10</v>
      </c>
      <c r="AM356">
        <f t="shared" si="47"/>
        <v>15</v>
      </c>
      <c r="AN356">
        <f t="shared" si="48"/>
        <v>13</v>
      </c>
      <c r="AO356" t="str">
        <f t="shared" si="49"/>
        <v/>
      </c>
    </row>
    <row r="357" spans="1:41">
      <c r="A357">
        <f t="shared" si="54"/>
        <v>353</v>
      </c>
      <c r="B357" t="s">
        <v>268</v>
      </c>
      <c r="C357">
        <v>5</v>
      </c>
      <c r="D357">
        <v>5</v>
      </c>
      <c r="E357" t="s">
        <v>387</v>
      </c>
      <c r="F357">
        <v>412</v>
      </c>
      <c r="G357">
        <v>1</v>
      </c>
      <c r="H357">
        <v>92</v>
      </c>
      <c r="I357" t="s">
        <v>386</v>
      </c>
      <c r="J357" t="s">
        <v>386</v>
      </c>
      <c r="K357">
        <v>1000000</v>
      </c>
      <c r="L357">
        <v>1364</v>
      </c>
      <c r="M357">
        <v>1364</v>
      </c>
      <c r="N357">
        <v>1831</v>
      </c>
      <c r="O357">
        <v>0</v>
      </c>
      <c r="P357">
        <v>6</v>
      </c>
      <c r="Q357">
        <v>12</v>
      </c>
      <c r="R357">
        <v>11</v>
      </c>
      <c r="S357">
        <v>-1</v>
      </c>
      <c r="T357">
        <v>0</v>
      </c>
      <c r="U357">
        <v>8824</v>
      </c>
      <c r="V357">
        <v>12305.89673902</v>
      </c>
      <c r="AH357">
        <f t="shared" si="50"/>
        <v>1364</v>
      </c>
      <c r="AI357">
        <f t="shared" si="51"/>
        <v>1831</v>
      </c>
      <c r="AJ357" t="str">
        <f t="shared" si="52"/>
        <v/>
      </c>
      <c r="AK357">
        <f t="shared" si="53"/>
        <v>6</v>
      </c>
      <c r="AL357">
        <f t="shared" si="46"/>
        <v>12</v>
      </c>
      <c r="AM357">
        <f t="shared" si="47"/>
        <v>11</v>
      </c>
      <c r="AN357">
        <f t="shared" si="48"/>
        <v>-1</v>
      </c>
      <c r="AO357" t="str">
        <f t="shared" si="49"/>
        <v/>
      </c>
    </row>
    <row r="358" spans="1:41">
      <c r="A358">
        <f t="shared" si="54"/>
        <v>354</v>
      </c>
      <c r="B358" t="s">
        <v>268</v>
      </c>
      <c r="C358">
        <v>5</v>
      </c>
      <c r="D358">
        <v>5</v>
      </c>
      <c r="E358" t="s">
        <v>387</v>
      </c>
      <c r="F358">
        <v>412</v>
      </c>
      <c r="G358">
        <v>1</v>
      </c>
      <c r="H358">
        <v>93</v>
      </c>
      <c r="I358" t="s">
        <v>386</v>
      </c>
      <c r="J358" t="s">
        <v>386</v>
      </c>
      <c r="K358">
        <v>1000000</v>
      </c>
      <c r="L358">
        <v>1363</v>
      </c>
      <c r="M358">
        <v>1363</v>
      </c>
      <c r="N358">
        <v>1830</v>
      </c>
      <c r="O358">
        <v>0</v>
      </c>
      <c r="P358">
        <v>-6</v>
      </c>
      <c r="Q358">
        <v>-19</v>
      </c>
      <c r="R358">
        <v>-44</v>
      </c>
      <c r="S358">
        <v>-57</v>
      </c>
      <c r="T358">
        <v>0</v>
      </c>
      <c r="U358">
        <v>8819</v>
      </c>
      <c r="V358">
        <v>12303.095421649999</v>
      </c>
      <c r="AH358">
        <f t="shared" si="50"/>
        <v>1363</v>
      </c>
      <c r="AI358">
        <f t="shared" si="51"/>
        <v>1830</v>
      </c>
      <c r="AJ358" t="str">
        <f t="shared" si="52"/>
        <v/>
      </c>
      <c r="AK358">
        <f t="shared" si="53"/>
        <v>-6</v>
      </c>
      <c r="AL358">
        <f t="shared" si="46"/>
        <v>-19</v>
      </c>
      <c r="AM358">
        <f t="shared" si="47"/>
        <v>-44</v>
      </c>
      <c r="AN358">
        <f t="shared" si="48"/>
        <v>-57</v>
      </c>
      <c r="AO358" t="str">
        <f t="shared" si="49"/>
        <v/>
      </c>
    </row>
    <row r="359" spans="1:41">
      <c r="A359">
        <f t="shared" si="54"/>
        <v>355</v>
      </c>
      <c r="B359" t="s">
        <v>268</v>
      </c>
      <c r="C359">
        <v>5</v>
      </c>
      <c r="D359">
        <v>5</v>
      </c>
      <c r="E359" t="s">
        <v>387</v>
      </c>
      <c r="F359">
        <v>412</v>
      </c>
      <c r="G359">
        <v>1</v>
      </c>
      <c r="H359">
        <v>94</v>
      </c>
      <c r="I359" t="s">
        <v>386</v>
      </c>
      <c r="J359" t="s">
        <v>386</v>
      </c>
      <c r="K359">
        <v>1000000</v>
      </c>
      <c r="L359">
        <v>1360</v>
      </c>
      <c r="M359">
        <v>1360</v>
      </c>
      <c r="N359">
        <v>1826</v>
      </c>
      <c r="O359">
        <v>0</v>
      </c>
      <c r="P359">
        <v>-50</v>
      </c>
      <c r="Q359">
        <v>-112</v>
      </c>
      <c r="R359">
        <v>-165</v>
      </c>
      <c r="S359">
        <v>-149</v>
      </c>
      <c r="T359">
        <v>0</v>
      </c>
      <c r="U359">
        <v>8803</v>
      </c>
      <c r="V359">
        <v>12294.317788910001</v>
      </c>
      <c r="AH359">
        <f t="shared" si="50"/>
        <v>1360</v>
      </c>
      <c r="AI359">
        <f t="shared" si="51"/>
        <v>1826</v>
      </c>
      <c r="AJ359" t="str">
        <f t="shared" si="52"/>
        <v/>
      </c>
      <c r="AK359">
        <f t="shared" si="53"/>
        <v>-50</v>
      </c>
      <c r="AL359">
        <f t="shared" si="46"/>
        <v>-112</v>
      </c>
      <c r="AM359">
        <f t="shared" si="47"/>
        <v>-165</v>
      </c>
      <c r="AN359">
        <f t="shared" si="48"/>
        <v>-149</v>
      </c>
      <c r="AO359" t="str">
        <f t="shared" si="49"/>
        <v/>
      </c>
    </row>
    <row r="360" spans="1:41">
      <c r="A360">
        <f t="shared" si="54"/>
        <v>356</v>
      </c>
      <c r="B360" t="s">
        <v>268</v>
      </c>
      <c r="C360">
        <v>5</v>
      </c>
      <c r="D360">
        <v>5</v>
      </c>
      <c r="E360" t="s">
        <v>387</v>
      </c>
      <c r="F360">
        <v>412</v>
      </c>
      <c r="G360">
        <v>1</v>
      </c>
      <c r="H360">
        <v>95</v>
      </c>
      <c r="I360" t="s">
        <v>386</v>
      </c>
      <c r="J360" t="s">
        <v>386</v>
      </c>
      <c r="K360">
        <v>1000000</v>
      </c>
      <c r="L360">
        <v>1354</v>
      </c>
      <c r="M360">
        <v>1354</v>
      </c>
      <c r="N360">
        <v>1818</v>
      </c>
      <c r="O360">
        <v>0</v>
      </c>
      <c r="P360">
        <v>-130</v>
      </c>
      <c r="Q360">
        <v>-252</v>
      </c>
      <c r="R360">
        <v>-310</v>
      </c>
      <c r="S360">
        <v>-237</v>
      </c>
      <c r="T360">
        <v>0</v>
      </c>
      <c r="U360">
        <v>8773</v>
      </c>
      <c r="V360">
        <v>12277.694776779999</v>
      </c>
      <c r="AH360">
        <f t="shared" si="50"/>
        <v>1354</v>
      </c>
      <c r="AI360">
        <f t="shared" si="51"/>
        <v>1818</v>
      </c>
      <c r="AJ360" t="str">
        <f t="shared" si="52"/>
        <v/>
      </c>
      <c r="AK360">
        <f t="shared" si="53"/>
        <v>-130</v>
      </c>
      <c r="AL360">
        <f t="shared" si="46"/>
        <v>-252</v>
      </c>
      <c r="AM360">
        <f t="shared" si="47"/>
        <v>-310</v>
      </c>
      <c r="AN360">
        <f t="shared" si="48"/>
        <v>-237</v>
      </c>
      <c r="AO360" t="str">
        <f t="shared" si="49"/>
        <v/>
      </c>
    </row>
    <row r="361" spans="1:41">
      <c r="A361">
        <f t="shared" si="54"/>
        <v>357</v>
      </c>
      <c r="B361" t="s">
        <v>268</v>
      </c>
      <c r="C361">
        <v>4</v>
      </c>
      <c r="D361">
        <v>4</v>
      </c>
      <c r="E361" t="s">
        <v>387</v>
      </c>
      <c r="F361">
        <v>412</v>
      </c>
      <c r="G361">
        <v>1</v>
      </c>
      <c r="H361">
        <v>96</v>
      </c>
      <c r="I361" t="s">
        <v>386</v>
      </c>
      <c r="J361" t="s">
        <v>386</v>
      </c>
      <c r="K361">
        <v>1000000</v>
      </c>
      <c r="L361">
        <v>1351</v>
      </c>
      <c r="M361">
        <v>1351</v>
      </c>
      <c r="N361">
        <v>1864</v>
      </c>
      <c r="O361">
        <v>0</v>
      </c>
      <c r="P361">
        <v>-153</v>
      </c>
      <c r="Q361">
        <v>-242</v>
      </c>
      <c r="R361">
        <v>-202</v>
      </c>
      <c r="S361">
        <v>0</v>
      </c>
      <c r="T361" t="s">
        <v>386</v>
      </c>
      <c r="U361">
        <v>8954</v>
      </c>
      <c r="V361">
        <v>11473.31143159</v>
      </c>
      <c r="AH361">
        <f t="shared" si="50"/>
        <v>1351</v>
      </c>
      <c r="AI361">
        <f t="shared" si="51"/>
        <v>1864</v>
      </c>
      <c r="AJ361" t="str">
        <f t="shared" si="52"/>
        <v/>
      </c>
      <c r="AK361">
        <f t="shared" si="53"/>
        <v>-153</v>
      </c>
      <c r="AL361">
        <f t="shared" si="46"/>
        <v>-242</v>
      </c>
      <c r="AM361">
        <f t="shared" si="47"/>
        <v>-202</v>
      </c>
      <c r="AN361" t="str">
        <f t="shared" si="48"/>
        <v/>
      </c>
      <c r="AO361" t="e">
        <f t="shared" si="49"/>
        <v>#VALUE!</v>
      </c>
    </row>
    <row r="362" spans="1:41">
      <c r="A362">
        <f t="shared" si="54"/>
        <v>358</v>
      </c>
      <c r="B362" t="s">
        <v>268</v>
      </c>
      <c r="C362">
        <v>3</v>
      </c>
      <c r="D362">
        <v>3</v>
      </c>
      <c r="E362" t="s">
        <v>387</v>
      </c>
      <c r="F362">
        <v>412</v>
      </c>
      <c r="G362">
        <v>1</v>
      </c>
      <c r="H362">
        <v>97</v>
      </c>
      <c r="I362" t="s">
        <v>386</v>
      </c>
      <c r="J362" t="s">
        <v>386</v>
      </c>
      <c r="K362">
        <v>1000000</v>
      </c>
      <c r="L362">
        <v>1347</v>
      </c>
      <c r="M362">
        <v>1347</v>
      </c>
      <c r="N362">
        <v>1946</v>
      </c>
      <c r="O362">
        <v>0</v>
      </c>
      <c r="P362">
        <v>-138</v>
      </c>
      <c r="Q362">
        <v>-149</v>
      </c>
      <c r="R362">
        <v>0</v>
      </c>
      <c r="S362" t="s">
        <v>386</v>
      </c>
      <c r="T362" t="s">
        <v>386</v>
      </c>
      <c r="U362">
        <v>9279</v>
      </c>
      <c r="V362">
        <v>10669.615394390001</v>
      </c>
      <c r="AH362">
        <f t="shared" si="50"/>
        <v>1347</v>
      </c>
      <c r="AI362">
        <f t="shared" si="51"/>
        <v>1946</v>
      </c>
      <c r="AJ362" t="str">
        <f t="shared" si="52"/>
        <v/>
      </c>
      <c r="AK362">
        <f t="shared" si="53"/>
        <v>-138</v>
      </c>
      <c r="AL362">
        <f t="shared" si="46"/>
        <v>-149</v>
      </c>
      <c r="AM362" t="str">
        <f t="shared" si="47"/>
        <v/>
      </c>
      <c r="AN362" t="e">
        <f t="shared" si="48"/>
        <v>#VALUE!</v>
      </c>
      <c r="AO362" t="e">
        <f t="shared" si="49"/>
        <v>#VALUE!</v>
      </c>
    </row>
    <row r="363" spans="1:41">
      <c r="A363">
        <f t="shared" si="54"/>
        <v>359</v>
      </c>
      <c r="B363" t="s">
        <v>268</v>
      </c>
      <c r="C363">
        <v>2</v>
      </c>
      <c r="D363">
        <v>2</v>
      </c>
      <c r="E363" t="s">
        <v>387</v>
      </c>
      <c r="F363">
        <v>412</v>
      </c>
      <c r="G363">
        <v>1</v>
      </c>
      <c r="H363">
        <v>98</v>
      </c>
      <c r="I363" t="s">
        <v>386</v>
      </c>
      <c r="J363" t="s">
        <v>386</v>
      </c>
      <c r="K363">
        <v>1000000</v>
      </c>
      <c r="L363">
        <v>1341</v>
      </c>
      <c r="M363">
        <v>1341</v>
      </c>
      <c r="N363">
        <v>2063</v>
      </c>
      <c r="O363">
        <v>0</v>
      </c>
      <c r="P363">
        <v>-79</v>
      </c>
      <c r="Q363">
        <v>0</v>
      </c>
      <c r="R363" t="s">
        <v>386</v>
      </c>
      <c r="S363" t="s">
        <v>386</v>
      </c>
      <c r="T363" t="s">
        <v>386</v>
      </c>
      <c r="U363">
        <v>8651</v>
      </c>
      <c r="V363">
        <v>9869.4817437300007</v>
      </c>
      <c r="AH363">
        <f t="shared" si="50"/>
        <v>1341</v>
      </c>
      <c r="AI363">
        <f t="shared" si="51"/>
        <v>2063</v>
      </c>
      <c r="AJ363" t="str">
        <f t="shared" si="52"/>
        <v/>
      </c>
      <c r="AK363">
        <f t="shared" si="53"/>
        <v>-79</v>
      </c>
      <c r="AL363" t="str">
        <f t="shared" si="46"/>
        <v/>
      </c>
      <c r="AM363" t="e">
        <f t="shared" si="47"/>
        <v>#VALUE!</v>
      </c>
      <c r="AN363" t="e">
        <f t="shared" si="48"/>
        <v>#VALUE!</v>
      </c>
      <c r="AO363" t="e">
        <f t="shared" si="49"/>
        <v>#VALUE!</v>
      </c>
    </row>
    <row r="364" spans="1:41">
      <c r="A364">
        <f t="shared" si="54"/>
        <v>360</v>
      </c>
      <c r="B364" t="s">
        <v>268</v>
      </c>
      <c r="C364">
        <v>1</v>
      </c>
      <c r="D364">
        <v>1</v>
      </c>
      <c r="E364" t="s">
        <v>387</v>
      </c>
      <c r="F364">
        <v>412</v>
      </c>
      <c r="G364">
        <v>1</v>
      </c>
      <c r="H364">
        <v>99</v>
      </c>
      <c r="I364" t="s">
        <v>386</v>
      </c>
      <c r="J364" t="s">
        <v>386</v>
      </c>
      <c r="K364">
        <v>1000000</v>
      </c>
      <c r="L364">
        <v>1334</v>
      </c>
      <c r="M364">
        <v>1334</v>
      </c>
      <c r="N364">
        <v>2403</v>
      </c>
      <c r="O364">
        <v>0</v>
      </c>
      <c r="P364">
        <v>0</v>
      </c>
      <c r="Q364" t="s">
        <v>386</v>
      </c>
      <c r="R364" t="s">
        <v>386</v>
      </c>
      <c r="S364" t="s">
        <v>386</v>
      </c>
      <c r="T364" t="s">
        <v>386</v>
      </c>
      <c r="U364">
        <v>7767</v>
      </c>
      <c r="V364">
        <v>9075.9798508200001</v>
      </c>
      <c r="AH364">
        <f t="shared" si="50"/>
        <v>1334</v>
      </c>
      <c r="AI364">
        <f t="shared" si="51"/>
        <v>2403</v>
      </c>
      <c r="AJ364" t="str">
        <f t="shared" si="52"/>
        <v/>
      </c>
      <c r="AK364" t="str">
        <f t="shared" si="53"/>
        <v/>
      </c>
      <c r="AL364" t="e">
        <f t="shared" si="46"/>
        <v>#VALUE!</v>
      </c>
      <c r="AM364" t="e">
        <f t="shared" si="47"/>
        <v>#VALUE!</v>
      </c>
      <c r="AN364" t="e">
        <f t="shared" si="48"/>
        <v>#VALUE!</v>
      </c>
      <c r="AO364" t="e">
        <f t="shared" si="49"/>
        <v>#VALUE!</v>
      </c>
    </row>
    <row r="365" spans="1:41">
      <c r="A365">
        <f t="shared" si="54"/>
        <v>361</v>
      </c>
      <c r="B365" t="s">
        <v>268</v>
      </c>
      <c r="C365">
        <v>5</v>
      </c>
      <c r="D365">
        <v>5</v>
      </c>
      <c r="E365" t="s">
        <v>385</v>
      </c>
      <c r="F365">
        <v>412</v>
      </c>
      <c r="G365">
        <v>2</v>
      </c>
      <c r="H365">
        <v>30</v>
      </c>
      <c r="I365" t="s">
        <v>386</v>
      </c>
      <c r="J365" t="s">
        <v>386</v>
      </c>
      <c r="K365">
        <v>1000000</v>
      </c>
      <c r="L365">
        <v>16</v>
      </c>
      <c r="M365">
        <v>16</v>
      </c>
      <c r="N365">
        <v>55</v>
      </c>
      <c r="O365">
        <v>0</v>
      </c>
      <c r="P365">
        <v>26</v>
      </c>
      <c r="Q365">
        <v>39</v>
      </c>
      <c r="R365">
        <v>38</v>
      </c>
      <c r="S365">
        <v>25</v>
      </c>
      <c r="T365">
        <v>0</v>
      </c>
      <c r="U365">
        <v>1663</v>
      </c>
      <c r="V365">
        <v>8338.9268362900002</v>
      </c>
      <c r="AH365">
        <f t="shared" si="50"/>
        <v>16</v>
      </c>
      <c r="AI365">
        <f t="shared" si="51"/>
        <v>55</v>
      </c>
      <c r="AJ365" t="str">
        <f t="shared" si="52"/>
        <v/>
      </c>
      <c r="AK365">
        <f t="shared" si="53"/>
        <v>26</v>
      </c>
      <c r="AL365">
        <f t="shared" si="46"/>
        <v>39</v>
      </c>
      <c r="AM365">
        <f t="shared" si="47"/>
        <v>38</v>
      </c>
      <c r="AN365">
        <f t="shared" si="48"/>
        <v>25</v>
      </c>
      <c r="AO365" t="str">
        <f t="shared" si="49"/>
        <v/>
      </c>
    </row>
    <row r="366" spans="1:41">
      <c r="A366">
        <f t="shared" si="54"/>
        <v>362</v>
      </c>
      <c r="B366" t="s">
        <v>268</v>
      </c>
      <c r="C366">
        <v>5</v>
      </c>
      <c r="D366">
        <v>5</v>
      </c>
      <c r="E366" t="s">
        <v>385</v>
      </c>
      <c r="F366">
        <v>412</v>
      </c>
      <c r="G366">
        <v>2</v>
      </c>
      <c r="H366">
        <v>31</v>
      </c>
      <c r="I366" t="s">
        <v>386</v>
      </c>
      <c r="J366" t="s">
        <v>386</v>
      </c>
      <c r="K366">
        <v>1000000</v>
      </c>
      <c r="L366">
        <v>17</v>
      </c>
      <c r="M366">
        <v>17</v>
      </c>
      <c r="N366">
        <v>56</v>
      </c>
      <c r="O366">
        <v>0</v>
      </c>
      <c r="P366">
        <v>24</v>
      </c>
      <c r="Q366">
        <v>36</v>
      </c>
      <c r="R366">
        <v>35</v>
      </c>
      <c r="S366">
        <v>23</v>
      </c>
      <c r="T366">
        <v>0</v>
      </c>
      <c r="U366">
        <v>1669</v>
      </c>
      <c r="V366">
        <v>8341.9515926099994</v>
      </c>
      <c r="AH366">
        <f t="shared" si="50"/>
        <v>17</v>
      </c>
      <c r="AI366">
        <f t="shared" si="51"/>
        <v>56</v>
      </c>
      <c r="AJ366" t="str">
        <f t="shared" si="52"/>
        <v/>
      </c>
      <c r="AK366">
        <f t="shared" si="53"/>
        <v>24</v>
      </c>
      <c r="AL366">
        <f t="shared" si="46"/>
        <v>36</v>
      </c>
      <c r="AM366">
        <f t="shared" si="47"/>
        <v>35</v>
      </c>
      <c r="AN366">
        <f t="shared" si="48"/>
        <v>23</v>
      </c>
      <c r="AO366" t="str">
        <f t="shared" si="49"/>
        <v/>
      </c>
    </row>
    <row r="367" spans="1:41">
      <c r="A367">
        <f t="shared" si="54"/>
        <v>363</v>
      </c>
      <c r="B367" t="s">
        <v>268</v>
      </c>
      <c r="C367">
        <v>5</v>
      </c>
      <c r="D367">
        <v>5</v>
      </c>
      <c r="E367" t="s">
        <v>385</v>
      </c>
      <c r="F367">
        <v>412</v>
      </c>
      <c r="G367">
        <v>2</v>
      </c>
      <c r="H367">
        <v>32</v>
      </c>
      <c r="I367" t="s">
        <v>386</v>
      </c>
      <c r="J367" t="s">
        <v>386</v>
      </c>
      <c r="K367">
        <v>1000000</v>
      </c>
      <c r="L367">
        <v>18</v>
      </c>
      <c r="M367">
        <v>18</v>
      </c>
      <c r="N367">
        <v>58</v>
      </c>
      <c r="O367">
        <v>0</v>
      </c>
      <c r="P367">
        <v>23</v>
      </c>
      <c r="Q367">
        <v>32</v>
      </c>
      <c r="R367">
        <v>32</v>
      </c>
      <c r="S367">
        <v>20</v>
      </c>
      <c r="T367">
        <v>0</v>
      </c>
      <c r="U367">
        <v>1674</v>
      </c>
      <c r="V367">
        <v>8344.7306788400001</v>
      </c>
      <c r="AH367">
        <f t="shared" si="50"/>
        <v>18</v>
      </c>
      <c r="AI367">
        <f t="shared" si="51"/>
        <v>58</v>
      </c>
      <c r="AJ367" t="str">
        <f t="shared" si="52"/>
        <v/>
      </c>
      <c r="AK367">
        <f t="shared" si="53"/>
        <v>23</v>
      </c>
      <c r="AL367">
        <f t="shared" si="46"/>
        <v>32</v>
      </c>
      <c r="AM367">
        <f t="shared" si="47"/>
        <v>32</v>
      </c>
      <c r="AN367">
        <f t="shared" si="48"/>
        <v>20</v>
      </c>
      <c r="AO367" t="str">
        <f t="shared" si="49"/>
        <v/>
      </c>
    </row>
    <row r="368" spans="1:41">
      <c r="A368">
        <f t="shared" si="54"/>
        <v>364</v>
      </c>
      <c r="B368" t="s">
        <v>268</v>
      </c>
      <c r="C368">
        <v>5</v>
      </c>
      <c r="D368">
        <v>5</v>
      </c>
      <c r="E368" t="s">
        <v>385</v>
      </c>
      <c r="F368">
        <v>412</v>
      </c>
      <c r="G368">
        <v>2</v>
      </c>
      <c r="H368">
        <v>33</v>
      </c>
      <c r="I368" t="s">
        <v>386</v>
      </c>
      <c r="J368" t="s">
        <v>386</v>
      </c>
      <c r="K368">
        <v>1000000</v>
      </c>
      <c r="L368">
        <v>19</v>
      </c>
      <c r="M368">
        <v>19</v>
      </c>
      <c r="N368">
        <v>59</v>
      </c>
      <c r="O368">
        <v>0</v>
      </c>
      <c r="P368">
        <v>21</v>
      </c>
      <c r="Q368">
        <v>31</v>
      </c>
      <c r="R368">
        <v>32</v>
      </c>
      <c r="S368">
        <v>23</v>
      </c>
      <c r="T368">
        <v>0</v>
      </c>
      <c r="U368">
        <v>1679</v>
      </c>
      <c r="V368">
        <v>8347.5458615999996</v>
      </c>
      <c r="AH368">
        <f t="shared" si="50"/>
        <v>19</v>
      </c>
      <c r="AI368">
        <f t="shared" si="51"/>
        <v>59</v>
      </c>
      <c r="AJ368" t="str">
        <f t="shared" si="52"/>
        <v/>
      </c>
      <c r="AK368">
        <f t="shared" si="53"/>
        <v>21</v>
      </c>
      <c r="AL368">
        <f t="shared" si="46"/>
        <v>31</v>
      </c>
      <c r="AM368">
        <f t="shared" si="47"/>
        <v>32</v>
      </c>
      <c r="AN368">
        <f t="shared" si="48"/>
        <v>23</v>
      </c>
      <c r="AO368" t="str">
        <f t="shared" si="49"/>
        <v/>
      </c>
    </row>
    <row r="369" spans="1:41">
      <c r="A369">
        <f t="shared" si="54"/>
        <v>365</v>
      </c>
      <c r="B369" t="s">
        <v>268</v>
      </c>
      <c r="C369">
        <v>5</v>
      </c>
      <c r="D369">
        <v>5</v>
      </c>
      <c r="E369" t="s">
        <v>385</v>
      </c>
      <c r="F369">
        <v>412</v>
      </c>
      <c r="G369">
        <v>2</v>
      </c>
      <c r="H369">
        <v>34</v>
      </c>
      <c r="I369" t="s">
        <v>386</v>
      </c>
      <c r="J369" t="s">
        <v>386</v>
      </c>
      <c r="K369">
        <v>1000000</v>
      </c>
      <c r="L369">
        <v>20</v>
      </c>
      <c r="M369">
        <v>20</v>
      </c>
      <c r="N369">
        <v>60</v>
      </c>
      <c r="O369">
        <v>0</v>
      </c>
      <c r="P369">
        <v>23</v>
      </c>
      <c r="Q369">
        <v>37</v>
      </c>
      <c r="R369">
        <v>42</v>
      </c>
      <c r="S369">
        <v>33</v>
      </c>
      <c r="T369">
        <v>0</v>
      </c>
      <c r="U369">
        <v>1685</v>
      </c>
      <c r="V369">
        <v>8350.8206263400007</v>
      </c>
      <c r="AH369">
        <f t="shared" si="50"/>
        <v>20</v>
      </c>
      <c r="AI369">
        <f t="shared" si="51"/>
        <v>60</v>
      </c>
      <c r="AJ369" t="str">
        <f t="shared" si="52"/>
        <v/>
      </c>
      <c r="AK369">
        <f t="shared" si="53"/>
        <v>23</v>
      </c>
      <c r="AL369">
        <f t="shared" si="46"/>
        <v>37</v>
      </c>
      <c r="AM369">
        <f t="shared" si="47"/>
        <v>42</v>
      </c>
      <c r="AN369">
        <f t="shared" si="48"/>
        <v>33</v>
      </c>
      <c r="AO369" t="str">
        <f t="shared" si="49"/>
        <v/>
      </c>
    </row>
    <row r="370" spans="1:41">
      <c r="A370">
        <f t="shared" si="54"/>
        <v>366</v>
      </c>
      <c r="B370" t="s">
        <v>268</v>
      </c>
      <c r="C370">
        <v>5</v>
      </c>
      <c r="D370">
        <v>5</v>
      </c>
      <c r="E370" t="s">
        <v>385</v>
      </c>
      <c r="F370">
        <v>412</v>
      </c>
      <c r="G370">
        <v>2</v>
      </c>
      <c r="H370">
        <v>35</v>
      </c>
      <c r="I370" t="s">
        <v>386</v>
      </c>
      <c r="J370" t="s">
        <v>386</v>
      </c>
      <c r="K370">
        <v>1000000</v>
      </c>
      <c r="L370">
        <v>22</v>
      </c>
      <c r="M370">
        <v>22</v>
      </c>
      <c r="N370">
        <v>62</v>
      </c>
      <c r="O370">
        <v>0</v>
      </c>
      <c r="P370">
        <v>32</v>
      </c>
      <c r="Q370">
        <v>55</v>
      </c>
      <c r="R370">
        <v>65</v>
      </c>
      <c r="S370">
        <v>51</v>
      </c>
      <c r="T370">
        <v>0</v>
      </c>
      <c r="U370">
        <v>1693</v>
      </c>
      <c r="V370">
        <v>8355.3302422800007</v>
      </c>
      <c r="AH370">
        <f t="shared" si="50"/>
        <v>22</v>
      </c>
      <c r="AI370">
        <f t="shared" si="51"/>
        <v>62</v>
      </c>
      <c r="AJ370" t="str">
        <f t="shared" si="52"/>
        <v/>
      </c>
      <c r="AK370">
        <f t="shared" si="53"/>
        <v>32</v>
      </c>
      <c r="AL370">
        <f t="shared" si="46"/>
        <v>55</v>
      </c>
      <c r="AM370">
        <f t="shared" si="47"/>
        <v>65</v>
      </c>
      <c r="AN370">
        <f t="shared" si="48"/>
        <v>51</v>
      </c>
      <c r="AO370" t="str">
        <f t="shared" si="49"/>
        <v/>
      </c>
    </row>
    <row r="371" spans="1:41">
      <c r="A371">
        <f t="shared" si="54"/>
        <v>367</v>
      </c>
      <c r="B371" t="s">
        <v>268</v>
      </c>
      <c r="C371">
        <v>5</v>
      </c>
      <c r="D371">
        <v>5</v>
      </c>
      <c r="E371" t="s">
        <v>385</v>
      </c>
      <c r="F371">
        <v>412</v>
      </c>
      <c r="G371">
        <v>2</v>
      </c>
      <c r="H371">
        <v>36</v>
      </c>
      <c r="I371" t="s">
        <v>386</v>
      </c>
      <c r="J371" t="s">
        <v>386</v>
      </c>
      <c r="K371">
        <v>1000000</v>
      </c>
      <c r="L371">
        <v>24</v>
      </c>
      <c r="M371">
        <v>24</v>
      </c>
      <c r="N371">
        <v>65</v>
      </c>
      <c r="O371">
        <v>0</v>
      </c>
      <c r="P371">
        <v>49</v>
      </c>
      <c r="Q371">
        <v>86</v>
      </c>
      <c r="R371">
        <v>100</v>
      </c>
      <c r="S371">
        <v>77</v>
      </c>
      <c r="T371">
        <v>0</v>
      </c>
      <c r="U371">
        <v>1705</v>
      </c>
      <c r="V371">
        <v>8361.9101783099995</v>
      </c>
      <c r="AH371">
        <f t="shared" si="50"/>
        <v>24</v>
      </c>
      <c r="AI371">
        <f t="shared" si="51"/>
        <v>65</v>
      </c>
      <c r="AJ371" t="str">
        <f t="shared" si="52"/>
        <v/>
      </c>
      <c r="AK371">
        <f t="shared" si="53"/>
        <v>49</v>
      </c>
      <c r="AL371">
        <f t="shared" si="46"/>
        <v>86</v>
      </c>
      <c r="AM371">
        <f t="shared" si="47"/>
        <v>100</v>
      </c>
      <c r="AN371">
        <f t="shared" si="48"/>
        <v>77</v>
      </c>
      <c r="AO371" t="str">
        <f t="shared" si="49"/>
        <v/>
      </c>
    </row>
    <row r="372" spans="1:41">
      <c r="A372">
        <f t="shared" si="54"/>
        <v>368</v>
      </c>
      <c r="B372" t="s">
        <v>268</v>
      </c>
      <c r="C372">
        <v>5</v>
      </c>
      <c r="D372">
        <v>5</v>
      </c>
      <c r="E372" t="s">
        <v>385</v>
      </c>
      <c r="F372">
        <v>412</v>
      </c>
      <c r="G372">
        <v>2</v>
      </c>
      <c r="H372">
        <v>37</v>
      </c>
      <c r="I372" t="s">
        <v>386</v>
      </c>
      <c r="J372" t="s">
        <v>386</v>
      </c>
      <c r="K372">
        <v>1000000</v>
      </c>
      <c r="L372">
        <v>27</v>
      </c>
      <c r="M372">
        <v>27</v>
      </c>
      <c r="N372">
        <v>69</v>
      </c>
      <c r="O372">
        <v>0</v>
      </c>
      <c r="P372">
        <v>74</v>
      </c>
      <c r="Q372">
        <v>127</v>
      </c>
      <c r="R372">
        <v>144</v>
      </c>
      <c r="S372">
        <v>107</v>
      </c>
      <c r="T372">
        <v>0</v>
      </c>
      <c r="U372">
        <v>1722</v>
      </c>
      <c r="V372">
        <v>8371.4168842199997</v>
      </c>
      <c r="AH372">
        <f t="shared" si="50"/>
        <v>27</v>
      </c>
      <c r="AI372">
        <f t="shared" si="51"/>
        <v>69</v>
      </c>
      <c r="AJ372" t="str">
        <f t="shared" si="52"/>
        <v/>
      </c>
      <c r="AK372">
        <f t="shared" si="53"/>
        <v>74</v>
      </c>
      <c r="AL372">
        <f t="shared" si="46"/>
        <v>127</v>
      </c>
      <c r="AM372">
        <f t="shared" si="47"/>
        <v>144</v>
      </c>
      <c r="AN372">
        <f t="shared" si="48"/>
        <v>107</v>
      </c>
      <c r="AO372" t="str">
        <f t="shared" si="49"/>
        <v/>
      </c>
    </row>
    <row r="373" spans="1:41">
      <c r="A373">
        <f t="shared" si="54"/>
        <v>369</v>
      </c>
      <c r="B373" t="s">
        <v>268</v>
      </c>
      <c r="C373">
        <v>5</v>
      </c>
      <c r="D373">
        <v>5</v>
      </c>
      <c r="E373" t="s">
        <v>385</v>
      </c>
      <c r="F373">
        <v>412</v>
      </c>
      <c r="G373">
        <v>2</v>
      </c>
      <c r="H373">
        <v>38</v>
      </c>
      <c r="I373" t="s">
        <v>386</v>
      </c>
      <c r="J373" t="s">
        <v>386</v>
      </c>
      <c r="K373">
        <v>1000000</v>
      </c>
      <c r="L373">
        <v>32</v>
      </c>
      <c r="M373">
        <v>32</v>
      </c>
      <c r="N373">
        <v>75</v>
      </c>
      <c r="O373">
        <v>0</v>
      </c>
      <c r="P373">
        <v>103</v>
      </c>
      <c r="Q373">
        <v>172</v>
      </c>
      <c r="R373">
        <v>188</v>
      </c>
      <c r="S373">
        <v>135</v>
      </c>
      <c r="T373">
        <v>0</v>
      </c>
      <c r="U373">
        <v>1745</v>
      </c>
      <c r="V373">
        <v>8384.1745148800001</v>
      </c>
      <c r="AH373">
        <f t="shared" si="50"/>
        <v>32</v>
      </c>
      <c r="AI373">
        <f t="shared" si="51"/>
        <v>75</v>
      </c>
      <c r="AJ373" t="str">
        <f t="shared" si="52"/>
        <v/>
      </c>
      <c r="AK373">
        <f t="shared" si="53"/>
        <v>103</v>
      </c>
      <c r="AL373">
        <f t="shared" si="46"/>
        <v>172</v>
      </c>
      <c r="AM373">
        <f t="shared" si="47"/>
        <v>188</v>
      </c>
      <c r="AN373">
        <f t="shared" si="48"/>
        <v>135</v>
      </c>
      <c r="AO373" t="str">
        <f t="shared" si="49"/>
        <v/>
      </c>
    </row>
    <row r="374" spans="1:41">
      <c r="A374">
        <f t="shared" si="54"/>
        <v>370</v>
      </c>
      <c r="B374" t="s">
        <v>268</v>
      </c>
      <c r="C374">
        <v>5</v>
      </c>
      <c r="D374">
        <v>5</v>
      </c>
      <c r="E374" t="s">
        <v>385</v>
      </c>
      <c r="F374">
        <v>412</v>
      </c>
      <c r="G374">
        <v>2</v>
      </c>
      <c r="H374">
        <v>39</v>
      </c>
      <c r="I374" t="s">
        <v>386</v>
      </c>
      <c r="J374" t="s">
        <v>386</v>
      </c>
      <c r="K374">
        <v>1000000</v>
      </c>
      <c r="L374">
        <v>37</v>
      </c>
      <c r="M374">
        <v>37</v>
      </c>
      <c r="N374">
        <v>82</v>
      </c>
      <c r="O374">
        <v>0</v>
      </c>
      <c r="P374">
        <v>131</v>
      </c>
      <c r="Q374">
        <v>211</v>
      </c>
      <c r="R374">
        <v>224</v>
      </c>
      <c r="S374">
        <v>156</v>
      </c>
      <c r="T374">
        <v>0</v>
      </c>
      <c r="U374">
        <v>1773</v>
      </c>
      <c r="V374">
        <v>8400.0211363100007</v>
      </c>
      <c r="AH374">
        <f t="shared" si="50"/>
        <v>37</v>
      </c>
      <c r="AI374">
        <f t="shared" si="51"/>
        <v>82</v>
      </c>
      <c r="AJ374" t="str">
        <f t="shared" si="52"/>
        <v/>
      </c>
      <c r="AK374">
        <f t="shared" si="53"/>
        <v>131</v>
      </c>
      <c r="AL374">
        <f t="shared" si="46"/>
        <v>211</v>
      </c>
      <c r="AM374">
        <f t="shared" si="47"/>
        <v>224</v>
      </c>
      <c r="AN374">
        <f t="shared" si="48"/>
        <v>156</v>
      </c>
      <c r="AO374" t="str">
        <f t="shared" si="49"/>
        <v/>
      </c>
    </row>
    <row r="375" spans="1:41">
      <c r="A375">
        <f t="shared" si="54"/>
        <v>371</v>
      </c>
      <c r="B375" t="s">
        <v>268</v>
      </c>
      <c r="C375">
        <v>5</v>
      </c>
      <c r="D375">
        <v>5</v>
      </c>
      <c r="E375" t="s">
        <v>385</v>
      </c>
      <c r="F375">
        <v>412</v>
      </c>
      <c r="G375">
        <v>2</v>
      </c>
      <c r="H375">
        <v>40</v>
      </c>
      <c r="I375" t="s">
        <v>386</v>
      </c>
      <c r="J375" t="s">
        <v>386</v>
      </c>
      <c r="K375">
        <v>1000000</v>
      </c>
      <c r="L375">
        <v>43</v>
      </c>
      <c r="M375">
        <v>43</v>
      </c>
      <c r="N375">
        <v>90</v>
      </c>
      <c r="O375">
        <v>0</v>
      </c>
      <c r="P375">
        <v>152</v>
      </c>
      <c r="Q375">
        <v>237</v>
      </c>
      <c r="R375">
        <v>244</v>
      </c>
      <c r="S375">
        <v>165</v>
      </c>
      <c r="T375">
        <v>0</v>
      </c>
      <c r="U375">
        <v>1806</v>
      </c>
      <c r="V375">
        <v>8418.1965185200006</v>
      </c>
      <c r="AH375">
        <f t="shared" si="50"/>
        <v>43</v>
      </c>
      <c r="AI375">
        <f t="shared" si="51"/>
        <v>90</v>
      </c>
      <c r="AJ375" t="str">
        <f t="shared" si="52"/>
        <v/>
      </c>
      <c r="AK375">
        <f t="shared" si="53"/>
        <v>152</v>
      </c>
      <c r="AL375">
        <f t="shared" si="46"/>
        <v>237</v>
      </c>
      <c r="AM375">
        <f t="shared" si="47"/>
        <v>244</v>
      </c>
      <c r="AN375">
        <f t="shared" si="48"/>
        <v>165</v>
      </c>
      <c r="AO375" t="str">
        <f t="shared" si="49"/>
        <v/>
      </c>
    </row>
    <row r="376" spans="1:41">
      <c r="A376">
        <f t="shared" si="54"/>
        <v>372</v>
      </c>
      <c r="B376" t="s">
        <v>268</v>
      </c>
      <c r="C376">
        <v>5</v>
      </c>
      <c r="D376">
        <v>5</v>
      </c>
      <c r="E376" t="s">
        <v>385</v>
      </c>
      <c r="F376">
        <v>412</v>
      </c>
      <c r="G376">
        <v>2</v>
      </c>
      <c r="H376">
        <v>41</v>
      </c>
      <c r="I376" t="s">
        <v>386</v>
      </c>
      <c r="J376" t="s">
        <v>386</v>
      </c>
      <c r="K376">
        <v>1000000</v>
      </c>
      <c r="L376">
        <v>50</v>
      </c>
      <c r="M376">
        <v>50</v>
      </c>
      <c r="N376">
        <v>99</v>
      </c>
      <c r="O376">
        <v>0</v>
      </c>
      <c r="P376">
        <v>162</v>
      </c>
      <c r="Q376">
        <v>246</v>
      </c>
      <c r="R376">
        <v>247</v>
      </c>
      <c r="S376">
        <v>163</v>
      </c>
      <c r="T376">
        <v>0</v>
      </c>
      <c r="U376">
        <v>1841</v>
      </c>
      <c r="V376">
        <v>8437.6273922500004</v>
      </c>
      <c r="AH376">
        <f t="shared" si="50"/>
        <v>50</v>
      </c>
      <c r="AI376">
        <f t="shared" si="51"/>
        <v>99</v>
      </c>
      <c r="AJ376" t="str">
        <f t="shared" si="52"/>
        <v/>
      </c>
      <c r="AK376">
        <f t="shared" si="53"/>
        <v>162</v>
      </c>
      <c r="AL376">
        <f t="shared" si="46"/>
        <v>246</v>
      </c>
      <c r="AM376">
        <f t="shared" si="47"/>
        <v>247</v>
      </c>
      <c r="AN376">
        <f t="shared" si="48"/>
        <v>163</v>
      </c>
      <c r="AO376" t="str">
        <f t="shared" si="49"/>
        <v/>
      </c>
    </row>
    <row r="377" spans="1:41">
      <c r="A377">
        <f t="shared" si="54"/>
        <v>373</v>
      </c>
      <c r="B377" t="s">
        <v>268</v>
      </c>
      <c r="C377">
        <v>5</v>
      </c>
      <c r="D377">
        <v>5</v>
      </c>
      <c r="E377" t="s">
        <v>385</v>
      </c>
      <c r="F377">
        <v>412</v>
      </c>
      <c r="G377">
        <v>2</v>
      </c>
      <c r="H377">
        <v>42</v>
      </c>
      <c r="I377" t="s">
        <v>386</v>
      </c>
      <c r="J377" t="s">
        <v>386</v>
      </c>
      <c r="K377">
        <v>1000000</v>
      </c>
      <c r="L377">
        <v>56</v>
      </c>
      <c r="M377">
        <v>56</v>
      </c>
      <c r="N377">
        <v>107</v>
      </c>
      <c r="O377">
        <v>0</v>
      </c>
      <c r="P377">
        <v>161</v>
      </c>
      <c r="Q377">
        <v>240</v>
      </c>
      <c r="R377">
        <v>237</v>
      </c>
      <c r="S377">
        <v>156</v>
      </c>
      <c r="T377">
        <v>0</v>
      </c>
      <c r="U377">
        <v>1876</v>
      </c>
      <c r="V377">
        <v>8457.2602051400008</v>
      </c>
      <c r="AH377">
        <f t="shared" si="50"/>
        <v>56</v>
      </c>
      <c r="AI377">
        <f t="shared" si="51"/>
        <v>107</v>
      </c>
      <c r="AJ377" t="str">
        <f t="shared" si="52"/>
        <v/>
      </c>
      <c r="AK377">
        <f t="shared" si="53"/>
        <v>161</v>
      </c>
      <c r="AL377">
        <f t="shared" si="46"/>
        <v>240</v>
      </c>
      <c r="AM377">
        <f t="shared" si="47"/>
        <v>237</v>
      </c>
      <c r="AN377">
        <f t="shared" si="48"/>
        <v>156</v>
      </c>
      <c r="AO377" t="str">
        <f t="shared" si="49"/>
        <v/>
      </c>
    </row>
    <row r="378" spans="1:41">
      <c r="A378">
        <f t="shared" si="54"/>
        <v>374</v>
      </c>
      <c r="B378" t="s">
        <v>268</v>
      </c>
      <c r="C378">
        <v>5</v>
      </c>
      <c r="D378">
        <v>5</v>
      </c>
      <c r="E378" t="s">
        <v>385</v>
      </c>
      <c r="F378">
        <v>412</v>
      </c>
      <c r="G378">
        <v>2</v>
      </c>
      <c r="H378">
        <v>43</v>
      </c>
      <c r="I378" t="s">
        <v>386</v>
      </c>
      <c r="J378" t="s">
        <v>386</v>
      </c>
      <c r="K378">
        <v>1000000</v>
      </c>
      <c r="L378">
        <v>63</v>
      </c>
      <c r="M378">
        <v>63</v>
      </c>
      <c r="N378">
        <v>116</v>
      </c>
      <c r="O378">
        <v>0</v>
      </c>
      <c r="P378">
        <v>154</v>
      </c>
      <c r="Q378">
        <v>227</v>
      </c>
      <c r="R378">
        <v>224</v>
      </c>
      <c r="S378">
        <v>149</v>
      </c>
      <c r="T378">
        <v>0</v>
      </c>
      <c r="U378">
        <v>1911</v>
      </c>
      <c r="V378">
        <v>8476.4211062899994</v>
      </c>
      <c r="AH378">
        <f t="shared" si="50"/>
        <v>63</v>
      </c>
      <c r="AI378">
        <f t="shared" si="51"/>
        <v>116</v>
      </c>
      <c r="AJ378" t="str">
        <f t="shared" si="52"/>
        <v/>
      </c>
      <c r="AK378">
        <f t="shared" si="53"/>
        <v>154</v>
      </c>
      <c r="AL378">
        <f t="shared" si="46"/>
        <v>227</v>
      </c>
      <c r="AM378">
        <f t="shared" si="47"/>
        <v>224</v>
      </c>
      <c r="AN378">
        <f t="shared" si="48"/>
        <v>149</v>
      </c>
      <c r="AO378" t="str">
        <f t="shared" si="49"/>
        <v/>
      </c>
    </row>
    <row r="379" spans="1:41">
      <c r="A379">
        <f t="shared" si="54"/>
        <v>375</v>
      </c>
      <c r="B379" t="s">
        <v>268</v>
      </c>
      <c r="C379">
        <v>5</v>
      </c>
      <c r="D379">
        <v>5</v>
      </c>
      <c r="E379" t="s">
        <v>385</v>
      </c>
      <c r="F379">
        <v>412</v>
      </c>
      <c r="G379">
        <v>2</v>
      </c>
      <c r="H379">
        <v>44</v>
      </c>
      <c r="I379" t="s">
        <v>386</v>
      </c>
      <c r="J379" t="s">
        <v>386</v>
      </c>
      <c r="K379">
        <v>1000000</v>
      </c>
      <c r="L379">
        <v>69</v>
      </c>
      <c r="M379">
        <v>69</v>
      </c>
      <c r="N379">
        <v>124</v>
      </c>
      <c r="O379">
        <v>0</v>
      </c>
      <c r="P379">
        <v>145</v>
      </c>
      <c r="Q379">
        <v>216</v>
      </c>
      <c r="R379">
        <v>215</v>
      </c>
      <c r="S379">
        <v>144</v>
      </c>
      <c r="T379">
        <v>0</v>
      </c>
      <c r="U379">
        <v>1944</v>
      </c>
      <c r="V379">
        <v>8494.8318088699998</v>
      </c>
      <c r="AH379">
        <f t="shared" si="50"/>
        <v>69</v>
      </c>
      <c r="AI379">
        <f t="shared" si="51"/>
        <v>124</v>
      </c>
      <c r="AJ379" t="str">
        <f t="shared" si="52"/>
        <v/>
      </c>
      <c r="AK379">
        <f t="shared" si="53"/>
        <v>145</v>
      </c>
      <c r="AL379">
        <f t="shared" si="46"/>
        <v>216</v>
      </c>
      <c r="AM379">
        <f t="shared" si="47"/>
        <v>215</v>
      </c>
      <c r="AN379">
        <f t="shared" si="48"/>
        <v>144</v>
      </c>
      <c r="AO379" t="str">
        <f t="shared" si="49"/>
        <v/>
      </c>
    </row>
    <row r="380" spans="1:41">
      <c r="A380">
        <f t="shared" si="54"/>
        <v>376</v>
      </c>
      <c r="B380" t="s">
        <v>268</v>
      </c>
      <c r="C380">
        <v>5</v>
      </c>
      <c r="D380">
        <v>5</v>
      </c>
      <c r="E380" t="s">
        <v>385</v>
      </c>
      <c r="F380">
        <v>412</v>
      </c>
      <c r="G380">
        <v>2</v>
      </c>
      <c r="H380">
        <v>45</v>
      </c>
      <c r="I380" t="s">
        <v>386</v>
      </c>
      <c r="J380" t="s">
        <v>386</v>
      </c>
      <c r="K380">
        <v>1000000</v>
      </c>
      <c r="L380">
        <v>75</v>
      </c>
      <c r="M380">
        <v>75</v>
      </c>
      <c r="N380">
        <v>132</v>
      </c>
      <c r="O380">
        <v>0</v>
      </c>
      <c r="P380">
        <v>140</v>
      </c>
      <c r="Q380">
        <v>210</v>
      </c>
      <c r="R380">
        <v>211</v>
      </c>
      <c r="S380">
        <v>141</v>
      </c>
      <c r="T380">
        <v>0</v>
      </c>
      <c r="U380">
        <v>1976</v>
      </c>
      <c r="V380">
        <v>8512.5324645100009</v>
      </c>
      <c r="AH380">
        <f t="shared" si="50"/>
        <v>75</v>
      </c>
      <c r="AI380">
        <f t="shared" si="51"/>
        <v>132</v>
      </c>
      <c r="AJ380" t="str">
        <f t="shared" si="52"/>
        <v/>
      </c>
      <c r="AK380">
        <f t="shared" si="53"/>
        <v>140</v>
      </c>
      <c r="AL380">
        <f t="shared" si="46"/>
        <v>210</v>
      </c>
      <c r="AM380">
        <f t="shared" si="47"/>
        <v>211</v>
      </c>
      <c r="AN380">
        <f t="shared" si="48"/>
        <v>141</v>
      </c>
      <c r="AO380" t="str">
        <f t="shared" si="49"/>
        <v/>
      </c>
    </row>
    <row r="381" spans="1:41">
      <c r="A381">
        <f t="shared" si="54"/>
        <v>377</v>
      </c>
      <c r="B381" t="s">
        <v>268</v>
      </c>
      <c r="C381">
        <v>5</v>
      </c>
      <c r="D381">
        <v>5</v>
      </c>
      <c r="E381" t="s">
        <v>385</v>
      </c>
      <c r="F381">
        <v>412</v>
      </c>
      <c r="G381">
        <v>2</v>
      </c>
      <c r="H381">
        <v>46</v>
      </c>
      <c r="I381" t="s">
        <v>386</v>
      </c>
      <c r="J381" t="s">
        <v>386</v>
      </c>
      <c r="K381">
        <v>1000000</v>
      </c>
      <c r="L381">
        <v>81</v>
      </c>
      <c r="M381">
        <v>81</v>
      </c>
      <c r="N381">
        <v>139</v>
      </c>
      <c r="O381">
        <v>0</v>
      </c>
      <c r="P381">
        <v>137</v>
      </c>
      <c r="Q381">
        <v>208</v>
      </c>
      <c r="R381">
        <v>209</v>
      </c>
      <c r="S381">
        <v>140</v>
      </c>
      <c r="T381">
        <v>0</v>
      </c>
      <c r="U381">
        <v>2007</v>
      </c>
      <c r="V381">
        <v>8529.7773146899999</v>
      </c>
      <c r="AH381">
        <f t="shared" si="50"/>
        <v>81</v>
      </c>
      <c r="AI381">
        <f t="shared" si="51"/>
        <v>139</v>
      </c>
      <c r="AJ381" t="str">
        <f t="shared" si="52"/>
        <v/>
      </c>
      <c r="AK381">
        <f t="shared" si="53"/>
        <v>137</v>
      </c>
      <c r="AL381">
        <f t="shared" si="46"/>
        <v>208</v>
      </c>
      <c r="AM381">
        <f t="shared" si="47"/>
        <v>209</v>
      </c>
      <c r="AN381">
        <f t="shared" si="48"/>
        <v>140</v>
      </c>
      <c r="AO381" t="str">
        <f t="shared" si="49"/>
        <v/>
      </c>
    </row>
    <row r="382" spans="1:41">
      <c r="A382">
        <f t="shared" si="54"/>
        <v>378</v>
      </c>
      <c r="B382" t="s">
        <v>268</v>
      </c>
      <c r="C382">
        <v>5</v>
      </c>
      <c r="D382">
        <v>5</v>
      </c>
      <c r="E382" t="s">
        <v>385</v>
      </c>
      <c r="F382">
        <v>412</v>
      </c>
      <c r="G382">
        <v>2</v>
      </c>
      <c r="H382">
        <v>47</v>
      </c>
      <c r="I382" t="s">
        <v>386</v>
      </c>
      <c r="J382" t="s">
        <v>386</v>
      </c>
      <c r="K382">
        <v>1000000</v>
      </c>
      <c r="L382">
        <v>86</v>
      </c>
      <c r="M382">
        <v>86</v>
      </c>
      <c r="N382">
        <v>147</v>
      </c>
      <c r="O382">
        <v>0</v>
      </c>
      <c r="P382">
        <v>136</v>
      </c>
      <c r="Q382">
        <v>205</v>
      </c>
      <c r="R382">
        <v>205</v>
      </c>
      <c r="S382">
        <v>137</v>
      </c>
      <c r="T382">
        <v>0</v>
      </c>
      <c r="U382">
        <v>2038</v>
      </c>
      <c r="V382">
        <v>8546.7271346599991</v>
      </c>
      <c r="AH382">
        <f t="shared" si="50"/>
        <v>86</v>
      </c>
      <c r="AI382">
        <f t="shared" si="51"/>
        <v>147</v>
      </c>
      <c r="AJ382" t="str">
        <f t="shared" si="52"/>
        <v/>
      </c>
      <c r="AK382">
        <f t="shared" si="53"/>
        <v>136</v>
      </c>
      <c r="AL382">
        <f t="shared" si="46"/>
        <v>205</v>
      </c>
      <c r="AM382">
        <f t="shared" si="47"/>
        <v>205</v>
      </c>
      <c r="AN382">
        <f t="shared" si="48"/>
        <v>137</v>
      </c>
      <c r="AO382" t="str">
        <f t="shared" si="49"/>
        <v/>
      </c>
    </row>
    <row r="383" spans="1:41">
      <c r="A383">
        <f t="shared" si="54"/>
        <v>379</v>
      </c>
      <c r="B383" t="s">
        <v>268</v>
      </c>
      <c r="C383">
        <v>5</v>
      </c>
      <c r="D383">
        <v>5</v>
      </c>
      <c r="E383" t="s">
        <v>385</v>
      </c>
      <c r="F383">
        <v>412</v>
      </c>
      <c r="G383">
        <v>2</v>
      </c>
      <c r="H383">
        <v>48</v>
      </c>
      <c r="I383" t="s">
        <v>386</v>
      </c>
      <c r="J383" t="s">
        <v>386</v>
      </c>
      <c r="K383">
        <v>1000000</v>
      </c>
      <c r="L383">
        <v>92</v>
      </c>
      <c r="M383">
        <v>92</v>
      </c>
      <c r="N383">
        <v>154</v>
      </c>
      <c r="O383">
        <v>0</v>
      </c>
      <c r="P383">
        <v>134</v>
      </c>
      <c r="Q383">
        <v>201</v>
      </c>
      <c r="R383">
        <v>202</v>
      </c>
      <c r="S383">
        <v>135</v>
      </c>
      <c r="T383">
        <v>0</v>
      </c>
      <c r="U383">
        <v>2067</v>
      </c>
      <c r="V383">
        <v>8563.4808545300002</v>
      </c>
      <c r="AH383">
        <f t="shared" si="50"/>
        <v>92</v>
      </c>
      <c r="AI383">
        <f t="shared" si="51"/>
        <v>154</v>
      </c>
      <c r="AJ383" t="str">
        <f t="shared" si="52"/>
        <v/>
      </c>
      <c r="AK383">
        <f t="shared" si="53"/>
        <v>134</v>
      </c>
      <c r="AL383">
        <f t="shared" si="46"/>
        <v>201</v>
      </c>
      <c r="AM383">
        <f t="shared" si="47"/>
        <v>202</v>
      </c>
      <c r="AN383">
        <f t="shared" si="48"/>
        <v>135</v>
      </c>
      <c r="AO383" t="str">
        <f t="shared" si="49"/>
        <v/>
      </c>
    </row>
    <row r="384" spans="1:41">
      <c r="A384">
        <f t="shared" si="54"/>
        <v>380</v>
      </c>
      <c r="B384" t="s">
        <v>268</v>
      </c>
      <c r="C384">
        <v>5</v>
      </c>
      <c r="D384">
        <v>5</v>
      </c>
      <c r="E384" t="s">
        <v>385</v>
      </c>
      <c r="F384">
        <v>412</v>
      </c>
      <c r="G384">
        <v>2</v>
      </c>
      <c r="H384">
        <v>49</v>
      </c>
      <c r="I384" t="s">
        <v>386</v>
      </c>
      <c r="J384" t="s">
        <v>386</v>
      </c>
      <c r="K384">
        <v>1000000</v>
      </c>
      <c r="L384">
        <v>98</v>
      </c>
      <c r="M384">
        <v>98</v>
      </c>
      <c r="N384">
        <v>162</v>
      </c>
      <c r="O384">
        <v>0</v>
      </c>
      <c r="P384">
        <v>133</v>
      </c>
      <c r="Q384">
        <v>201</v>
      </c>
      <c r="R384">
        <v>203</v>
      </c>
      <c r="S384">
        <v>139</v>
      </c>
      <c r="T384">
        <v>0</v>
      </c>
      <c r="U384">
        <v>2098</v>
      </c>
      <c r="V384">
        <v>8580.3145461599997</v>
      </c>
      <c r="AH384">
        <f t="shared" si="50"/>
        <v>98</v>
      </c>
      <c r="AI384">
        <f t="shared" si="51"/>
        <v>162</v>
      </c>
      <c r="AJ384" t="str">
        <f t="shared" si="52"/>
        <v/>
      </c>
      <c r="AK384">
        <f t="shared" si="53"/>
        <v>133</v>
      </c>
      <c r="AL384">
        <f t="shared" si="46"/>
        <v>201</v>
      </c>
      <c r="AM384">
        <f t="shared" si="47"/>
        <v>203</v>
      </c>
      <c r="AN384">
        <f t="shared" si="48"/>
        <v>139</v>
      </c>
      <c r="AO384" t="str">
        <f t="shared" si="49"/>
        <v/>
      </c>
    </row>
    <row r="385" spans="1:41">
      <c r="A385">
        <f t="shared" si="54"/>
        <v>381</v>
      </c>
      <c r="B385" t="s">
        <v>268</v>
      </c>
      <c r="C385">
        <v>5</v>
      </c>
      <c r="D385">
        <v>5</v>
      </c>
      <c r="E385" t="s">
        <v>385</v>
      </c>
      <c r="F385">
        <v>412</v>
      </c>
      <c r="G385">
        <v>2</v>
      </c>
      <c r="H385">
        <v>50</v>
      </c>
      <c r="I385" t="s">
        <v>386</v>
      </c>
      <c r="J385" t="s">
        <v>386</v>
      </c>
      <c r="K385">
        <v>1000000</v>
      </c>
      <c r="L385">
        <v>104</v>
      </c>
      <c r="M385">
        <v>104</v>
      </c>
      <c r="N385">
        <v>170</v>
      </c>
      <c r="O385">
        <v>0</v>
      </c>
      <c r="P385">
        <v>137</v>
      </c>
      <c r="Q385">
        <v>210</v>
      </c>
      <c r="R385">
        <v>219</v>
      </c>
      <c r="S385">
        <v>155</v>
      </c>
      <c r="T385">
        <v>0</v>
      </c>
      <c r="U385">
        <v>2130</v>
      </c>
      <c r="V385">
        <v>8598.0332169699996</v>
      </c>
      <c r="AH385">
        <f t="shared" si="50"/>
        <v>104</v>
      </c>
      <c r="AI385">
        <f t="shared" si="51"/>
        <v>170</v>
      </c>
      <c r="AJ385" t="str">
        <f t="shared" si="52"/>
        <v/>
      </c>
      <c r="AK385">
        <f t="shared" si="53"/>
        <v>137</v>
      </c>
      <c r="AL385">
        <f t="shared" si="46"/>
        <v>210</v>
      </c>
      <c r="AM385">
        <f t="shared" si="47"/>
        <v>219</v>
      </c>
      <c r="AN385">
        <f t="shared" si="48"/>
        <v>155</v>
      </c>
      <c r="AO385" t="str">
        <f t="shared" si="49"/>
        <v/>
      </c>
    </row>
    <row r="386" spans="1:41">
      <c r="A386">
        <f t="shared" si="54"/>
        <v>382</v>
      </c>
      <c r="B386" t="s">
        <v>268</v>
      </c>
      <c r="C386">
        <v>5</v>
      </c>
      <c r="D386">
        <v>5</v>
      </c>
      <c r="E386" t="s">
        <v>385</v>
      </c>
      <c r="F386">
        <v>412</v>
      </c>
      <c r="G386">
        <v>2</v>
      </c>
      <c r="H386">
        <v>51</v>
      </c>
      <c r="I386" t="s">
        <v>386</v>
      </c>
      <c r="J386" t="s">
        <v>386</v>
      </c>
      <c r="K386">
        <v>1000000</v>
      </c>
      <c r="L386">
        <v>110</v>
      </c>
      <c r="M386">
        <v>110</v>
      </c>
      <c r="N386">
        <v>179</v>
      </c>
      <c r="O386">
        <v>0</v>
      </c>
      <c r="P386">
        <v>151</v>
      </c>
      <c r="Q386">
        <v>240</v>
      </c>
      <c r="R386">
        <v>257</v>
      </c>
      <c r="S386">
        <v>186</v>
      </c>
      <c r="T386">
        <v>0</v>
      </c>
      <c r="U386">
        <v>2165</v>
      </c>
      <c r="V386">
        <v>8617.8374365</v>
      </c>
      <c r="AH386">
        <f t="shared" si="50"/>
        <v>110</v>
      </c>
      <c r="AI386">
        <f t="shared" si="51"/>
        <v>179</v>
      </c>
      <c r="AJ386" t="str">
        <f t="shared" si="52"/>
        <v/>
      </c>
      <c r="AK386">
        <f t="shared" si="53"/>
        <v>151</v>
      </c>
      <c r="AL386">
        <f t="shared" si="46"/>
        <v>240</v>
      </c>
      <c r="AM386">
        <f t="shared" si="47"/>
        <v>257</v>
      </c>
      <c r="AN386">
        <f t="shared" si="48"/>
        <v>186</v>
      </c>
      <c r="AO386" t="str">
        <f t="shared" si="49"/>
        <v/>
      </c>
    </row>
    <row r="387" spans="1:41">
      <c r="A387">
        <f t="shared" si="54"/>
        <v>383</v>
      </c>
      <c r="B387" t="s">
        <v>268</v>
      </c>
      <c r="C387">
        <v>5</v>
      </c>
      <c r="D387">
        <v>5</v>
      </c>
      <c r="E387" t="s">
        <v>385</v>
      </c>
      <c r="F387">
        <v>412</v>
      </c>
      <c r="G387">
        <v>2</v>
      </c>
      <c r="H387">
        <v>52</v>
      </c>
      <c r="I387" t="s">
        <v>386</v>
      </c>
      <c r="J387" t="s">
        <v>386</v>
      </c>
      <c r="K387">
        <v>1000000</v>
      </c>
      <c r="L387">
        <v>118</v>
      </c>
      <c r="M387">
        <v>118</v>
      </c>
      <c r="N387">
        <v>189</v>
      </c>
      <c r="O387">
        <v>0</v>
      </c>
      <c r="P387">
        <v>181</v>
      </c>
      <c r="Q387">
        <v>293</v>
      </c>
      <c r="R387">
        <v>319</v>
      </c>
      <c r="S387">
        <v>232</v>
      </c>
      <c r="T387">
        <v>0</v>
      </c>
      <c r="U387">
        <v>2208</v>
      </c>
      <c r="V387">
        <v>8641.2464244900002</v>
      </c>
      <c r="AH387">
        <f t="shared" si="50"/>
        <v>118</v>
      </c>
      <c r="AI387">
        <f t="shared" si="51"/>
        <v>189</v>
      </c>
      <c r="AJ387" t="str">
        <f t="shared" si="52"/>
        <v/>
      </c>
      <c r="AK387">
        <f t="shared" si="53"/>
        <v>181</v>
      </c>
      <c r="AL387">
        <f t="shared" si="46"/>
        <v>293</v>
      </c>
      <c r="AM387">
        <f t="shared" si="47"/>
        <v>319</v>
      </c>
      <c r="AN387">
        <f t="shared" si="48"/>
        <v>232</v>
      </c>
      <c r="AO387" t="str">
        <f t="shared" si="49"/>
        <v/>
      </c>
    </row>
    <row r="388" spans="1:41">
      <c r="A388">
        <f t="shared" si="54"/>
        <v>384</v>
      </c>
      <c r="B388" t="s">
        <v>268</v>
      </c>
      <c r="C388">
        <v>5</v>
      </c>
      <c r="D388">
        <v>5</v>
      </c>
      <c r="E388" t="s">
        <v>385</v>
      </c>
      <c r="F388">
        <v>412</v>
      </c>
      <c r="G388">
        <v>2</v>
      </c>
      <c r="H388">
        <v>53</v>
      </c>
      <c r="I388" t="s">
        <v>386</v>
      </c>
      <c r="J388" t="s">
        <v>386</v>
      </c>
      <c r="K388">
        <v>1000000</v>
      </c>
      <c r="L388">
        <v>128</v>
      </c>
      <c r="M388">
        <v>128</v>
      </c>
      <c r="N388">
        <v>202</v>
      </c>
      <c r="O388">
        <v>0</v>
      </c>
      <c r="P388">
        <v>224</v>
      </c>
      <c r="Q388">
        <v>366</v>
      </c>
      <c r="R388">
        <v>397</v>
      </c>
      <c r="S388">
        <v>286</v>
      </c>
      <c r="T388">
        <v>0</v>
      </c>
      <c r="U388">
        <v>2259</v>
      </c>
      <c r="V388">
        <v>8669.7123151399992</v>
      </c>
      <c r="AH388">
        <f t="shared" si="50"/>
        <v>128</v>
      </c>
      <c r="AI388">
        <f t="shared" si="51"/>
        <v>202</v>
      </c>
      <c r="AJ388" t="str">
        <f t="shared" si="52"/>
        <v/>
      </c>
      <c r="AK388">
        <f t="shared" si="53"/>
        <v>224</v>
      </c>
      <c r="AL388">
        <f t="shared" si="46"/>
        <v>366</v>
      </c>
      <c r="AM388">
        <f t="shared" si="47"/>
        <v>397</v>
      </c>
      <c r="AN388">
        <f t="shared" si="48"/>
        <v>286</v>
      </c>
      <c r="AO388" t="str">
        <f t="shared" si="49"/>
        <v/>
      </c>
    </row>
    <row r="389" spans="1:41">
      <c r="A389">
        <f t="shared" si="54"/>
        <v>385</v>
      </c>
      <c r="B389" t="s">
        <v>268</v>
      </c>
      <c r="C389">
        <v>5</v>
      </c>
      <c r="D389">
        <v>5</v>
      </c>
      <c r="E389" t="s">
        <v>385</v>
      </c>
      <c r="F389">
        <v>412</v>
      </c>
      <c r="G389">
        <v>2</v>
      </c>
      <c r="H389">
        <v>54</v>
      </c>
      <c r="I389" t="s">
        <v>386</v>
      </c>
      <c r="J389" t="s">
        <v>386</v>
      </c>
      <c r="K389">
        <v>1000000</v>
      </c>
      <c r="L389">
        <v>140</v>
      </c>
      <c r="M389">
        <v>140</v>
      </c>
      <c r="N389">
        <v>217</v>
      </c>
      <c r="O389">
        <v>0</v>
      </c>
      <c r="P389">
        <v>277</v>
      </c>
      <c r="Q389">
        <v>447</v>
      </c>
      <c r="R389">
        <v>479</v>
      </c>
      <c r="S389">
        <v>340</v>
      </c>
      <c r="T389">
        <v>0</v>
      </c>
      <c r="U389">
        <v>2321</v>
      </c>
      <c r="V389">
        <v>8704.1712522800008</v>
      </c>
      <c r="AH389">
        <f t="shared" si="50"/>
        <v>140</v>
      </c>
      <c r="AI389">
        <f t="shared" si="51"/>
        <v>217</v>
      </c>
      <c r="AJ389" t="str">
        <f t="shared" si="52"/>
        <v/>
      </c>
      <c r="AK389">
        <f t="shared" si="53"/>
        <v>277</v>
      </c>
      <c r="AL389">
        <f t="shared" ref="AL389:AL452" si="55">IF(Q389=AC389, "", Q389-AC389)</f>
        <v>447</v>
      </c>
      <c r="AM389">
        <f t="shared" ref="AM389:AM452" si="56">IF(R389=AD389, "", R389-AD389)</f>
        <v>479</v>
      </c>
      <c r="AN389">
        <f t="shared" ref="AN389:AN452" si="57">IF(S389=AE389, "", S389-AE389)</f>
        <v>340</v>
      </c>
      <c r="AO389" t="str">
        <f t="shared" ref="AO389:AO452" si="58">IF(T389=AF389, "", T389-AF389)</f>
        <v/>
      </c>
    </row>
    <row r="390" spans="1:41">
      <c r="A390">
        <f t="shared" si="54"/>
        <v>386</v>
      </c>
      <c r="B390" t="s">
        <v>268</v>
      </c>
      <c r="C390">
        <v>5</v>
      </c>
      <c r="D390">
        <v>5</v>
      </c>
      <c r="E390" t="s">
        <v>385</v>
      </c>
      <c r="F390">
        <v>412</v>
      </c>
      <c r="G390">
        <v>2</v>
      </c>
      <c r="H390">
        <v>55</v>
      </c>
      <c r="I390" t="s">
        <v>386</v>
      </c>
      <c r="J390" t="s">
        <v>386</v>
      </c>
      <c r="K390">
        <v>1000000</v>
      </c>
      <c r="L390">
        <v>153</v>
      </c>
      <c r="M390">
        <v>153</v>
      </c>
      <c r="N390">
        <v>235</v>
      </c>
      <c r="O390">
        <v>0</v>
      </c>
      <c r="P390">
        <v>330</v>
      </c>
      <c r="Q390">
        <v>526</v>
      </c>
      <c r="R390">
        <v>555</v>
      </c>
      <c r="S390">
        <v>388</v>
      </c>
      <c r="T390">
        <v>0</v>
      </c>
      <c r="U390">
        <v>2394</v>
      </c>
      <c r="V390">
        <v>8744.8169476300009</v>
      </c>
      <c r="AH390">
        <f t="shared" ref="AH390:AH453" si="59">IF(L390=Y390, "",L390-Y390)</f>
        <v>153</v>
      </c>
      <c r="AI390">
        <f t="shared" ref="AI390:AI453" si="60">IF(N390=Z390, "", N390-Z390)</f>
        <v>235</v>
      </c>
      <c r="AJ390" t="str">
        <f t="shared" ref="AJ390:AJ453" si="61">IF(O390=AA390, "", O390-AA390)</f>
        <v/>
      </c>
      <c r="AK390">
        <f t="shared" ref="AK390:AK453" si="62">IF(P390=AB390, "", P390-AB390)</f>
        <v>330</v>
      </c>
      <c r="AL390">
        <f t="shared" si="55"/>
        <v>526</v>
      </c>
      <c r="AM390">
        <f t="shared" si="56"/>
        <v>555</v>
      </c>
      <c r="AN390">
        <f t="shared" si="57"/>
        <v>388</v>
      </c>
      <c r="AO390" t="str">
        <f t="shared" si="58"/>
        <v/>
      </c>
    </row>
    <row r="391" spans="1:41">
      <c r="A391">
        <f t="shared" ref="A391:A454" si="63">A390+1</f>
        <v>387</v>
      </c>
      <c r="B391" t="s">
        <v>268</v>
      </c>
      <c r="C391">
        <v>5</v>
      </c>
      <c r="D391">
        <v>5</v>
      </c>
      <c r="E391" t="s">
        <v>385</v>
      </c>
      <c r="F391">
        <v>412</v>
      </c>
      <c r="G391">
        <v>2</v>
      </c>
      <c r="H391">
        <v>56</v>
      </c>
      <c r="I391" t="s">
        <v>386</v>
      </c>
      <c r="J391" t="s">
        <v>386</v>
      </c>
      <c r="K391">
        <v>1000000</v>
      </c>
      <c r="L391">
        <v>169</v>
      </c>
      <c r="M391">
        <v>169</v>
      </c>
      <c r="N391">
        <v>256</v>
      </c>
      <c r="O391">
        <v>0</v>
      </c>
      <c r="P391">
        <v>379</v>
      </c>
      <c r="Q391">
        <v>595</v>
      </c>
      <c r="R391">
        <v>621</v>
      </c>
      <c r="S391">
        <v>431</v>
      </c>
      <c r="T391">
        <v>0</v>
      </c>
      <c r="U391">
        <v>2478</v>
      </c>
      <c r="V391">
        <v>8791.4687936400005</v>
      </c>
      <c r="AH391">
        <f t="shared" si="59"/>
        <v>169</v>
      </c>
      <c r="AI391">
        <f t="shared" si="60"/>
        <v>256</v>
      </c>
      <c r="AJ391" t="str">
        <f t="shared" si="61"/>
        <v/>
      </c>
      <c r="AK391">
        <f t="shared" si="62"/>
        <v>379</v>
      </c>
      <c r="AL391">
        <f t="shared" si="55"/>
        <v>595</v>
      </c>
      <c r="AM391">
        <f t="shared" si="56"/>
        <v>621</v>
      </c>
      <c r="AN391">
        <f t="shared" si="57"/>
        <v>431</v>
      </c>
      <c r="AO391" t="str">
        <f t="shared" si="58"/>
        <v/>
      </c>
    </row>
    <row r="392" spans="1:41">
      <c r="A392">
        <f t="shared" si="63"/>
        <v>388</v>
      </c>
      <c r="B392" t="s">
        <v>268</v>
      </c>
      <c r="C392">
        <v>5</v>
      </c>
      <c r="D392">
        <v>5</v>
      </c>
      <c r="E392" t="s">
        <v>385</v>
      </c>
      <c r="F392">
        <v>412</v>
      </c>
      <c r="G392">
        <v>2</v>
      </c>
      <c r="H392">
        <v>57</v>
      </c>
      <c r="I392" t="s">
        <v>386</v>
      </c>
      <c r="J392" t="s">
        <v>386</v>
      </c>
      <c r="K392">
        <v>1000000</v>
      </c>
      <c r="L392">
        <v>187</v>
      </c>
      <c r="M392">
        <v>187</v>
      </c>
      <c r="N392">
        <v>279</v>
      </c>
      <c r="O392">
        <v>0</v>
      </c>
      <c r="P392">
        <v>422</v>
      </c>
      <c r="Q392">
        <v>658</v>
      </c>
      <c r="R392">
        <v>685</v>
      </c>
      <c r="S392">
        <v>476</v>
      </c>
      <c r="T392">
        <v>0</v>
      </c>
      <c r="U392">
        <v>2572</v>
      </c>
      <c r="V392">
        <v>8843.9085371700003</v>
      </c>
      <c r="AH392">
        <f t="shared" si="59"/>
        <v>187</v>
      </c>
      <c r="AI392">
        <f t="shared" si="60"/>
        <v>279</v>
      </c>
      <c r="AJ392" t="str">
        <f t="shared" si="61"/>
        <v/>
      </c>
      <c r="AK392">
        <f t="shared" si="62"/>
        <v>422</v>
      </c>
      <c r="AL392">
        <f t="shared" si="55"/>
        <v>658</v>
      </c>
      <c r="AM392">
        <f t="shared" si="56"/>
        <v>685</v>
      </c>
      <c r="AN392">
        <f t="shared" si="57"/>
        <v>476</v>
      </c>
      <c r="AO392" t="str">
        <f t="shared" si="58"/>
        <v/>
      </c>
    </row>
    <row r="393" spans="1:41">
      <c r="A393">
        <f t="shared" si="63"/>
        <v>389</v>
      </c>
      <c r="B393" t="s">
        <v>268</v>
      </c>
      <c r="C393">
        <v>5</v>
      </c>
      <c r="D393">
        <v>5</v>
      </c>
      <c r="E393" t="s">
        <v>385</v>
      </c>
      <c r="F393">
        <v>412</v>
      </c>
      <c r="G393">
        <v>2</v>
      </c>
      <c r="H393">
        <v>58</v>
      </c>
      <c r="I393" t="s">
        <v>386</v>
      </c>
      <c r="J393" t="s">
        <v>386</v>
      </c>
      <c r="K393">
        <v>1000000</v>
      </c>
      <c r="L393">
        <v>206</v>
      </c>
      <c r="M393">
        <v>206</v>
      </c>
      <c r="N393">
        <v>305</v>
      </c>
      <c r="O393">
        <v>0</v>
      </c>
      <c r="P393">
        <v>464</v>
      </c>
      <c r="Q393">
        <v>725</v>
      </c>
      <c r="R393">
        <v>757</v>
      </c>
      <c r="S393">
        <v>528</v>
      </c>
      <c r="T393">
        <v>0</v>
      </c>
      <c r="U393">
        <v>2677</v>
      </c>
      <c r="V393">
        <v>8902.1452288399996</v>
      </c>
      <c r="AH393">
        <f t="shared" si="59"/>
        <v>206</v>
      </c>
      <c r="AI393">
        <f t="shared" si="60"/>
        <v>305</v>
      </c>
      <c r="AJ393" t="str">
        <f t="shared" si="61"/>
        <v/>
      </c>
      <c r="AK393">
        <f t="shared" si="62"/>
        <v>464</v>
      </c>
      <c r="AL393">
        <f t="shared" si="55"/>
        <v>725</v>
      </c>
      <c r="AM393">
        <f t="shared" si="56"/>
        <v>757</v>
      </c>
      <c r="AN393">
        <f t="shared" si="57"/>
        <v>528</v>
      </c>
      <c r="AO393" t="str">
        <f t="shared" si="58"/>
        <v/>
      </c>
    </row>
    <row r="394" spans="1:41">
      <c r="A394">
        <f t="shared" si="63"/>
        <v>390</v>
      </c>
      <c r="B394" t="s">
        <v>268</v>
      </c>
      <c r="C394">
        <v>5</v>
      </c>
      <c r="D394">
        <v>5</v>
      </c>
      <c r="E394" t="s">
        <v>385</v>
      </c>
      <c r="F394">
        <v>412</v>
      </c>
      <c r="G394">
        <v>2</v>
      </c>
      <c r="H394">
        <v>59</v>
      </c>
      <c r="I394" t="s">
        <v>386</v>
      </c>
      <c r="J394" t="s">
        <v>386</v>
      </c>
      <c r="K394">
        <v>1000000</v>
      </c>
      <c r="L394">
        <v>228</v>
      </c>
      <c r="M394">
        <v>228</v>
      </c>
      <c r="N394">
        <v>333</v>
      </c>
      <c r="O394">
        <v>0</v>
      </c>
      <c r="P394">
        <v>513</v>
      </c>
      <c r="Q394">
        <v>805</v>
      </c>
      <c r="R394">
        <v>842</v>
      </c>
      <c r="S394">
        <v>589</v>
      </c>
      <c r="T394">
        <v>0</v>
      </c>
      <c r="U394">
        <v>2793</v>
      </c>
      <c r="V394">
        <v>8966.6879732500001</v>
      </c>
      <c r="AH394">
        <f t="shared" si="59"/>
        <v>228</v>
      </c>
      <c r="AI394">
        <f t="shared" si="60"/>
        <v>333</v>
      </c>
      <c r="AJ394" t="str">
        <f t="shared" si="61"/>
        <v/>
      </c>
      <c r="AK394">
        <f t="shared" si="62"/>
        <v>513</v>
      </c>
      <c r="AL394">
        <f t="shared" si="55"/>
        <v>805</v>
      </c>
      <c r="AM394">
        <f t="shared" si="56"/>
        <v>842</v>
      </c>
      <c r="AN394">
        <f t="shared" si="57"/>
        <v>589</v>
      </c>
      <c r="AO394" t="str">
        <f t="shared" si="58"/>
        <v/>
      </c>
    </row>
    <row r="395" spans="1:41">
      <c r="A395">
        <f t="shared" si="63"/>
        <v>391</v>
      </c>
      <c r="B395" t="s">
        <v>268</v>
      </c>
      <c r="C395">
        <v>5</v>
      </c>
      <c r="D395">
        <v>5</v>
      </c>
      <c r="E395" t="s">
        <v>385</v>
      </c>
      <c r="F395">
        <v>412</v>
      </c>
      <c r="G395">
        <v>2</v>
      </c>
      <c r="H395">
        <v>60</v>
      </c>
      <c r="I395" t="s">
        <v>386</v>
      </c>
      <c r="J395" t="s">
        <v>386</v>
      </c>
      <c r="K395">
        <v>1000000</v>
      </c>
      <c r="L395">
        <v>252</v>
      </c>
      <c r="M395">
        <v>252</v>
      </c>
      <c r="N395">
        <v>365</v>
      </c>
      <c r="O395">
        <v>0</v>
      </c>
      <c r="P395">
        <v>571</v>
      </c>
      <c r="Q395">
        <v>896</v>
      </c>
      <c r="R395">
        <v>939</v>
      </c>
      <c r="S395">
        <v>654</v>
      </c>
      <c r="T395">
        <v>0</v>
      </c>
      <c r="U395">
        <v>2922</v>
      </c>
      <c r="V395">
        <v>9038.2329510500003</v>
      </c>
      <c r="AH395">
        <f t="shared" si="59"/>
        <v>252</v>
      </c>
      <c r="AI395">
        <f t="shared" si="60"/>
        <v>365</v>
      </c>
      <c r="AJ395" t="str">
        <f t="shared" si="61"/>
        <v/>
      </c>
      <c r="AK395">
        <f t="shared" si="62"/>
        <v>571</v>
      </c>
      <c r="AL395">
        <f t="shared" si="55"/>
        <v>896</v>
      </c>
      <c r="AM395">
        <f t="shared" si="56"/>
        <v>939</v>
      </c>
      <c r="AN395">
        <f t="shared" si="57"/>
        <v>654</v>
      </c>
      <c r="AO395" t="str">
        <f t="shared" si="58"/>
        <v/>
      </c>
    </row>
    <row r="396" spans="1:41">
      <c r="A396">
        <f t="shared" si="63"/>
        <v>392</v>
      </c>
      <c r="B396" t="s">
        <v>268</v>
      </c>
      <c r="C396">
        <v>5</v>
      </c>
      <c r="D396">
        <v>5</v>
      </c>
      <c r="E396" t="s">
        <v>385</v>
      </c>
      <c r="F396">
        <v>412</v>
      </c>
      <c r="G396">
        <v>2</v>
      </c>
      <c r="H396">
        <v>61</v>
      </c>
      <c r="I396" t="s">
        <v>386</v>
      </c>
      <c r="J396" t="s">
        <v>386</v>
      </c>
      <c r="K396">
        <v>1000000</v>
      </c>
      <c r="L396">
        <v>279</v>
      </c>
      <c r="M396">
        <v>279</v>
      </c>
      <c r="N396">
        <v>400</v>
      </c>
      <c r="O396">
        <v>0</v>
      </c>
      <c r="P396">
        <v>634</v>
      </c>
      <c r="Q396">
        <v>993</v>
      </c>
      <c r="R396">
        <v>1034</v>
      </c>
      <c r="S396">
        <v>716</v>
      </c>
      <c r="T396">
        <v>0</v>
      </c>
      <c r="U396">
        <v>3064</v>
      </c>
      <c r="V396">
        <v>9117.1156309599992</v>
      </c>
      <c r="AH396">
        <f t="shared" si="59"/>
        <v>279</v>
      </c>
      <c r="AI396">
        <f t="shared" si="60"/>
        <v>400</v>
      </c>
      <c r="AJ396" t="str">
        <f t="shared" si="61"/>
        <v/>
      </c>
      <c r="AK396">
        <f t="shared" si="62"/>
        <v>634</v>
      </c>
      <c r="AL396">
        <f t="shared" si="55"/>
        <v>993</v>
      </c>
      <c r="AM396">
        <f t="shared" si="56"/>
        <v>1034</v>
      </c>
      <c r="AN396">
        <f t="shared" si="57"/>
        <v>716</v>
      </c>
      <c r="AO396" t="str">
        <f t="shared" si="58"/>
        <v/>
      </c>
    </row>
    <row r="397" spans="1:41">
      <c r="A397">
        <f t="shared" si="63"/>
        <v>393</v>
      </c>
      <c r="B397" t="s">
        <v>268</v>
      </c>
      <c r="C397">
        <v>5</v>
      </c>
      <c r="D397">
        <v>5</v>
      </c>
      <c r="E397" t="s">
        <v>385</v>
      </c>
      <c r="F397">
        <v>412</v>
      </c>
      <c r="G397">
        <v>2</v>
      </c>
      <c r="H397">
        <v>62</v>
      </c>
      <c r="I397" t="s">
        <v>386</v>
      </c>
      <c r="J397" t="s">
        <v>386</v>
      </c>
      <c r="K397">
        <v>1000000</v>
      </c>
      <c r="L397">
        <v>308</v>
      </c>
      <c r="M397">
        <v>308</v>
      </c>
      <c r="N397">
        <v>438</v>
      </c>
      <c r="O397">
        <v>0</v>
      </c>
      <c r="P397">
        <v>695</v>
      </c>
      <c r="Q397">
        <v>1083</v>
      </c>
      <c r="R397">
        <v>1120</v>
      </c>
      <c r="S397">
        <v>770</v>
      </c>
      <c r="T397">
        <v>0</v>
      </c>
      <c r="U397">
        <v>3219</v>
      </c>
      <c r="V397">
        <v>9203.1813658299998</v>
      </c>
      <c r="AH397">
        <f t="shared" si="59"/>
        <v>308</v>
      </c>
      <c r="AI397">
        <f t="shared" si="60"/>
        <v>438</v>
      </c>
      <c r="AJ397" t="str">
        <f t="shared" si="61"/>
        <v/>
      </c>
      <c r="AK397">
        <f t="shared" si="62"/>
        <v>695</v>
      </c>
      <c r="AL397">
        <f t="shared" si="55"/>
        <v>1083</v>
      </c>
      <c r="AM397">
        <f t="shared" si="56"/>
        <v>1120</v>
      </c>
      <c r="AN397">
        <f t="shared" si="57"/>
        <v>770</v>
      </c>
      <c r="AO397" t="str">
        <f t="shared" si="58"/>
        <v/>
      </c>
    </row>
    <row r="398" spans="1:41">
      <c r="A398">
        <f t="shared" si="63"/>
        <v>394</v>
      </c>
      <c r="B398" t="s">
        <v>268</v>
      </c>
      <c r="C398">
        <v>5</v>
      </c>
      <c r="D398">
        <v>5</v>
      </c>
      <c r="E398" t="s">
        <v>385</v>
      </c>
      <c r="F398">
        <v>412</v>
      </c>
      <c r="G398">
        <v>2</v>
      </c>
      <c r="H398">
        <v>63</v>
      </c>
      <c r="I398" t="s">
        <v>386</v>
      </c>
      <c r="J398" t="s">
        <v>386</v>
      </c>
      <c r="K398">
        <v>1000000</v>
      </c>
      <c r="L398">
        <v>340</v>
      </c>
      <c r="M398">
        <v>340</v>
      </c>
      <c r="N398">
        <v>480</v>
      </c>
      <c r="O398">
        <v>0</v>
      </c>
      <c r="P398">
        <v>749</v>
      </c>
      <c r="Q398">
        <v>1158</v>
      </c>
      <c r="R398">
        <v>1191</v>
      </c>
      <c r="S398">
        <v>816</v>
      </c>
      <c r="T398">
        <v>0</v>
      </c>
      <c r="U398">
        <v>3387</v>
      </c>
      <c r="V398">
        <v>9295.9117088700004</v>
      </c>
      <c r="AH398">
        <f t="shared" si="59"/>
        <v>340</v>
      </c>
      <c r="AI398">
        <f t="shared" si="60"/>
        <v>480</v>
      </c>
      <c r="AJ398" t="str">
        <f t="shared" si="61"/>
        <v/>
      </c>
      <c r="AK398">
        <f t="shared" si="62"/>
        <v>749</v>
      </c>
      <c r="AL398">
        <f t="shared" si="55"/>
        <v>1158</v>
      </c>
      <c r="AM398">
        <f t="shared" si="56"/>
        <v>1191</v>
      </c>
      <c r="AN398">
        <f t="shared" si="57"/>
        <v>816</v>
      </c>
      <c r="AO398" t="str">
        <f t="shared" si="58"/>
        <v/>
      </c>
    </row>
    <row r="399" spans="1:41">
      <c r="A399">
        <f t="shared" si="63"/>
        <v>395</v>
      </c>
      <c r="B399" t="s">
        <v>268</v>
      </c>
      <c r="C399">
        <v>5</v>
      </c>
      <c r="D399">
        <v>5</v>
      </c>
      <c r="E399" t="s">
        <v>385</v>
      </c>
      <c r="F399">
        <v>412</v>
      </c>
      <c r="G399">
        <v>2</v>
      </c>
      <c r="H399">
        <v>64</v>
      </c>
      <c r="I399" t="s">
        <v>386</v>
      </c>
      <c r="J399" t="s">
        <v>386</v>
      </c>
      <c r="K399">
        <v>1000000</v>
      </c>
      <c r="L399">
        <v>373</v>
      </c>
      <c r="M399">
        <v>373</v>
      </c>
      <c r="N399">
        <v>524</v>
      </c>
      <c r="O399">
        <v>0</v>
      </c>
      <c r="P399">
        <v>793</v>
      </c>
      <c r="Q399">
        <v>1220</v>
      </c>
      <c r="R399">
        <v>1251</v>
      </c>
      <c r="S399">
        <v>854</v>
      </c>
      <c r="T399">
        <v>0</v>
      </c>
      <c r="U399">
        <v>3564</v>
      </c>
      <c r="V399">
        <v>9394.3663305900009</v>
      </c>
      <c r="AH399">
        <f t="shared" si="59"/>
        <v>373</v>
      </c>
      <c r="AI399">
        <f t="shared" si="60"/>
        <v>524</v>
      </c>
      <c r="AJ399" t="str">
        <f t="shared" si="61"/>
        <v/>
      </c>
      <c r="AK399">
        <f t="shared" si="62"/>
        <v>793</v>
      </c>
      <c r="AL399">
        <f t="shared" si="55"/>
        <v>1220</v>
      </c>
      <c r="AM399">
        <f t="shared" si="56"/>
        <v>1251</v>
      </c>
      <c r="AN399">
        <f t="shared" si="57"/>
        <v>854</v>
      </c>
      <c r="AO399" t="str">
        <f t="shared" si="58"/>
        <v/>
      </c>
    </row>
    <row r="400" spans="1:41">
      <c r="A400">
        <f t="shared" si="63"/>
        <v>396</v>
      </c>
      <c r="B400" t="s">
        <v>268</v>
      </c>
      <c r="C400">
        <v>5</v>
      </c>
      <c r="D400">
        <v>5</v>
      </c>
      <c r="E400" t="s">
        <v>385</v>
      </c>
      <c r="F400">
        <v>412</v>
      </c>
      <c r="G400">
        <v>2</v>
      </c>
      <c r="H400">
        <v>65</v>
      </c>
      <c r="I400" t="s">
        <v>386</v>
      </c>
      <c r="J400" t="s">
        <v>386</v>
      </c>
      <c r="K400">
        <v>1000000</v>
      </c>
      <c r="L400">
        <v>408</v>
      </c>
      <c r="M400">
        <v>408</v>
      </c>
      <c r="N400">
        <v>570</v>
      </c>
      <c r="O400">
        <v>0</v>
      </c>
      <c r="P400">
        <v>830</v>
      </c>
      <c r="Q400">
        <v>1275</v>
      </c>
      <c r="R400">
        <v>1304</v>
      </c>
      <c r="S400">
        <v>890</v>
      </c>
      <c r="T400">
        <v>0</v>
      </c>
      <c r="U400">
        <v>3750</v>
      </c>
      <c r="V400">
        <v>9497.6849091999993</v>
      </c>
      <c r="AH400">
        <f t="shared" si="59"/>
        <v>408</v>
      </c>
      <c r="AI400">
        <f t="shared" si="60"/>
        <v>570</v>
      </c>
      <c r="AJ400" t="str">
        <f t="shared" si="61"/>
        <v/>
      </c>
      <c r="AK400">
        <f t="shared" si="62"/>
        <v>830</v>
      </c>
      <c r="AL400">
        <f t="shared" si="55"/>
        <v>1275</v>
      </c>
      <c r="AM400">
        <f t="shared" si="56"/>
        <v>1304</v>
      </c>
      <c r="AN400">
        <f t="shared" si="57"/>
        <v>890</v>
      </c>
      <c r="AO400" t="str">
        <f t="shared" si="58"/>
        <v/>
      </c>
    </row>
    <row r="401" spans="1:41">
      <c r="A401">
        <f t="shared" si="63"/>
        <v>397</v>
      </c>
      <c r="B401" t="s">
        <v>268</v>
      </c>
      <c r="C401">
        <v>5</v>
      </c>
      <c r="D401">
        <v>5</v>
      </c>
      <c r="E401" t="s">
        <v>385</v>
      </c>
      <c r="F401">
        <v>412</v>
      </c>
      <c r="G401">
        <v>2</v>
      </c>
      <c r="H401">
        <v>66</v>
      </c>
      <c r="I401" t="s">
        <v>386</v>
      </c>
      <c r="J401" t="s">
        <v>386</v>
      </c>
      <c r="K401">
        <v>1000000</v>
      </c>
      <c r="L401">
        <v>444</v>
      </c>
      <c r="M401">
        <v>444</v>
      </c>
      <c r="N401">
        <v>618</v>
      </c>
      <c r="O401">
        <v>0</v>
      </c>
      <c r="P401">
        <v>865</v>
      </c>
      <c r="Q401">
        <v>1326</v>
      </c>
      <c r="R401">
        <v>1357</v>
      </c>
      <c r="S401">
        <v>926</v>
      </c>
      <c r="T401">
        <v>0</v>
      </c>
      <c r="U401">
        <v>3945</v>
      </c>
      <c r="V401">
        <v>9605.5432752899997</v>
      </c>
      <c r="AH401">
        <f t="shared" si="59"/>
        <v>444</v>
      </c>
      <c r="AI401">
        <f t="shared" si="60"/>
        <v>618</v>
      </c>
      <c r="AJ401" t="str">
        <f t="shared" si="61"/>
        <v/>
      </c>
      <c r="AK401">
        <f t="shared" si="62"/>
        <v>865</v>
      </c>
      <c r="AL401">
        <f t="shared" si="55"/>
        <v>1326</v>
      </c>
      <c r="AM401">
        <f t="shared" si="56"/>
        <v>1357</v>
      </c>
      <c r="AN401">
        <f t="shared" si="57"/>
        <v>926</v>
      </c>
      <c r="AO401" t="str">
        <f t="shared" si="58"/>
        <v/>
      </c>
    </row>
    <row r="402" spans="1:41">
      <c r="A402">
        <f t="shared" si="63"/>
        <v>398</v>
      </c>
      <c r="B402" t="s">
        <v>268</v>
      </c>
      <c r="C402">
        <v>5</v>
      </c>
      <c r="D402">
        <v>5</v>
      </c>
      <c r="E402" t="s">
        <v>385</v>
      </c>
      <c r="F402">
        <v>412</v>
      </c>
      <c r="G402">
        <v>2</v>
      </c>
      <c r="H402">
        <v>67</v>
      </c>
      <c r="I402" t="s">
        <v>386</v>
      </c>
      <c r="J402" t="s">
        <v>386</v>
      </c>
      <c r="K402">
        <v>1000000</v>
      </c>
      <c r="L402">
        <v>483</v>
      </c>
      <c r="M402">
        <v>483</v>
      </c>
      <c r="N402">
        <v>668</v>
      </c>
      <c r="O402">
        <v>0</v>
      </c>
      <c r="P402">
        <v>900</v>
      </c>
      <c r="Q402">
        <v>1383</v>
      </c>
      <c r="R402">
        <v>1418</v>
      </c>
      <c r="S402">
        <v>973</v>
      </c>
      <c r="T402">
        <v>0</v>
      </c>
      <c r="U402">
        <v>4148</v>
      </c>
      <c r="V402">
        <v>9718.3397281199996</v>
      </c>
      <c r="AH402">
        <f t="shared" si="59"/>
        <v>483</v>
      </c>
      <c r="AI402">
        <f t="shared" si="60"/>
        <v>668</v>
      </c>
      <c r="AJ402" t="str">
        <f t="shared" si="61"/>
        <v/>
      </c>
      <c r="AK402">
        <f t="shared" si="62"/>
        <v>900</v>
      </c>
      <c r="AL402">
        <f t="shared" si="55"/>
        <v>1383</v>
      </c>
      <c r="AM402">
        <f t="shared" si="56"/>
        <v>1418</v>
      </c>
      <c r="AN402">
        <f t="shared" si="57"/>
        <v>973</v>
      </c>
      <c r="AO402" t="str">
        <f t="shared" si="58"/>
        <v/>
      </c>
    </row>
    <row r="403" spans="1:41">
      <c r="A403">
        <f t="shared" si="63"/>
        <v>399</v>
      </c>
      <c r="B403" t="s">
        <v>268</v>
      </c>
      <c r="C403">
        <v>5</v>
      </c>
      <c r="D403">
        <v>5</v>
      </c>
      <c r="E403" t="s">
        <v>385</v>
      </c>
      <c r="F403">
        <v>412</v>
      </c>
      <c r="G403">
        <v>2</v>
      </c>
      <c r="H403">
        <v>68</v>
      </c>
      <c r="I403" t="s">
        <v>386</v>
      </c>
      <c r="J403" t="s">
        <v>386</v>
      </c>
      <c r="K403">
        <v>1000000</v>
      </c>
      <c r="L403">
        <v>523</v>
      </c>
      <c r="M403">
        <v>523</v>
      </c>
      <c r="N403">
        <v>721</v>
      </c>
      <c r="O403">
        <v>0</v>
      </c>
      <c r="P403">
        <v>946</v>
      </c>
      <c r="Q403">
        <v>1460</v>
      </c>
      <c r="R403">
        <v>1507</v>
      </c>
      <c r="S403">
        <v>1043</v>
      </c>
      <c r="T403">
        <v>0</v>
      </c>
      <c r="U403">
        <v>4363</v>
      </c>
      <c r="V403">
        <v>9837.5175951900001</v>
      </c>
      <c r="AH403">
        <f t="shared" si="59"/>
        <v>523</v>
      </c>
      <c r="AI403">
        <f t="shared" si="60"/>
        <v>721</v>
      </c>
      <c r="AJ403" t="str">
        <f t="shared" si="61"/>
        <v/>
      </c>
      <c r="AK403">
        <f t="shared" si="62"/>
        <v>946</v>
      </c>
      <c r="AL403">
        <f t="shared" si="55"/>
        <v>1460</v>
      </c>
      <c r="AM403">
        <f t="shared" si="56"/>
        <v>1507</v>
      </c>
      <c r="AN403">
        <f t="shared" si="57"/>
        <v>1043</v>
      </c>
      <c r="AO403" t="str">
        <f t="shared" si="58"/>
        <v/>
      </c>
    </row>
    <row r="404" spans="1:41">
      <c r="A404">
        <f t="shared" si="63"/>
        <v>400</v>
      </c>
      <c r="B404" t="s">
        <v>268</v>
      </c>
      <c r="C404">
        <v>5</v>
      </c>
      <c r="D404">
        <v>5</v>
      </c>
      <c r="E404" t="s">
        <v>385</v>
      </c>
      <c r="F404">
        <v>412</v>
      </c>
      <c r="G404">
        <v>2</v>
      </c>
      <c r="H404">
        <v>69</v>
      </c>
      <c r="I404" t="s">
        <v>386</v>
      </c>
      <c r="J404" t="s">
        <v>386</v>
      </c>
      <c r="K404">
        <v>1000000</v>
      </c>
      <c r="L404">
        <v>566</v>
      </c>
      <c r="M404">
        <v>566</v>
      </c>
      <c r="N404">
        <v>778</v>
      </c>
      <c r="O404">
        <v>0</v>
      </c>
      <c r="P404">
        <v>1010</v>
      </c>
      <c r="Q404">
        <v>1570</v>
      </c>
      <c r="R404">
        <v>1634</v>
      </c>
      <c r="S404">
        <v>1137</v>
      </c>
      <c r="T404">
        <v>0</v>
      </c>
      <c r="U404">
        <v>4593</v>
      </c>
      <c r="V404">
        <v>9965.0464120899996</v>
      </c>
      <c r="AH404">
        <f t="shared" si="59"/>
        <v>566</v>
      </c>
      <c r="AI404">
        <f t="shared" si="60"/>
        <v>778</v>
      </c>
      <c r="AJ404" t="str">
        <f t="shared" si="61"/>
        <v/>
      </c>
      <c r="AK404">
        <f t="shared" si="62"/>
        <v>1010</v>
      </c>
      <c r="AL404">
        <f t="shared" si="55"/>
        <v>1570</v>
      </c>
      <c r="AM404">
        <f t="shared" si="56"/>
        <v>1634</v>
      </c>
      <c r="AN404">
        <f t="shared" si="57"/>
        <v>1137</v>
      </c>
      <c r="AO404" t="str">
        <f t="shared" si="58"/>
        <v/>
      </c>
    </row>
    <row r="405" spans="1:41">
      <c r="A405">
        <f t="shared" si="63"/>
        <v>401</v>
      </c>
      <c r="B405" t="s">
        <v>268</v>
      </c>
      <c r="C405">
        <v>5</v>
      </c>
      <c r="D405">
        <v>5</v>
      </c>
      <c r="E405" t="s">
        <v>385</v>
      </c>
      <c r="F405">
        <v>412</v>
      </c>
      <c r="G405">
        <v>2</v>
      </c>
      <c r="H405">
        <v>70</v>
      </c>
      <c r="I405" t="s">
        <v>386</v>
      </c>
      <c r="J405" t="s">
        <v>386</v>
      </c>
      <c r="K405">
        <v>1000000</v>
      </c>
      <c r="L405">
        <v>613</v>
      </c>
      <c r="M405">
        <v>613</v>
      </c>
      <c r="N405">
        <v>839</v>
      </c>
      <c r="O405">
        <v>0</v>
      </c>
      <c r="P405">
        <v>1091</v>
      </c>
      <c r="Q405">
        <v>1704</v>
      </c>
      <c r="R405">
        <v>1773</v>
      </c>
      <c r="S405">
        <v>1222</v>
      </c>
      <c r="T405">
        <v>0</v>
      </c>
      <c r="U405">
        <v>4839</v>
      </c>
      <c r="V405">
        <v>10101.61264322</v>
      </c>
      <c r="AH405">
        <f t="shared" si="59"/>
        <v>613</v>
      </c>
      <c r="AI405">
        <f t="shared" si="60"/>
        <v>839</v>
      </c>
      <c r="AJ405" t="str">
        <f t="shared" si="61"/>
        <v/>
      </c>
      <c r="AK405">
        <f t="shared" si="62"/>
        <v>1091</v>
      </c>
      <c r="AL405">
        <f t="shared" si="55"/>
        <v>1704</v>
      </c>
      <c r="AM405">
        <f t="shared" si="56"/>
        <v>1773</v>
      </c>
      <c r="AN405">
        <f t="shared" si="57"/>
        <v>1222</v>
      </c>
      <c r="AO405" t="str">
        <f t="shared" si="58"/>
        <v/>
      </c>
    </row>
    <row r="406" spans="1:41">
      <c r="A406">
        <f t="shared" si="63"/>
        <v>402</v>
      </c>
      <c r="B406" t="s">
        <v>268</v>
      </c>
      <c r="C406">
        <v>5</v>
      </c>
      <c r="D406">
        <v>5</v>
      </c>
      <c r="E406" t="s">
        <v>385</v>
      </c>
      <c r="F406">
        <v>412</v>
      </c>
      <c r="G406">
        <v>2</v>
      </c>
      <c r="H406">
        <v>71</v>
      </c>
      <c r="I406" t="s">
        <v>386</v>
      </c>
      <c r="J406" t="s">
        <v>386</v>
      </c>
      <c r="K406">
        <v>1000000</v>
      </c>
      <c r="L406">
        <v>661</v>
      </c>
      <c r="M406">
        <v>661</v>
      </c>
      <c r="N406">
        <v>903</v>
      </c>
      <c r="O406">
        <v>0</v>
      </c>
      <c r="P406">
        <v>1166</v>
      </c>
      <c r="Q406">
        <v>1806</v>
      </c>
      <c r="R406">
        <v>1844</v>
      </c>
      <c r="S406">
        <v>1233</v>
      </c>
      <c r="T406">
        <v>0</v>
      </c>
      <c r="U406">
        <v>5096</v>
      </c>
      <c r="V406">
        <v>10244.06356158</v>
      </c>
      <c r="AH406">
        <f t="shared" si="59"/>
        <v>661</v>
      </c>
      <c r="AI406">
        <f t="shared" si="60"/>
        <v>903</v>
      </c>
      <c r="AJ406" t="str">
        <f t="shared" si="61"/>
        <v/>
      </c>
      <c r="AK406">
        <f t="shared" si="62"/>
        <v>1166</v>
      </c>
      <c r="AL406">
        <f t="shared" si="55"/>
        <v>1806</v>
      </c>
      <c r="AM406">
        <f t="shared" si="56"/>
        <v>1844</v>
      </c>
      <c r="AN406">
        <f t="shared" si="57"/>
        <v>1233</v>
      </c>
      <c r="AO406" t="str">
        <f t="shared" si="58"/>
        <v/>
      </c>
    </row>
    <row r="407" spans="1:41">
      <c r="A407">
        <f t="shared" si="63"/>
        <v>403</v>
      </c>
      <c r="B407" t="s">
        <v>268</v>
      </c>
      <c r="C407">
        <v>5</v>
      </c>
      <c r="D407">
        <v>5</v>
      </c>
      <c r="E407" t="s">
        <v>385</v>
      </c>
      <c r="F407">
        <v>412</v>
      </c>
      <c r="G407">
        <v>2</v>
      </c>
      <c r="H407">
        <v>72</v>
      </c>
      <c r="I407" t="s">
        <v>386</v>
      </c>
      <c r="J407" t="s">
        <v>386</v>
      </c>
      <c r="K407">
        <v>1000000</v>
      </c>
      <c r="L407">
        <v>708</v>
      </c>
      <c r="M407">
        <v>708</v>
      </c>
      <c r="N407">
        <v>965</v>
      </c>
      <c r="O407">
        <v>0</v>
      </c>
      <c r="P407">
        <v>1179</v>
      </c>
      <c r="Q407">
        <v>1774</v>
      </c>
      <c r="R407">
        <v>1738</v>
      </c>
      <c r="S407">
        <v>1101</v>
      </c>
      <c r="T407">
        <v>0</v>
      </c>
      <c r="U407">
        <v>5348</v>
      </c>
      <c r="V407">
        <v>10383.778748520001</v>
      </c>
      <c r="AH407">
        <f t="shared" si="59"/>
        <v>708</v>
      </c>
      <c r="AI407">
        <f t="shared" si="60"/>
        <v>965</v>
      </c>
      <c r="AJ407" t="str">
        <f t="shared" si="61"/>
        <v/>
      </c>
      <c r="AK407">
        <f t="shared" si="62"/>
        <v>1179</v>
      </c>
      <c r="AL407">
        <f t="shared" si="55"/>
        <v>1774</v>
      </c>
      <c r="AM407">
        <f t="shared" si="56"/>
        <v>1738</v>
      </c>
      <c r="AN407">
        <f t="shared" si="57"/>
        <v>1101</v>
      </c>
      <c r="AO407" t="str">
        <f t="shared" si="58"/>
        <v/>
      </c>
    </row>
    <row r="408" spans="1:41">
      <c r="A408">
        <f t="shared" si="63"/>
        <v>404</v>
      </c>
      <c r="B408" t="s">
        <v>268</v>
      </c>
      <c r="C408">
        <v>5</v>
      </c>
      <c r="D408">
        <v>5</v>
      </c>
      <c r="E408" t="s">
        <v>385</v>
      </c>
      <c r="F408">
        <v>412</v>
      </c>
      <c r="G408">
        <v>2</v>
      </c>
      <c r="H408">
        <v>73</v>
      </c>
      <c r="I408" t="s">
        <v>386</v>
      </c>
      <c r="J408" t="s">
        <v>386</v>
      </c>
      <c r="K408">
        <v>1000000</v>
      </c>
      <c r="L408">
        <v>750</v>
      </c>
      <c r="M408">
        <v>750</v>
      </c>
      <c r="N408">
        <v>1021</v>
      </c>
      <c r="O408">
        <v>0</v>
      </c>
      <c r="P408">
        <v>1064</v>
      </c>
      <c r="Q408">
        <v>1513</v>
      </c>
      <c r="R408">
        <v>1377</v>
      </c>
      <c r="S408">
        <v>795</v>
      </c>
      <c r="T408">
        <v>0</v>
      </c>
      <c r="U408">
        <v>5570</v>
      </c>
      <c r="V408">
        <v>10506.784493650001</v>
      </c>
      <c r="AH408">
        <f t="shared" si="59"/>
        <v>750</v>
      </c>
      <c r="AI408">
        <f t="shared" si="60"/>
        <v>1021</v>
      </c>
      <c r="AJ408" t="str">
        <f t="shared" si="61"/>
        <v/>
      </c>
      <c r="AK408">
        <f t="shared" si="62"/>
        <v>1064</v>
      </c>
      <c r="AL408">
        <f t="shared" si="55"/>
        <v>1513</v>
      </c>
      <c r="AM408">
        <f t="shared" si="56"/>
        <v>1377</v>
      </c>
      <c r="AN408">
        <f t="shared" si="57"/>
        <v>795</v>
      </c>
      <c r="AO408" t="str">
        <f t="shared" si="58"/>
        <v/>
      </c>
    </row>
    <row r="409" spans="1:41">
      <c r="A409">
        <f t="shared" si="63"/>
        <v>405</v>
      </c>
      <c r="B409" t="s">
        <v>268</v>
      </c>
      <c r="C409">
        <v>5</v>
      </c>
      <c r="D409">
        <v>5</v>
      </c>
      <c r="E409" t="s">
        <v>385</v>
      </c>
      <c r="F409">
        <v>412</v>
      </c>
      <c r="G409">
        <v>2</v>
      </c>
      <c r="H409">
        <v>74</v>
      </c>
      <c r="I409" t="s">
        <v>386</v>
      </c>
      <c r="J409" t="s">
        <v>386</v>
      </c>
      <c r="K409">
        <v>1000000</v>
      </c>
      <c r="L409">
        <v>781</v>
      </c>
      <c r="M409">
        <v>781</v>
      </c>
      <c r="N409">
        <v>1061</v>
      </c>
      <c r="O409">
        <v>0</v>
      </c>
      <c r="P409">
        <v>789</v>
      </c>
      <c r="Q409">
        <v>1005</v>
      </c>
      <c r="R409">
        <v>788</v>
      </c>
      <c r="S409">
        <v>370</v>
      </c>
      <c r="T409">
        <v>0</v>
      </c>
      <c r="U409">
        <v>5735</v>
      </c>
      <c r="V409">
        <v>10597.888236860001</v>
      </c>
      <c r="AH409">
        <f t="shared" si="59"/>
        <v>781</v>
      </c>
      <c r="AI409">
        <f t="shared" si="60"/>
        <v>1061</v>
      </c>
      <c r="AJ409" t="str">
        <f t="shared" si="61"/>
        <v/>
      </c>
      <c r="AK409">
        <f t="shared" si="62"/>
        <v>789</v>
      </c>
      <c r="AL409">
        <f t="shared" si="55"/>
        <v>1005</v>
      </c>
      <c r="AM409">
        <f t="shared" si="56"/>
        <v>788</v>
      </c>
      <c r="AN409">
        <f t="shared" si="57"/>
        <v>370</v>
      </c>
      <c r="AO409" t="str">
        <f t="shared" si="58"/>
        <v/>
      </c>
    </row>
    <row r="410" spans="1:41">
      <c r="A410">
        <f t="shared" si="63"/>
        <v>406</v>
      </c>
      <c r="B410" t="s">
        <v>268</v>
      </c>
      <c r="C410">
        <v>5</v>
      </c>
      <c r="D410">
        <v>5</v>
      </c>
      <c r="E410" t="s">
        <v>385</v>
      </c>
      <c r="F410">
        <v>412</v>
      </c>
      <c r="G410">
        <v>2</v>
      </c>
      <c r="H410">
        <v>75</v>
      </c>
      <c r="I410" t="s">
        <v>386</v>
      </c>
      <c r="J410" t="s">
        <v>386</v>
      </c>
      <c r="K410">
        <v>1000000</v>
      </c>
      <c r="L410">
        <v>798</v>
      </c>
      <c r="M410">
        <v>798</v>
      </c>
      <c r="N410">
        <v>1083</v>
      </c>
      <c r="O410">
        <v>0</v>
      </c>
      <c r="P410">
        <v>389</v>
      </c>
      <c r="Q410">
        <v>351</v>
      </c>
      <c r="R410">
        <v>118</v>
      </c>
      <c r="S410">
        <v>-59</v>
      </c>
      <c r="T410">
        <v>0</v>
      </c>
      <c r="U410">
        <v>5823</v>
      </c>
      <c r="V410">
        <v>10646.363161179999</v>
      </c>
      <c r="AH410">
        <f t="shared" si="59"/>
        <v>798</v>
      </c>
      <c r="AI410">
        <f t="shared" si="60"/>
        <v>1083</v>
      </c>
      <c r="AJ410" t="str">
        <f t="shared" si="61"/>
        <v/>
      </c>
      <c r="AK410">
        <f t="shared" si="62"/>
        <v>389</v>
      </c>
      <c r="AL410">
        <f t="shared" si="55"/>
        <v>351</v>
      </c>
      <c r="AM410">
        <f t="shared" si="56"/>
        <v>118</v>
      </c>
      <c r="AN410">
        <f t="shared" si="57"/>
        <v>-59</v>
      </c>
      <c r="AO410" t="str">
        <f t="shared" si="58"/>
        <v/>
      </c>
    </row>
    <row r="411" spans="1:41">
      <c r="A411">
        <f t="shared" si="63"/>
        <v>407</v>
      </c>
      <c r="B411" t="s">
        <v>268</v>
      </c>
      <c r="C411">
        <v>4</v>
      </c>
      <c r="D411">
        <v>4</v>
      </c>
      <c r="E411" t="s">
        <v>385</v>
      </c>
      <c r="F411">
        <v>412</v>
      </c>
      <c r="G411">
        <v>2</v>
      </c>
      <c r="H411">
        <v>76</v>
      </c>
      <c r="I411" t="s">
        <v>386</v>
      </c>
      <c r="J411" t="s">
        <v>386</v>
      </c>
      <c r="K411">
        <v>1000000</v>
      </c>
      <c r="L411">
        <v>806</v>
      </c>
      <c r="M411">
        <v>806</v>
      </c>
      <c r="N411">
        <v>1128</v>
      </c>
      <c r="O411">
        <v>0</v>
      </c>
      <c r="P411">
        <v>54</v>
      </c>
      <c r="Q411">
        <v>-83</v>
      </c>
      <c r="R411">
        <v>-162</v>
      </c>
      <c r="S411">
        <v>0</v>
      </c>
      <c r="T411" t="s">
        <v>386</v>
      </c>
      <c r="U411">
        <v>6002</v>
      </c>
      <c r="V411">
        <v>10195.648498439999</v>
      </c>
      <c r="AH411">
        <f t="shared" si="59"/>
        <v>806</v>
      </c>
      <c r="AI411">
        <f t="shared" si="60"/>
        <v>1128</v>
      </c>
      <c r="AJ411" t="str">
        <f t="shared" si="61"/>
        <v/>
      </c>
      <c r="AK411">
        <f t="shared" si="62"/>
        <v>54</v>
      </c>
      <c r="AL411">
        <f t="shared" si="55"/>
        <v>-83</v>
      </c>
      <c r="AM411">
        <f t="shared" si="56"/>
        <v>-162</v>
      </c>
      <c r="AN411" t="str">
        <f t="shared" si="57"/>
        <v/>
      </c>
      <c r="AO411" t="e">
        <f t="shared" si="58"/>
        <v>#VALUE!</v>
      </c>
    </row>
    <row r="412" spans="1:41">
      <c r="A412">
        <f t="shared" si="63"/>
        <v>408</v>
      </c>
      <c r="B412" t="s">
        <v>268</v>
      </c>
      <c r="C412">
        <v>3</v>
      </c>
      <c r="D412">
        <v>3</v>
      </c>
      <c r="E412" t="s">
        <v>385</v>
      </c>
      <c r="F412">
        <v>412</v>
      </c>
      <c r="G412">
        <v>2</v>
      </c>
      <c r="H412">
        <v>77</v>
      </c>
      <c r="I412" t="s">
        <v>386</v>
      </c>
      <c r="J412" t="s">
        <v>386</v>
      </c>
      <c r="K412">
        <v>1000000</v>
      </c>
      <c r="L412">
        <v>808</v>
      </c>
      <c r="M412">
        <v>808</v>
      </c>
      <c r="N412">
        <v>1189</v>
      </c>
      <c r="O412">
        <v>0</v>
      </c>
      <c r="P412">
        <v>-120</v>
      </c>
      <c r="Q412">
        <v>-181</v>
      </c>
      <c r="R412">
        <v>0</v>
      </c>
      <c r="S412" t="s">
        <v>386</v>
      </c>
      <c r="T412" t="s">
        <v>386</v>
      </c>
      <c r="U412">
        <v>6246</v>
      </c>
      <c r="V412">
        <v>9722.1184008700002</v>
      </c>
      <c r="AH412">
        <f t="shared" si="59"/>
        <v>808</v>
      </c>
      <c r="AI412">
        <f t="shared" si="60"/>
        <v>1189</v>
      </c>
      <c r="AJ412" t="str">
        <f t="shared" si="61"/>
        <v/>
      </c>
      <c r="AK412">
        <f t="shared" si="62"/>
        <v>-120</v>
      </c>
      <c r="AL412">
        <f t="shared" si="55"/>
        <v>-181</v>
      </c>
      <c r="AM412" t="str">
        <f t="shared" si="56"/>
        <v/>
      </c>
      <c r="AN412" t="e">
        <f t="shared" si="57"/>
        <v>#VALUE!</v>
      </c>
      <c r="AO412" t="e">
        <f t="shared" si="58"/>
        <v>#VALUE!</v>
      </c>
    </row>
    <row r="413" spans="1:41">
      <c r="A413">
        <f t="shared" si="63"/>
        <v>409</v>
      </c>
      <c r="B413" t="s">
        <v>268</v>
      </c>
      <c r="C413">
        <v>2</v>
      </c>
      <c r="D413">
        <v>2</v>
      </c>
      <c r="E413" t="s">
        <v>385</v>
      </c>
      <c r="F413">
        <v>412</v>
      </c>
      <c r="G413">
        <v>2</v>
      </c>
      <c r="H413">
        <v>78</v>
      </c>
      <c r="I413" t="s">
        <v>386</v>
      </c>
      <c r="J413" t="s">
        <v>386</v>
      </c>
      <c r="K413">
        <v>1000000</v>
      </c>
      <c r="L413">
        <v>803</v>
      </c>
      <c r="M413">
        <v>803</v>
      </c>
      <c r="N413">
        <v>1270</v>
      </c>
      <c r="O413">
        <v>0</v>
      </c>
      <c r="P413">
        <v>-120</v>
      </c>
      <c r="Q413">
        <v>0</v>
      </c>
      <c r="R413" t="s">
        <v>386</v>
      </c>
      <c r="S413" t="s">
        <v>386</v>
      </c>
      <c r="T413" t="s">
        <v>386</v>
      </c>
      <c r="U413">
        <v>5895</v>
      </c>
      <c r="V413">
        <v>9238.7626385099993</v>
      </c>
      <c r="AH413">
        <f t="shared" si="59"/>
        <v>803</v>
      </c>
      <c r="AI413">
        <f t="shared" si="60"/>
        <v>1270</v>
      </c>
      <c r="AJ413" t="str">
        <f t="shared" si="61"/>
        <v/>
      </c>
      <c r="AK413">
        <f t="shared" si="62"/>
        <v>-120</v>
      </c>
      <c r="AL413" t="str">
        <f t="shared" si="55"/>
        <v/>
      </c>
      <c r="AM413" t="e">
        <f t="shared" si="56"/>
        <v>#VALUE!</v>
      </c>
      <c r="AN413" t="e">
        <f t="shared" si="57"/>
        <v>#VALUE!</v>
      </c>
      <c r="AO413" t="e">
        <f t="shared" si="58"/>
        <v>#VALUE!</v>
      </c>
    </row>
    <row r="414" spans="1:41">
      <c r="A414">
        <f t="shared" si="63"/>
        <v>410</v>
      </c>
      <c r="B414" t="s">
        <v>268</v>
      </c>
      <c r="C414">
        <v>1</v>
      </c>
      <c r="D414">
        <v>1</v>
      </c>
      <c r="E414" t="s">
        <v>385</v>
      </c>
      <c r="F414">
        <v>412</v>
      </c>
      <c r="G414">
        <v>2</v>
      </c>
      <c r="H414">
        <v>79</v>
      </c>
      <c r="I414" t="s">
        <v>386</v>
      </c>
      <c r="J414" t="s">
        <v>386</v>
      </c>
      <c r="K414">
        <v>1000000</v>
      </c>
      <c r="L414">
        <v>793</v>
      </c>
      <c r="M414">
        <v>793</v>
      </c>
      <c r="N414">
        <v>1508</v>
      </c>
      <c r="O414">
        <v>0</v>
      </c>
      <c r="P414">
        <v>0</v>
      </c>
      <c r="Q414" t="s">
        <v>386</v>
      </c>
      <c r="R414" t="s">
        <v>386</v>
      </c>
      <c r="S414" t="s">
        <v>386</v>
      </c>
      <c r="T414" t="s">
        <v>386</v>
      </c>
      <c r="U414">
        <v>5425</v>
      </c>
      <c r="V414">
        <v>8758.5729449400005</v>
      </c>
      <c r="AH414">
        <f t="shared" si="59"/>
        <v>793</v>
      </c>
      <c r="AI414">
        <f t="shared" si="60"/>
        <v>1508</v>
      </c>
      <c r="AJ414" t="str">
        <f t="shared" si="61"/>
        <v/>
      </c>
      <c r="AK414" t="str">
        <f t="shared" si="62"/>
        <v/>
      </c>
      <c r="AL414" t="e">
        <f t="shared" si="55"/>
        <v>#VALUE!</v>
      </c>
      <c r="AM414" t="e">
        <f t="shared" si="56"/>
        <v>#VALUE!</v>
      </c>
      <c r="AN414" t="e">
        <f t="shared" si="57"/>
        <v>#VALUE!</v>
      </c>
      <c r="AO414" t="e">
        <f t="shared" si="58"/>
        <v>#VALUE!</v>
      </c>
    </row>
    <row r="415" spans="1:41">
      <c r="A415">
        <f t="shared" si="63"/>
        <v>411</v>
      </c>
      <c r="B415" t="s">
        <v>268</v>
      </c>
      <c r="C415">
        <v>5</v>
      </c>
      <c r="D415">
        <v>5</v>
      </c>
      <c r="E415" t="s">
        <v>387</v>
      </c>
      <c r="F415">
        <v>412</v>
      </c>
      <c r="G415">
        <v>2</v>
      </c>
      <c r="H415">
        <v>30</v>
      </c>
      <c r="I415" t="s">
        <v>386</v>
      </c>
      <c r="J415" t="s">
        <v>386</v>
      </c>
      <c r="K415">
        <v>1000000</v>
      </c>
      <c r="L415">
        <v>16</v>
      </c>
      <c r="M415">
        <v>16</v>
      </c>
      <c r="N415">
        <v>55</v>
      </c>
      <c r="O415">
        <v>0</v>
      </c>
      <c r="P415">
        <v>26</v>
      </c>
      <c r="Q415">
        <v>39</v>
      </c>
      <c r="R415">
        <v>38</v>
      </c>
      <c r="S415">
        <v>25</v>
      </c>
      <c r="T415">
        <v>0</v>
      </c>
      <c r="U415">
        <v>1663</v>
      </c>
      <c r="V415">
        <v>8338.9268362900002</v>
      </c>
      <c r="AH415">
        <f t="shared" si="59"/>
        <v>16</v>
      </c>
      <c r="AI415">
        <f t="shared" si="60"/>
        <v>55</v>
      </c>
      <c r="AJ415" t="str">
        <f t="shared" si="61"/>
        <v/>
      </c>
      <c r="AK415">
        <f t="shared" si="62"/>
        <v>26</v>
      </c>
      <c r="AL415">
        <f t="shared" si="55"/>
        <v>39</v>
      </c>
      <c r="AM415">
        <f t="shared" si="56"/>
        <v>38</v>
      </c>
      <c r="AN415">
        <f t="shared" si="57"/>
        <v>25</v>
      </c>
      <c r="AO415" t="str">
        <f t="shared" si="58"/>
        <v/>
      </c>
    </row>
    <row r="416" spans="1:41">
      <c r="A416">
        <f t="shared" si="63"/>
        <v>412</v>
      </c>
      <c r="B416" t="s">
        <v>268</v>
      </c>
      <c r="C416">
        <v>5</v>
      </c>
      <c r="D416">
        <v>5</v>
      </c>
      <c r="E416" t="s">
        <v>387</v>
      </c>
      <c r="F416">
        <v>412</v>
      </c>
      <c r="G416">
        <v>2</v>
      </c>
      <c r="H416">
        <v>31</v>
      </c>
      <c r="I416" t="s">
        <v>386</v>
      </c>
      <c r="J416" t="s">
        <v>386</v>
      </c>
      <c r="K416">
        <v>1000000</v>
      </c>
      <c r="L416">
        <v>17</v>
      </c>
      <c r="M416">
        <v>17</v>
      </c>
      <c r="N416">
        <v>56</v>
      </c>
      <c r="O416">
        <v>0</v>
      </c>
      <c r="P416">
        <v>24</v>
      </c>
      <c r="Q416">
        <v>36</v>
      </c>
      <c r="R416">
        <v>35</v>
      </c>
      <c r="S416">
        <v>23</v>
      </c>
      <c r="T416">
        <v>0</v>
      </c>
      <c r="U416">
        <v>1669</v>
      </c>
      <c r="V416">
        <v>8341.9515926099994</v>
      </c>
      <c r="AH416">
        <f t="shared" si="59"/>
        <v>17</v>
      </c>
      <c r="AI416">
        <f t="shared" si="60"/>
        <v>56</v>
      </c>
      <c r="AJ416" t="str">
        <f t="shared" si="61"/>
        <v/>
      </c>
      <c r="AK416">
        <f t="shared" si="62"/>
        <v>24</v>
      </c>
      <c r="AL416">
        <f t="shared" si="55"/>
        <v>36</v>
      </c>
      <c r="AM416">
        <f t="shared" si="56"/>
        <v>35</v>
      </c>
      <c r="AN416">
        <f t="shared" si="57"/>
        <v>23</v>
      </c>
      <c r="AO416" t="str">
        <f t="shared" si="58"/>
        <v/>
      </c>
    </row>
    <row r="417" spans="1:41">
      <c r="A417">
        <f t="shared" si="63"/>
        <v>413</v>
      </c>
      <c r="B417" t="s">
        <v>268</v>
      </c>
      <c r="C417">
        <v>5</v>
      </c>
      <c r="D417">
        <v>5</v>
      </c>
      <c r="E417" t="s">
        <v>387</v>
      </c>
      <c r="F417">
        <v>412</v>
      </c>
      <c r="G417">
        <v>2</v>
      </c>
      <c r="H417">
        <v>32</v>
      </c>
      <c r="I417" t="s">
        <v>386</v>
      </c>
      <c r="J417" t="s">
        <v>386</v>
      </c>
      <c r="K417">
        <v>1000000</v>
      </c>
      <c r="L417">
        <v>18</v>
      </c>
      <c r="M417">
        <v>18</v>
      </c>
      <c r="N417">
        <v>58</v>
      </c>
      <c r="O417">
        <v>0</v>
      </c>
      <c r="P417">
        <v>23</v>
      </c>
      <c r="Q417">
        <v>32</v>
      </c>
      <c r="R417">
        <v>32</v>
      </c>
      <c r="S417">
        <v>20</v>
      </c>
      <c r="T417">
        <v>0</v>
      </c>
      <c r="U417">
        <v>1674</v>
      </c>
      <c r="V417">
        <v>8344.7306788400001</v>
      </c>
      <c r="AH417">
        <f t="shared" si="59"/>
        <v>18</v>
      </c>
      <c r="AI417">
        <f t="shared" si="60"/>
        <v>58</v>
      </c>
      <c r="AJ417" t="str">
        <f t="shared" si="61"/>
        <v/>
      </c>
      <c r="AK417">
        <f t="shared" si="62"/>
        <v>23</v>
      </c>
      <c r="AL417">
        <f t="shared" si="55"/>
        <v>32</v>
      </c>
      <c r="AM417">
        <f t="shared" si="56"/>
        <v>32</v>
      </c>
      <c r="AN417">
        <f t="shared" si="57"/>
        <v>20</v>
      </c>
      <c r="AO417" t="str">
        <f t="shared" si="58"/>
        <v/>
      </c>
    </row>
    <row r="418" spans="1:41">
      <c r="A418">
        <f t="shared" si="63"/>
        <v>414</v>
      </c>
      <c r="B418" t="s">
        <v>268</v>
      </c>
      <c r="C418">
        <v>5</v>
      </c>
      <c r="D418">
        <v>5</v>
      </c>
      <c r="E418" t="s">
        <v>387</v>
      </c>
      <c r="F418">
        <v>412</v>
      </c>
      <c r="G418">
        <v>2</v>
      </c>
      <c r="H418">
        <v>33</v>
      </c>
      <c r="I418" t="s">
        <v>386</v>
      </c>
      <c r="J418" t="s">
        <v>386</v>
      </c>
      <c r="K418">
        <v>1000000</v>
      </c>
      <c r="L418">
        <v>19</v>
      </c>
      <c r="M418">
        <v>19</v>
      </c>
      <c r="N418">
        <v>59</v>
      </c>
      <c r="O418">
        <v>0</v>
      </c>
      <c r="P418">
        <v>21</v>
      </c>
      <c r="Q418">
        <v>31</v>
      </c>
      <c r="R418">
        <v>32</v>
      </c>
      <c r="S418">
        <v>23</v>
      </c>
      <c r="T418">
        <v>0</v>
      </c>
      <c r="U418">
        <v>1679</v>
      </c>
      <c r="V418">
        <v>8347.5458615999996</v>
      </c>
      <c r="AH418">
        <f t="shared" si="59"/>
        <v>19</v>
      </c>
      <c r="AI418">
        <f t="shared" si="60"/>
        <v>59</v>
      </c>
      <c r="AJ418" t="str">
        <f t="shared" si="61"/>
        <v/>
      </c>
      <c r="AK418">
        <f t="shared" si="62"/>
        <v>21</v>
      </c>
      <c r="AL418">
        <f t="shared" si="55"/>
        <v>31</v>
      </c>
      <c r="AM418">
        <f t="shared" si="56"/>
        <v>32</v>
      </c>
      <c r="AN418">
        <f t="shared" si="57"/>
        <v>23</v>
      </c>
      <c r="AO418" t="str">
        <f t="shared" si="58"/>
        <v/>
      </c>
    </row>
    <row r="419" spans="1:41">
      <c r="A419">
        <f t="shared" si="63"/>
        <v>415</v>
      </c>
      <c r="B419" t="s">
        <v>268</v>
      </c>
      <c r="C419">
        <v>5</v>
      </c>
      <c r="D419">
        <v>5</v>
      </c>
      <c r="E419" t="s">
        <v>387</v>
      </c>
      <c r="F419">
        <v>412</v>
      </c>
      <c r="G419">
        <v>2</v>
      </c>
      <c r="H419">
        <v>34</v>
      </c>
      <c r="I419" t="s">
        <v>386</v>
      </c>
      <c r="J419" t="s">
        <v>386</v>
      </c>
      <c r="K419">
        <v>1000000</v>
      </c>
      <c r="L419">
        <v>20</v>
      </c>
      <c r="M419">
        <v>20</v>
      </c>
      <c r="N419">
        <v>60</v>
      </c>
      <c r="O419">
        <v>0</v>
      </c>
      <c r="P419">
        <v>23</v>
      </c>
      <c r="Q419">
        <v>37</v>
      </c>
      <c r="R419">
        <v>42</v>
      </c>
      <c r="S419">
        <v>33</v>
      </c>
      <c r="T419">
        <v>0</v>
      </c>
      <c r="U419">
        <v>1685</v>
      </c>
      <c r="V419">
        <v>8350.8206263400007</v>
      </c>
      <c r="AH419">
        <f t="shared" si="59"/>
        <v>20</v>
      </c>
      <c r="AI419">
        <f t="shared" si="60"/>
        <v>60</v>
      </c>
      <c r="AJ419" t="str">
        <f t="shared" si="61"/>
        <v/>
      </c>
      <c r="AK419">
        <f t="shared" si="62"/>
        <v>23</v>
      </c>
      <c r="AL419">
        <f t="shared" si="55"/>
        <v>37</v>
      </c>
      <c r="AM419">
        <f t="shared" si="56"/>
        <v>42</v>
      </c>
      <c r="AN419">
        <f t="shared" si="57"/>
        <v>33</v>
      </c>
      <c r="AO419" t="str">
        <f t="shared" si="58"/>
        <v/>
      </c>
    </row>
    <row r="420" spans="1:41">
      <c r="A420">
        <f t="shared" si="63"/>
        <v>416</v>
      </c>
      <c r="B420" t="s">
        <v>268</v>
      </c>
      <c r="C420">
        <v>5</v>
      </c>
      <c r="D420">
        <v>5</v>
      </c>
      <c r="E420" t="s">
        <v>387</v>
      </c>
      <c r="F420">
        <v>412</v>
      </c>
      <c r="G420">
        <v>2</v>
      </c>
      <c r="H420">
        <v>35</v>
      </c>
      <c r="I420" t="s">
        <v>386</v>
      </c>
      <c r="J420" t="s">
        <v>386</v>
      </c>
      <c r="K420">
        <v>1000000</v>
      </c>
      <c r="L420">
        <v>22</v>
      </c>
      <c r="M420">
        <v>22</v>
      </c>
      <c r="N420">
        <v>62</v>
      </c>
      <c r="O420">
        <v>0</v>
      </c>
      <c r="P420">
        <v>32</v>
      </c>
      <c r="Q420">
        <v>55</v>
      </c>
      <c r="R420">
        <v>65</v>
      </c>
      <c r="S420">
        <v>51</v>
      </c>
      <c r="T420">
        <v>0</v>
      </c>
      <c r="U420">
        <v>1693</v>
      </c>
      <c r="V420">
        <v>8355.3302422800007</v>
      </c>
      <c r="AH420">
        <f t="shared" si="59"/>
        <v>22</v>
      </c>
      <c r="AI420">
        <f t="shared" si="60"/>
        <v>62</v>
      </c>
      <c r="AJ420" t="str">
        <f t="shared" si="61"/>
        <v/>
      </c>
      <c r="AK420">
        <f t="shared" si="62"/>
        <v>32</v>
      </c>
      <c r="AL420">
        <f t="shared" si="55"/>
        <v>55</v>
      </c>
      <c r="AM420">
        <f t="shared" si="56"/>
        <v>65</v>
      </c>
      <c r="AN420">
        <f t="shared" si="57"/>
        <v>51</v>
      </c>
      <c r="AO420" t="str">
        <f t="shared" si="58"/>
        <v/>
      </c>
    </row>
    <row r="421" spans="1:41">
      <c r="A421">
        <f t="shared" si="63"/>
        <v>417</v>
      </c>
      <c r="B421" t="s">
        <v>268</v>
      </c>
      <c r="C421">
        <v>5</v>
      </c>
      <c r="D421">
        <v>5</v>
      </c>
      <c r="E421" t="s">
        <v>387</v>
      </c>
      <c r="F421">
        <v>412</v>
      </c>
      <c r="G421">
        <v>2</v>
      </c>
      <c r="H421">
        <v>36</v>
      </c>
      <c r="I421" t="s">
        <v>386</v>
      </c>
      <c r="J421" t="s">
        <v>386</v>
      </c>
      <c r="K421">
        <v>1000000</v>
      </c>
      <c r="L421">
        <v>24</v>
      </c>
      <c r="M421">
        <v>24</v>
      </c>
      <c r="N421">
        <v>65</v>
      </c>
      <c r="O421">
        <v>0</v>
      </c>
      <c r="P421">
        <v>49</v>
      </c>
      <c r="Q421">
        <v>86</v>
      </c>
      <c r="R421">
        <v>100</v>
      </c>
      <c r="S421">
        <v>77</v>
      </c>
      <c r="T421">
        <v>0</v>
      </c>
      <c r="U421">
        <v>1705</v>
      </c>
      <c r="V421">
        <v>8361.9101783099995</v>
      </c>
      <c r="AH421">
        <f t="shared" si="59"/>
        <v>24</v>
      </c>
      <c r="AI421">
        <f t="shared" si="60"/>
        <v>65</v>
      </c>
      <c r="AJ421" t="str">
        <f t="shared" si="61"/>
        <v/>
      </c>
      <c r="AK421">
        <f t="shared" si="62"/>
        <v>49</v>
      </c>
      <c r="AL421">
        <f t="shared" si="55"/>
        <v>86</v>
      </c>
      <c r="AM421">
        <f t="shared" si="56"/>
        <v>100</v>
      </c>
      <c r="AN421">
        <f t="shared" si="57"/>
        <v>77</v>
      </c>
      <c r="AO421" t="str">
        <f t="shared" si="58"/>
        <v/>
      </c>
    </row>
    <row r="422" spans="1:41">
      <c r="A422">
        <f t="shared" si="63"/>
        <v>418</v>
      </c>
      <c r="B422" t="s">
        <v>268</v>
      </c>
      <c r="C422">
        <v>5</v>
      </c>
      <c r="D422">
        <v>5</v>
      </c>
      <c r="E422" t="s">
        <v>387</v>
      </c>
      <c r="F422">
        <v>412</v>
      </c>
      <c r="G422">
        <v>2</v>
      </c>
      <c r="H422">
        <v>37</v>
      </c>
      <c r="I422" t="s">
        <v>386</v>
      </c>
      <c r="J422" t="s">
        <v>386</v>
      </c>
      <c r="K422">
        <v>1000000</v>
      </c>
      <c r="L422">
        <v>27</v>
      </c>
      <c r="M422">
        <v>27</v>
      </c>
      <c r="N422">
        <v>69</v>
      </c>
      <c r="O422">
        <v>0</v>
      </c>
      <c r="P422">
        <v>74</v>
      </c>
      <c r="Q422">
        <v>127</v>
      </c>
      <c r="R422">
        <v>144</v>
      </c>
      <c r="S422">
        <v>107</v>
      </c>
      <c r="T422">
        <v>0</v>
      </c>
      <c r="U422">
        <v>1722</v>
      </c>
      <c r="V422">
        <v>8371.4168842199997</v>
      </c>
      <c r="AH422">
        <f t="shared" si="59"/>
        <v>27</v>
      </c>
      <c r="AI422">
        <f t="shared" si="60"/>
        <v>69</v>
      </c>
      <c r="AJ422" t="str">
        <f t="shared" si="61"/>
        <v/>
      </c>
      <c r="AK422">
        <f t="shared" si="62"/>
        <v>74</v>
      </c>
      <c r="AL422">
        <f t="shared" si="55"/>
        <v>127</v>
      </c>
      <c r="AM422">
        <f t="shared" si="56"/>
        <v>144</v>
      </c>
      <c r="AN422">
        <f t="shared" si="57"/>
        <v>107</v>
      </c>
      <c r="AO422" t="str">
        <f t="shared" si="58"/>
        <v/>
      </c>
    </row>
    <row r="423" spans="1:41">
      <c r="A423">
        <f t="shared" si="63"/>
        <v>419</v>
      </c>
      <c r="B423" t="s">
        <v>268</v>
      </c>
      <c r="C423">
        <v>5</v>
      </c>
      <c r="D423">
        <v>5</v>
      </c>
      <c r="E423" t="s">
        <v>387</v>
      </c>
      <c r="F423">
        <v>412</v>
      </c>
      <c r="G423">
        <v>2</v>
      </c>
      <c r="H423">
        <v>38</v>
      </c>
      <c r="I423" t="s">
        <v>386</v>
      </c>
      <c r="J423" t="s">
        <v>386</v>
      </c>
      <c r="K423">
        <v>1000000</v>
      </c>
      <c r="L423">
        <v>32</v>
      </c>
      <c r="M423">
        <v>32</v>
      </c>
      <c r="N423">
        <v>75</v>
      </c>
      <c r="O423">
        <v>0</v>
      </c>
      <c r="P423">
        <v>103</v>
      </c>
      <c r="Q423">
        <v>172</v>
      </c>
      <c r="R423">
        <v>188</v>
      </c>
      <c r="S423">
        <v>135</v>
      </c>
      <c r="T423">
        <v>0</v>
      </c>
      <c r="U423">
        <v>1745</v>
      </c>
      <c r="V423">
        <v>8384.1745148800001</v>
      </c>
      <c r="AH423">
        <f t="shared" si="59"/>
        <v>32</v>
      </c>
      <c r="AI423">
        <f t="shared" si="60"/>
        <v>75</v>
      </c>
      <c r="AJ423" t="str">
        <f t="shared" si="61"/>
        <v/>
      </c>
      <c r="AK423">
        <f t="shared" si="62"/>
        <v>103</v>
      </c>
      <c r="AL423">
        <f t="shared" si="55"/>
        <v>172</v>
      </c>
      <c r="AM423">
        <f t="shared" si="56"/>
        <v>188</v>
      </c>
      <c r="AN423">
        <f t="shared" si="57"/>
        <v>135</v>
      </c>
      <c r="AO423" t="str">
        <f t="shared" si="58"/>
        <v/>
      </c>
    </row>
    <row r="424" spans="1:41">
      <c r="A424">
        <f t="shared" si="63"/>
        <v>420</v>
      </c>
      <c r="B424" t="s">
        <v>268</v>
      </c>
      <c r="C424">
        <v>5</v>
      </c>
      <c r="D424">
        <v>5</v>
      </c>
      <c r="E424" t="s">
        <v>387</v>
      </c>
      <c r="F424">
        <v>412</v>
      </c>
      <c r="G424">
        <v>2</v>
      </c>
      <c r="H424">
        <v>39</v>
      </c>
      <c r="I424" t="s">
        <v>386</v>
      </c>
      <c r="J424" t="s">
        <v>386</v>
      </c>
      <c r="K424">
        <v>1000000</v>
      </c>
      <c r="L424">
        <v>37</v>
      </c>
      <c r="M424">
        <v>37</v>
      </c>
      <c r="N424">
        <v>82</v>
      </c>
      <c r="O424">
        <v>0</v>
      </c>
      <c r="P424">
        <v>131</v>
      </c>
      <c r="Q424">
        <v>211</v>
      </c>
      <c r="R424">
        <v>224</v>
      </c>
      <c r="S424">
        <v>156</v>
      </c>
      <c r="T424">
        <v>0</v>
      </c>
      <c r="U424">
        <v>1773</v>
      </c>
      <c r="V424">
        <v>8400.0211363100007</v>
      </c>
      <c r="AH424">
        <f t="shared" si="59"/>
        <v>37</v>
      </c>
      <c r="AI424">
        <f t="shared" si="60"/>
        <v>82</v>
      </c>
      <c r="AJ424" t="str">
        <f t="shared" si="61"/>
        <v/>
      </c>
      <c r="AK424">
        <f t="shared" si="62"/>
        <v>131</v>
      </c>
      <c r="AL424">
        <f t="shared" si="55"/>
        <v>211</v>
      </c>
      <c r="AM424">
        <f t="shared" si="56"/>
        <v>224</v>
      </c>
      <c r="AN424">
        <f t="shared" si="57"/>
        <v>156</v>
      </c>
      <c r="AO424" t="str">
        <f t="shared" si="58"/>
        <v/>
      </c>
    </row>
    <row r="425" spans="1:41">
      <c r="A425">
        <f t="shared" si="63"/>
        <v>421</v>
      </c>
      <c r="B425" t="s">
        <v>268</v>
      </c>
      <c r="C425">
        <v>5</v>
      </c>
      <c r="D425">
        <v>5</v>
      </c>
      <c r="E425" t="s">
        <v>387</v>
      </c>
      <c r="F425">
        <v>412</v>
      </c>
      <c r="G425">
        <v>2</v>
      </c>
      <c r="H425">
        <v>40</v>
      </c>
      <c r="I425" t="s">
        <v>386</v>
      </c>
      <c r="J425" t="s">
        <v>386</v>
      </c>
      <c r="K425">
        <v>1000000</v>
      </c>
      <c r="L425">
        <v>43</v>
      </c>
      <c r="M425">
        <v>43</v>
      </c>
      <c r="N425">
        <v>90</v>
      </c>
      <c r="O425">
        <v>0</v>
      </c>
      <c r="P425">
        <v>152</v>
      </c>
      <c r="Q425">
        <v>237</v>
      </c>
      <c r="R425">
        <v>244</v>
      </c>
      <c r="S425">
        <v>165</v>
      </c>
      <c r="T425">
        <v>0</v>
      </c>
      <c r="U425">
        <v>1806</v>
      </c>
      <c r="V425">
        <v>8418.1965185200006</v>
      </c>
      <c r="AH425">
        <f t="shared" si="59"/>
        <v>43</v>
      </c>
      <c r="AI425">
        <f t="shared" si="60"/>
        <v>90</v>
      </c>
      <c r="AJ425" t="str">
        <f t="shared" si="61"/>
        <v/>
      </c>
      <c r="AK425">
        <f t="shared" si="62"/>
        <v>152</v>
      </c>
      <c r="AL425">
        <f t="shared" si="55"/>
        <v>237</v>
      </c>
      <c r="AM425">
        <f t="shared" si="56"/>
        <v>244</v>
      </c>
      <c r="AN425">
        <f t="shared" si="57"/>
        <v>165</v>
      </c>
      <c r="AO425" t="str">
        <f t="shared" si="58"/>
        <v/>
      </c>
    </row>
    <row r="426" spans="1:41">
      <c r="A426">
        <f t="shared" si="63"/>
        <v>422</v>
      </c>
      <c r="B426" t="s">
        <v>268</v>
      </c>
      <c r="C426">
        <v>5</v>
      </c>
      <c r="D426">
        <v>5</v>
      </c>
      <c r="E426" t="s">
        <v>387</v>
      </c>
      <c r="F426">
        <v>412</v>
      </c>
      <c r="G426">
        <v>2</v>
      </c>
      <c r="H426">
        <v>41</v>
      </c>
      <c r="I426" t="s">
        <v>386</v>
      </c>
      <c r="J426" t="s">
        <v>386</v>
      </c>
      <c r="K426">
        <v>1000000</v>
      </c>
      <c r="L426">
        <v>50</v>
      </c>
      <c r="M426">
        <v>50</v>
      </c>
      <c r="N426">
        <v>99</v>
      </c>
      <c r="O426">
        <v>0</v>
      </c>
      <c r="P426">
        <v>162</v>
      </c>
      <c r="Q426">
        <v>246</v>
      </c>
      <c r="R426">
        <v>247</v>
      </c>
      <c r="S426">
        <v>163</v>
      </c>
      <c r="T426">
        <v>0</v>
      </c>
      <c r="U426">
        <v>1841</v>
      </c>
      <c r="V426">
        <v>8437.6273922500004</v>
      </c>
      <c r="AH426">
        <f t="shared" si="59"/>
        <v>50</v>
      </c>
      <c r="AI426">
        <f t="shared" si="60"/>
        <v>99</v>
      </c>
      <c r="AJ426" t="str">
        <f t="shared" si="61"/>
        <v/>
      </c>
      <c r="AK426">
        <f t="shared" si="62"/>
        <v>162</v>
      </c>
      <c r="AL426">
        <f t="shared" si="55"/>
        <v>246</v>
      </c>
      <c r="AM426">
        <f t="shared" si="56"/>
        <v>247</v>
      </c>
      <c r="AN426">
        <f t="shared" si="57"/>
        <v>163</v>
      </c>
      <c r="AO426" t="str">
        <f t="shared" si="58"/>
        <v/>
      </c>
    </row>
    <row r="427" spans="1:41">
      <c r="A427">
        <f t="shared" si="63"/>
        <v>423</v>
      </c>
      <c r="B427" t="s">
        <v>268</v>
      </c>
      <c r="C427">
        <v>5</v>
      </c>
      <c r="D427">
        <v>5</v>
      </c>
      <c r="E427" t="s">
        <v>387</v>
      </c>
      <c r="F427">
        <v>412</v>
      </c>
      <c r="G427">
        <v>2</v>
      </c>
      <c r="H427">
        <v>42</v>
      </c>
      <c r="I427" t="s">
        <v>386</v>
      </c>
      <c r="J427" t="s">
        <v>386</v>
      </c>
      <c r="K427">
        <v>1000000</v>
      </c>
      <c r="L427">
        <v>56</v>
      </c>
      <c r="M427">
        <v>56</v>
      </c>
      <c r="N427">
        <v>107</v>
      </c>
      <c r="O427">
        <v>0</v>
      </c>
      <c r="P427">
        <v>161</v>
      </c>
      <c r="Q427">
        <v>240</v>
      </c>
      <c r="R427">
        <v>237</v>
      </c>
      <c r="S427">
        <v>156</v>
      </c>
      <c r="T427">
        <v>0</v>
      </c>
      <c r="U427">
        <v>1876</v>
      </c>
      <c r="V427">
        <v>8457.2602051400008</v>
      </c>
      <c r="AH427">
        <f t="shared" si="59"/>
        <v>56</v>
      </c>
      <c r="AI427">
        <f t="shared" si="60"/>
        <v>107</v>
      </c>
      <c r="AJ427" t="str">
        <f t="shared" si="61"/>
        <v/>
      </c>
      <c r="AK427">
        <f t="shared" si="62"/>
        <v>161</v>
      </c>
      <c r="AL427">
        <f t="shared" si="55"/>
        <v>240</v>
      </c>
      <c r="AM427">
        <f t="shared" si="56"/>
        <v>237</v>
      </c>
      <c r="AN427">
        <f t="shared" si="57"/>
        <v>156</v>
      </c>
      <c r="AO427" t="str">
        <f t="shared" si="58"/>
        <v/>
      </c>
    </row>
    <row r="428" spans="1:41">
      <c r="A428">
        <f t="shared" si="63"/>
        <v>424</v>
      </c>
      <c r="B428" t="s">
        <v>268</v>
      </c>
      <c r="C428">
        <v>5</v>
      </c>
      <c r="D428">
        <v>5</v>
      </c>
      <c r="E428" t="s">
        <v>387</v>
      </c>
      <c r="F428">
        <v>412</v>
      </c>
      <c r="G428">
        <v>2</v>
      </c>
      <c r="H428">
        <v>43</v>
      </c>
      <c r="I428" t="s">
        <v>386</v>
      </c>
      <c r="J428" t="s">
        <v>386</v>
      </c>
      <c r="K428">
        <v>1000000</v>
      </c>
      <c r="L428">
        <v>63</v>
      </c>
      <c r="M428">
        <v>63</v>
      </c>
      <c r="N428">
        <v>116</v>
      </c>
      <c r="O428">
        <v>0</v>
      </c>
      <c r="P428">
        <v>154</v>
      </c>
      <c r="Q428">
        <v>227</v>
      </c>
      <c r="R428">
        <v>224</v>
      </c>
      <c r="S428">
        <v>149</v>
      </c>
      <c r="T428">
        <v>0</v>
      </c>
      <c r="U428">
        <v>1911</v>
      </c>
      <c r="V428">
        <v>8476.4211062899994</v>
      </c>
      <c r="AH428">
        <f t="shared" si="59"/>
        <v>63</v>
      </c>
      <c r="AI428">
        <f t="shared" si="60"/>
        <v>116</v>
      </c>
      <c r="AJ428" t="str">
        <f t="shared" si="61"/>
        <v/>
      </c>
      <c r="AK428">
        <f t="shared" si="62"/>
        <v>154</v>
      </c>
      <c r="AL428">
        <f t="shared" si="55"/>
        <v>227</v>
      </c>
      <c r="AM428">
        <f t="shared" si="56"/>
        <v>224</v>
      </c>
      <c r="AN428">
        <f t="shared" si="57"/>
        <v>149</v>
      </c>
      <c r="AO428" t="str">
        <f t="shared" si="58"/>
        <v/>
      </c>
    </row>
    <row r="429" spans="1:41">
      <c r="A429">
        <f t="shared" si="63"/>
        <v>425</v>
      </c>
      <c r="B429" t="s">
        <v>268</v>
      </c>
      <c r="C429">
        <v>5</v>
      </c>
      <c r="D429">
        <v>5</v>
      </c>
      <c r="E429" t="s">
        <v>387</v>
      </c>
      <c r="F429">
        <v>412</v>
      </c>
      <c r="G429">
        <v>2</v>
      </c>
      <c r="H429">
        <v>44</v>
      </c>
      <c r="I429" t="s">
        <v>386</v>
      </c>
      <c r="J429" t="s">
        <v>386</v>
      </c>
      <c r="K429">
        <v>1000000</v>
      </c>
      <c r="L429">
        <v>69</v>
      </c>
      <c r="M429">
        <v>69</v>
      </c>
      <c r="N429">
        <v>124</v>
      </c>
      <c r="O429">
        <v>0</v>
      </c>
      <c r="P429">
        <v>145</v>
      </c>
      <c r="Q429">
        <v>216</v>
      </c>
      <c r="R429">
        <v>215</v>
      </c>
      <c r="S429">
        <v>144</v>
      </c>
      <c r="T429">
        <v>0</v>
      </c>
      <c r="U429">
        <v>1944</v>
      </c>
      <c r="V429">
        <v>8494.8318088699998</v>
      </c>
      <c r="AH429">
        <f t="shared" si="59"/>
        <v>69</v>
      </c>
      <c r="AI429">
        <f t="shared" si="60"/>
        <v>124</v>
      </c>
      <c r="AJ429" t="str">
        <f t="shared" si="61"/>
        <v/>
      </c>
      <c r="AK429">
        <f t="shared" si="62"/>
        <v>145</v>
      </c>
      <c r="AL429">
        <f t="shared" si="55"/>
        <v>216</v>
      </c>
      <c r="AM429">
        <f t="shared" si="56"/>
        <v>215</v>
      </c>
      <c r="AN429">
        <f t="shared" si="57"/>
        <v>144</v>
      </c>
      <c r="AO429" t="str">
        <f t="shared" si="58"/>
        <v/>
      </c>
    </row>
    <row r="430" spans="1:41">
      <c r="A430">
        <f t="shared" si="63"/>
        <v>426</v>
      </c>
      <c r="B430" t="s">
        <v>268</v>
      </c>
      <c r="C430">
        <v>5</v>
      </c>
      <c r="D430">
        <v>5</v>
      </c>
      <c r="E430" t="s">
        <v>387</v>
      </c>
      <c r="F430">
        <v>412</v>
      </c>
      <c r="G430">
        <v>2</v>
      </c>
      <c r="H430">
        <v>45</v>
      </c>
      <c r="I430" t="s">
        <v>386</v>
      </c>
      <c r="J430" t="s">
        <v>386</v>
      </c>
      <c r="K430">
        <v>1000000</v>
      </c>
      <c r="L430">
        <v>75</v>
      </c>
      <c r="M430">
        <v>75</v>
      </c>
      <c r="N430">
        <v>132</v>
      </c>
      <c r="O430">
        <v>0</v>
      </c>
      <c r="P430">
        <v>140</v>
      </c>
      <c r="Q430">
        <v>210</v>
      </c>
      <c r="R430">
        <v>211</v>
      </c>
      <c r="S430">
        <v>141</v>
      </c>
      <c r="T430">
        <v>0</v>
      </c>
      <c r="U430">
        <v>1976</v>
      </c>
      <c r="V430">
        <v>8512.5324645100009</v>
      </c>
      <c r="AH430">
        <f t="shared" si="59"/>
        <v>75</v>
      </c>
      <c r="AI430">
        <f t="shared" si="60"/>
        <v>132</v>
      </c>
      <c r="AJ430" t="str">
        <f t="shared" si="61"/>
        <v/>
      </c>
      <c r="AK430">
        <f t="shared" si="62"/>
        <v>140</v>
      </c>
      <c r="AL430">
        <f t="shared" si="55"/>
        <v>210</v>
      </c>
      <c r="AM430">
        <f t="shared" si="56"/>
        <v>211</v>
      </c>
      <c r="AN430">
        <f t="shared" si="57"/>
        <v>141</v>
      </c>
      <c r="AO430" t="str">
        <f t="shared" si="58"/>
        <v/>
      </c>
    </row>
    <row r="431" spans="1:41">
      <c r="A431">
        <f t="shared" si="63"/>
        <v>427</v>
      </c>
      <c r="B431" t="s">
        <v>268</v>
      </c>
      <c r="C431">
        <v>5</v>
      </c>
      <c r="D431">
        <v>5</v>
      </c>
      <c r="E431" t="s">
        <v>387</v>
      </c>
      <c r="F431">
        <v>412</v>
      </c>
      <c r="G431">
        <v>2</v>
      </c>
      <c r="H431">
        <v>46</v>
      </c>
      <c r="I431" t="s">
        <v>386</v>
      </c>
      <c r="J431" t="s">
        <v>386</v>
      </c>
      <c r="K431">
        <v>1000000</v>
      </c>
      <c r="L431">
        <v>81</v>
      </c>
      <c r="M431">
        <v>81</v>
      </c>
      <c r="N431">
        <v>139</v>
      </c>
      <c r="O431">
        <v>0</v>
      </c>
      <c r="P431">
        <v>137</v>
      </c>
      <c r="Q431">
        <v>208</v>
      </c>
      <c r="R431">
        <v>209</v>
      </c>
      <c r="S431">
        <v>140</v>
      </c>
      <c r="T431">
        <v>0</v>
      </c>
      <c r="U431">
        <v>2007</v>
      </c>
      <c r="V431">
        <v>8529.7773146899999</v>
      </c>
      <c r="AH431">
        <f t="shared" si="59"/>
        <v>81</v>
      </c>
      <c r="AI431">
        <f t="shared" si="60"/>
        <v>139</v>
      </c>
      <c r="AJ431" t="str">
        <f t="shared" si="61"/>
        <v/>
      </c>
      <c r="AK431">
        <f t="shared" si="62"/>
        <v>137</v>
      </c>
      <c r="AL431">
        <f t="shared" si="55"/>
        <v>208</v>
      </c>
      <c r="AM431">
        <f t="shared" si="56"/>
        <v>209</v>
      </c>
      <c r="AN431">
        <f t="shared" si="57"/>
        <v>140</v>
      </c>
      <c r="AO431" t="str">
        <f t="shared" si="58"/>
        <v/>
      </c>
    </row>
    <row r="432" spans="1:41">
      <c r="A432">
        <f t="shared" si="63"/>
        <v>428</v>
      </c>
      <c r="B432" t="s">
        <v>268</v>
      </c>
      <c r="C432">
        <v>5</v>
      </c>
      <c r="D432">
        <v>5</v>
      </c>
      <c r="E432" t="s">
        <v>387</v>
      </c>
      <c r="F432">
        <v>412</v>
      </c>
      <c r="G432">
        <v>2</v>
      </c>
      <c r="H432">
        <v>47</v>
      </c>
      <c r="I432" t="s">
        <v>386</v>
      </c>
      <c r="J432" t="s">
        <v>386</v>
      </c>
      <c r="K432">
        <v>1000000</v>
      </c>
      <c r="L432">
        <v>86</v>
      </c>
      <c r="M432">
        <v>86</v>
      </c>
      <c r="N432">
        <v>147</v>
      </c>
      <c r="O432">
        <v>0</v>
      </c>
      <c r="P432">
        <v>136</v>
      </c>
      <c r="Q432">
        <v>205</v>
      </c>
      <c r="R432">
        <v>205</v>
      </c>
      <c r="S432">
        <v>137</v>
      </c>
      <c r="T432">
        <v>0</v>
      </c>
      <c r="U432">
        <v>2038</v>
      </c>
      <c r="V432">
        <v>8546.7271346599991</v>
      </c>
      <c r="AH432">
        <f t="shared" si="59"/>
        <v>86</v>
      </c>
      <c r="AI432">
        <f t="shared" si="60"/>
        <v>147</v>
      </c>
      <c r="AJ432" t="str">
        <f t="shared" si="61"/>
        <v/>
      </c>
      <c r="AK432">
        <f t="shared" si="62"/>
        <v>136</v>
      </c>
      <c r="AL432">
        <f t="shared" si="55"/>
        <v>205</v>
      </c>
      <c r="AM432">
        <f t="shared" si="56"/>
        <v>205</v>
      </c>
      <c r="AN432">
        <f t="shared" si="57"/>
        <v>137</v>
      </c>
      <c r="AO432" t="str">
        <f t="shared" si="58"/>
        <v/>
      </c>
    </row>
    <row r="433" spans="1:41">
      <c r="A433">
        <f t="shared" si="63"/>
        <v>429</v>
      </c>
      <c r="B433" t="s">
        <v>268</v>
      </c>
      <c r="C433">
        <v>5</v>
      </c>
      <c r="D433">
        <v>5</v>
      </c>
      <c r="E433" t="s">
        <v>387</v>
      </c>
      <c r="F433">
        <v>412</v>
      </c>
      <c r="G433">
        <v>2</v>
      </c>
      <c r="H433">
        <v>48</v>
      </c>
      <c r="I433" t="s">
        <v>386</v>
      </c>
      <c r="J433" t="s">
        <v>386</v>
      </c>
      <c r="K433">
        <v>1000000</v>
      </c>
      <c r="L433">
        <v>92</v>
      </c>
      <c r="M433">
        <v>92</v>
      </c>
      <c r="N433">
        <v>154</v>
      </c>
      <c r="O433">
        <v>0</v>
      </c>
      <c r="P433">
        <v>134</v>
      </c>
      <c r="Q433">
        <v>201</v>
      </c>
      <c r="R433">
        <v>202</v>
      </c>
      <c r="S433">
        <v>135</v>
      </c>
      <c r="T433">
        <v>0</v>
      </c>
      <c r="U433">
        <v>2067</v>
      </c>
      <c r="V433">
        <v>8563.4808545300002</v>
      </c>
      <c r="AH433">
        <f t="shared" si="59"/>
        <v>92</v>
      </c>
      <c r="AI433">
        <f t="shared" si="60"/>
        <v>154</v>
      </c>
      <c r="AJ433" t="str">
        <f t="shared" si="61"/>
        <v/>
      </c>
      <c r="AK433">
        <f t="shared" si="62"/>
        <v>134</v>
      </c>
      <c r="AL433">
        <f t="shared" si="55"/>
        <v>201</v>
      </c>
      <c r="AM433">
        <f t="shared" si="56"/>
        <v>202</v>
      </c>
      <c r="AN433">
        <f t="shared" si="57"/>
        <v>135</v>
      </c>
      <c r="AO433" t="str">
        <f t="shared" si="58"/>
        <v/>
      </c>
    </row>
    <row r="434" spans="1:41">
      <c r="A434">
        <f t="shared" si="63"/>
        <v>430</v>
      </c>
      <c r="B434" t="s">
        <v>268</v>
      </c>
      <c r="C434">
        <v>5</v>
      </c>
      <c r="D434">
        <v>5</v>
      </c>
      <c r="E434" t="s">
        <v>387</v>
      </c>
      <c r="F434">
        <v>412</v>
      </c>
      <c r="G434">
        <v>2</v>
      </c>
      <c r="H434">
        <v>49</v>
      </c>
      <c r="I434" t="s">
        <v>386</v>
      </c>
      <c r="J434" t="s">
        <v>386</v>
      </c>
      <c r="K434">
        <v>1000000</v>
      </c>
      <c r="L434">
        <v>98</v>
      </c>
      <c r="M434">
        <v>98</v>
      </c>
      <c r="N434">
        <v>162</v>
      </c>
      <c r="O434">
        <v>0</v>
      </c>
      <c r="P434">
        <v>133</v>
      </c>
      <c r="Q434">
        <v>201</v>
      </c>
      <c r="R434">
        <v>203</v>
      </c>
      <c r="S434">
        <v>139</v>
      </c>
      <c r="T434">
        <v>0</v>
      </c>
      <c r="U434">
        <v>2098</v>
      </c>
      <c r="V434">
        <v>8580.3145461599997</v>
      </c>
      <c r="AH434">
        <f t="shared" si="59"/>
        <v>98</v>
      </c>
      <c r="AI434">
        <f t="shared" si="60"/>
        <v>162</v>
      </c>
      <c r="AJ434" t="str">
        <f t="shared" si="61"/>
        <v/>
      </c>
      <c r="AK434">
        <f t="shared" si="62"/>
        <v>133</v>
      </c>
      <c r="AL434">
        <f t="shared" si="55"/>
        <v>201</v>
      </c>
      <c r="AM434">
        <f t="shared" si="56"/>
        <v>203</v>
      </c>
      <c r="AN434">
        <f t="shared" si="57"/>
        <v>139</v>
      </c>
      <c r="AO434" t="str">
        <f t="shared" si="58"/>
        <v/>
      </c>
    </row>
    <row r="435" spans="1:41">
      <c r="A435">
        <f t="shared" si="63"/>
        <v>431</v>
      </c>
      <c r="B435" t="s">
        <v>268</v>
      </c>
      <c r="C435">
        <v>5</v>
      </c>
      <c r="D435">
        <v>5</v>
      </c>
      <c r="E435" t="s">
        <v>387</v>
      </c>
      <c r="F435">
        <v>412</v>
      </c>
      <c r="G435">
        <v>2</v>
      </c>
      <c r="H435">
        <v>50</v>
      </c>
      <c r="I435" t="s">
        <v>386</v>
      </c>
      <c r="J435" t="s">
        <v>386</v>
      </c>
      <c r="K435">
        <v>1000000</v>
      </c>
      <c r="L435">
        <v>104</v>
      </c>
      <c r="M435">
        <v>104</v>
      </c>
      <c r="N435">
        <v>170</v>
      </c>
      <c r="O435">
        <v>0</v>
      </c>
      <c r="P435">
        <v>137</v>
      </c>
      <c r="Q435">
        <v>210</v>
      </c>
      <c r="R435">
        <v>219</v>
      </c>
      <c r="S435">
        <v>155</v>
      </c>
      <c r="T435">
        <v>0</v>
      </c>
      <c r="U435">
        <v>2130</v>
      </c>
      <c r="V435">
        <v>8598.0332169699996</v>
      </c>
      <c r="AH435">
        <f t="shared" si="59"/>
        <v>104</v>
      </c>
      <c r="AI435">
        <f t="shared" si="60"/>
        <v>170</v>
      </c>
      <c r="AJ435" t="str">
        <f t="shared" si="61"/>
        <v/>
      </c>
      <c r="AK435">
        <f t="shared" si="62"/>
        <v>137</v>
      </c>
      <c r="AL435">
        <f t="shared" si="55"/>
        <v>210</v>
      </c>
      <c r="AM435">
        <f t="shared" si="56"/>
        <v>219</v>
      </c>
      <c r="AN435">
        <f t="shared" si="57"/>
        <v>155</v>
      </c>
      <c r="AO435" t="str">
        <f t="shared" si="58"/>
        <v/>
      </c>
    </row>
    <row r="436" spans="1:41">
      <c r="A436">
        <f t="shared" si="63"/>
        <v>432</v>
      </c>
      <c r="B436" t="s">
        <v>268</v>
      </c>
      <c r="C436">
        <v>5</v>
      </c>
      <c r="D436">
        <v>5</v>
      </c>
      <c r="E436" t="s">
        <v>387</v>
      </c>
      <c r="F436">
        <v>412</v>
      </c>
      <c r="G436">
        <v>2</v>
      </c>
      <c r="H436">
        <v>51</v>
      </c>
      <c r="I436" t="s">
        <v>386</v>
      </c>
      <c r="J436" t="s">
        <v>386</v>
      </c>
      <c r="K436">
        <v>1000000</v>
      </c>
      <c r="L436">
        <v>110</v>
      </c>
      <c r="M436">
        <v>110</v>
      </c>
      <c r="N436">
        <v>179</v>
      </c>
      <c r="O436">
        <v>0</v>
      </c>
      <c r="P436">
        <v>151</v>
      </c>
      <c r="Q436">
        <v>240</v>
      </c>
      <c r="R436">
        <v>257</v>
      </c>
      <c r="S436">
        <v>186</v>
      </c>
      <c r="T436">
        <v>0</v>
      </c>
      <c r="U436">
        <v>2165</v>
      </c>
      <c r="V436">
        <v>8617.8374365</v>
      </c>
      <c r="AH436">
        <f t="shared" si="59"/>
        <v>110</v>
      </c>
      <c r="AI436">
        <f t="shared" si="60"/>
        <v>179</v>
      </c>
      <c r="AJ436" t="str">
        <f t="shared" si="61"/>
        <v/>
      </c>
      <c r="AK436">
        <f t="shared" si="62"/>
        <v>151</v>
      </c>
      <c r="AL436">
        <f t="shared" si="55"/>
        <v>240</v>
      </c>
      <c r="AM436">
        <f t="shared" si="56"/>
        <v>257</v>
      </c>
      <c r="AN436">
        <f t="shared" si="57"/>
        <v>186</v>
      </c>
      <c r="AO436" t="str">
        <f t="shared" si="58"/>
        <v/>
      </c>
    </row>
    <row r="437" spans="1:41">
      <c r="A437">
        <f t="shared" si="63"/>
        <v>433</v>
      </c>
      <c r="B437" t="s">
        <v>268</v>
      </c>
      <c r="C437">
        <v>5</v>
      </c>
      <c r="D437">
        <v>5</v>
      </c>
      <c r="E437" t="s">
        <v>387</v>
      </c>
      <c r="F437">
        <v>412</v>
      </c>
      <c r="G437">
        <v>2</v>
      </c>
      <c r="H437">
        <v>52</v>
      </c>
      <c r="I437" t="s">
        <v>386</v>
      </c>
      <c r="J437" t="s">
        <v>386</v>
      </c>
      <c r="K437">
        <v>1000000</v>
      </c>
      <c r="L437">
        <v>118</v>
      </c>
      <c r="M437">
        <v>118</v>
      </c>
      <c r="N437">
        <v>189</v>
      </c>
      <c r="O437">
        <v>0</v>
      </c>
      <c r="P437">
        <v>181</v>
      </c>
      <c r="Q437">
        <v>293</v>
      </c>
      <c r="R437">
        <v>319</v>
      </c>
      <c r="S437">
        <v>232</v>
      </c>
      <c r="T437">
        <v>0</v>
      </c>
      <c r="U437">
        <v>2208</v>
      </c>
      <c r="V437">
        <v>8641.2464244900002</v>
      </c>
      <c r="AH437">
        <f t="shared" si="59"/>
        <v>118</v>
      </c>
      <c r="AI437">
        <f t="shared" si="60"/>
        <v>189</v>
      </c>
      <c r="AJ437" t="str">
        <f t="shared" si="61"/>
        <v/>
      </c>
      <c r="AK437">
        <f t="shared" si="62"/>
        <v>181</v>
      </c>
      <c r="AL437">
        <f t="shared" si="55"/>
        <v>293</v>
      </c>
      <c r="AM437">
        <f t="shared" si="56"/>
        <v>319</v>
      </c>
      <c r="AN437">
        <f t="shared" si="57"/>
        <v>232</v>
      </c>
      <c r="AO437" t="str">
        <f t="shared" si="58"/>
        <v/>
      </c>
    </row>
    <row r="438" spans="1:41">
      <c r="A438">
        <f t="shared" si="63"/>
        <v>434</v>
      </c>
      <c r="B438" t="s">
        <v>268</v>
      </c>
      <c r="C438">
        <v>5</v>
      </c>
      <c r="D438">
        <v>5</v>
      </c>
      <c r="E438" t="s">
        <v>387</v>
      </c>
      <c r="F438">
        <v>412</v>
      </c>
      <c r="G438">
        <v>2</v>
      </c>
      <c r="H438">
        <v>53</v>
      </c>
      <c r="I438" t="s">
        <v>386</v>
      </c>
      <c r="J438" t="s">
        <v>386</v>
      </c>
      <c r="K438">
        <v>1000000</v>
      </c>
      <c r="L438">
        <v>128</v>
      </c>
      <c r="M438">
        <v>128</v>
      </c>
      <c r="N438">
        <v>202</v>
      </c>
      <c r="O438">
        <v>0</v>
      </c>
      <c r="P438">
        <v>224</v>
      </c>
      <c r="Q438">
        <v>366</v>
      </c>
      <c r="R438">
        <v>397</v>
      </c>
      <c r="S438">
        <v>286</v>
      </c>
      <c r="T438">
        <v>0</v>
      </c>
      <c r="U438">
        <v>2259</v>
      </c>
      <c r="V438">
        <v>8669.7123151399992</v>
      </c>
      <c r="AH438">
        <f t="shared" si="59"/>
        <v>128</v>
      </c>
      <c r="AI438">
        <f t="shared" si="60"/>
        <v>202</v>
      </c>
      <c r="AJ438" t="str">
        <f t="shared" si="61"/>
        <v/>
      </c>
      <c r="AK438">
        <f t="shared" si="62"/>
        <v>224</v>
      </c>
      <c r="AL438">
        <f t="shared" si="55"/>
        <v>366</v>
      </c>
      <c r="AM438">
        <f t="shared" si="56"/>
        <v>397</v>
      </c>
      <c r="AN438">
        <f t="shared" si="57"/>
        <v>286</v>
      </c>
      <c r="AO438" t="str">
        <f t="shared" si="58"/>
        <v/>
      </c>
    </row>
    <row r="439" spans="1:41">
      <c r="A439">
        <f t="shared" si="63"/>
        <v>435</v>
      </c>
      <c r="B439" t="s">
        <v>268</v>
      </c>
      <c r="C439">
        <v>5</v>
      </c>
      <c r="D439">
        <v>5</v>
      </c>
      <c r="E439" t="s">
        <v>387</v>
      </c>
      <c r="F439">
        <v>412</v>
      </c>
      <c r="G439">
        <v>2</v>
      </c>
      <c r="H439">
        <v>54</v>
      </c>
      <c r="I439" t="s">
        <v>386</v>
      </c>
      <c r="J439" t="s">
        <v>386</v>
      </c>
      <c r="K439">
        <v>1000000</v>
      </c>
      <c r="L439">
        <v>140</v>
      </c>
      <c r="M439">
        <v>140</v>
      </c>
      <c r="N439">
        <v>217</v>
      </c>
      <c r="O439">
        <v>0</v>
      </c>
      <c r="P439">
        <v>277</v>
      </c>
      <c r="Q439">
        <v>447</v>
      </c>
      <c r="R439">
        <v>479</v>
      </c>
      <c r="S439">
        <v>340</v>
      </c>
      <c r="T439">
        <v>0</v>
      </c>
      <c r="U439">
        <v>2321</v>
      </c>
      <c r="V439">
        <v>8704.1712522800008</v>
      </c>
      <c r="AH439">
        <f t="shared" si="59"/>
        <v>140</v>
      </c>
      <c r="AI439">
        <f t="shared" si="60"/>
        <v>217</v>
      </c>
      <c r="AJ439" t="str">
        <f t="shared" si="61"/>
        <v/>
      </c>
      <c r="AK439">
        <f t="shared" si="62"/>
        <v>277</v>
      </c>
      <c r="AL439">
        <f t="shared" si="55"/>
        <v>447</v>
      </c>
      <c r="AM439">
        <f t="shared" si="56"/>
        <v>479</v>
      </c>
      <c r="AN439">
        <f t="shared" si="57"/>
        <v>340</v>
      </c>
      <c r="AO439" t="str">
        <f t="shared" si="58"/>
        <v/>
      </c>
    </row>
    <row r="440" spans="1:41">
      <c r="A440">
        <f t="shared" si="63"/>
        <v>436</v>
      </c>
      <c r="B440" t="s">
        <v>268</v>
      </c>
      <c r="C440">
        <v>5</v>
      </c>
      <c r="D440">
        <v>5</v>
      </c>
      <c r="E440" t="s">
        <v>387</v>
      </c>
      <c r="F440">
        <v>412</v>
      </c>
      <c r="G440">
        <v>2</v>
      </c>
      <c r="H440">
        <v>55</v>
      </c>
      <c r="I440" t="s">
        <v>386</v>
      </c>
      <c r="J440" t="s">
        <v>386</v>
      </c>
      <c r="K440">
        <v>1000000</v>
      </c>
      <c r="L440">
        <v>153</v>
      </c>
      <c r="M440">
        <v>153</v>
      </c>
      <c r="N440">
        <v>235</v>
      </c>
      <c r="O440">
        <v>0</v>
      </c>
      <c r="P440">
        <v>330</v>
      </c>
      <c r="Q440">
        <v>526</v>
      </c>
      <c r="R440">
        <v>555</v>
      </c>
      <c r="S440">
        <v>388</v>
      </c>
      <c r="T440">
        <v>0</v>
      </c>
      <c r="U440">
        <v>2394</v>
      </c>
      <c r="V440">
        <v>8744.8169476300009</v>
      </c>
      <c r="AH440">
        <f t="shared" si="59"/>
        <v>153</v>
      </c>
      <c r="AI440">
        <f t="shared" si="60"/>
        <v>235</v>
      </c>
      <c r="AJ440" t="str">
        <f t="shared" si="61"/>
        <v/>
      </c>
      <c r="AK440">
        <f t="shared" si="62"/>
        <v>330</v>
      </c>
      <c r="AL440">
        <f t="shared" si="55"/>
        <v>526</v>
      </c>
      <c r="AM440">
        <f t="shared" si="56"/>
        <v>555</v>
      </c>
      <c r="AN440">
        <f t="shared" si="57"/>
        <v>388</v>
      </c>
      <c r="AO440" t="str">
        <f t="shared" si="58"/>
        <v/>
      </c>
    </row>
    <row r="441" spans="1:41">
      <c r="A441">
        <f t="shared" si="63"/>
        <v>437</v>
      </c>
      <c r="B441" t="s">
        <v>268</v>
      </c>
      <c r="C441">
        <v>5</v>
      </c>
      <c r="D441">
        <v>5</v>
      </c>
      <c r="E441" t="s">
        <v>387</v>
      </c>
      <c r="F441">
        <v>412</v>
      </c>
      <c r="G441">
        <v>2</v>
      </c>
      <c r="H441">
        <v>56</v>
      </c>
      <c r="I441" t="s">
        <v>386</v>
      </c>
      <c r="J441" t="s">
        <v>386</v>
      </c>
      <c r="K441">
        <v>1000000</v>
      </c>
      <c r="L441">
        <v>169</v>
      </c>
      <c r="M441">
        <v>169</v>
      </c>
      <c r="N441">
        <v>256</v>
      </c>
      <c r="O441">
        <v>0</v>
      </c>
      <c r="P441">
        <v>379</v>
      </c>
      <c r="Q441">
        <v>595</v>
      </c>
      <c r="R441">
        <v>621</v>
      </c>
      <c r="S441">
        <v>431</v>
      </c>
      <c r="T441">
        <v>0</v>
      </c>
      <c r="U441">
        <v>2478</v>
      </c>
      <c r="V441">
        <v>8791.4687936400005</v>
      </c>
      <c r="AH441">
        <f t="shared" si="59"/>
        <v>169</v>
      </c>
      <c r="AI441">
        <f t="shared" si="60"/>
        <v>256</v>
      </c>
      <c r="AJ441" t="str">
        <f t="shared" si="61"/>
        <v/>
      </c>
      <c r="AK441">
        <f t="shared" si="62"/>
        <v>379</v>
      </c>
      <c r="AL441">
        <f t="shared" si="55"/>
        <v>595</v>
      </c>
      <c r="AM441">
        <f t="shared" si="56"/>
        <v>621</v>
      </c>
      <c r="AN441">
        <f t="shared" si="57"/>
        <v>431</v>
      </c>
      <c r="AO441" t="str">
        <f t="shared" si="58"/>
        <v/>
      </c>
    </row>
    <row r="442" spans="1:41">
      <c r="A442">
        <f t="shared" si="63"/>
        <v>438</v>
      </c>
      <c r="B442" t="s">
        <v>268</v>
      </c>
      <c r="C442">
        <v>5</v>
      </c>
      <c r="D442">
        <v>5</v>
      </c>
      <c r="E442" t="s">
        <v>387</v>
      </c>
      <c r="F442">
        <v>412</v>
      </c>
      <c r="G442">
        <v>2</v>
      </c>
      <c r="H442">
        <v>57</v>
      </c>
      <c r="I442" t="s">
        <v>386</v>
      </c>
      <c r="J442" t="s">
        <v>386</v>
      </c>
      <c r="K442">
        <v>1000000</v>
      </c>
      <c r="L442">
        <v>187</v>
      </c>
      <c r="M442">
        <v>187</v>
      </c>
      <c r="N442">
        <v>279</v>
      </c>
      <c r="O442">
        <v>0</v>
      </c>
      <c r="P442">
        <v>422</v>
      </c>
      <c r="Q442">
        <v>658</v>
      </c>
      <c r="R442">
        <v>685</v>
      </c>
      <c r="S442">
        <v>476</v>
      </c>
      <c r="T442">
        <v>0</v>
      </c>
      <c r="U442">
        <v>2572</v>
      </c>
      <c r="V442">
        <v>8843.9085371700003</v>
      </c>
      <c r="AH442">
        <f t="shared" si="59"/>
        <v>187</v>
      </c>
      <c r="AI442">
        <f t="shared" si="60"/>
        <v>279</v>
      </c>
      <c r="AJ442" t="str">
        <f t="shared" si="61"/>
        <v/>
      </c>
      <c r="AK442">
        <f t="shared" si="62"/>
        <v>422</v>
      </c>
      <c r="AL442">
        <f t="shared" si="55"/>
        <v>658</v>
      </c>
      <c r="AM442">
        <f t="shared" si="56"/>
        <v>685</v>
      </c>
      <c r="AN442">
        <f t="shared" si="57"/>
        <v>476</v>
      </c>
      <c r="AO442" t="str">
        <f t="shared" si="58"/>
        <v/>
      </c>
    </row>
    <row r="443" spans="1:41">
      <c r="A443">
        <f t="shared" si="63"/>
        <v>439</v>
      </c>
      <c r="B443" t="s">
        <v>268</v>
      </c>
      <c r="C443">
        <v>5</v>
      </c>
      <c r="D443">
        <v>5</v>
      </c>
      <c r="E443" t="s">
        <v>387</v>
      </c>
      <c r="F443">
        <v>412</v>
      </c>
      <c r="G443">
        <v>2</v>
      </c>
      <c r="H443">
        <v>58</v>
      </c>
      <c r="I443" t="s">
        <v>386</v>
      </c>
      <c r="J443" t="s">
        <v>386</v>
      </c>
      <c r="K443">
        <v>1000000</v>
      </c>
      <c r="L443">
        <v>206</v>
      </c>
      <c r="M443">
        <v>206</v>
      </c>
      <c r="N443">
        <v>305</v>
      </c>
      <c r="O443">
        <v>0</v>
      </c>
      <c r="P443">
        <v>464</v>
      </c>
      <c r="Q443">
        <v>725</v>
      </c>
      <c r="R443">
        <v>757</v>
      </c>
      <c r="S443">
        <v>528</v>
      </c>
      <c r="T443">
        <v>0</v>
      </c>
      <c r="U443">
        <v>2677</v>
      </c>
      <c r="V443">
        <v>8902.1452288399996</v>
      </c>
      <c r="AH443">
        <f t="shared" si="59"/>
        <v>206</v>
      </c>
      <c r="AI443">
        <f t="shared" si="60"/>
        <v>305</v>
      </c>
      <c r="AJ443" t="str">
        <f t="shared" si="61"/>
        <v/>
      </c>
      <c r="AK443">
        <f t="shared" si="62"/>
        <v>464</v>
      </c>
      <c r="AL443">
        <f t="shared" si="55"/>
        <v>725</v>
      </c>
      <c r="AM443">
        <f t="shared" si="56"/>
        <v>757</v>
      </c>
      <c r="AN443">
        <f t="shared" si="57"/>
        <v>528</v>
      </c>
      <c r="AO443" t="str">
        <f t="shared" si="58"/>
        <v/>
      </c>
    </row>
    <row r="444" spans="1:41">
      <c r="A444">
        <f t="shared" si="63"/>
        <v>440</v>
      </c>
      <c r="B444" t="s">
        <v>268</v>
      </c>
      <c r="C444">
        <v>5</v>
      </c>
      <c r="D444">
        <v>5</v>
      </c>
      <c r="E444" t="s">
        <v>387</v>
      </c>
      <c r="F444">
        <v>412</v>
      </c>
      <c r="G444">
        <v>2</v>
      </c>
      <c r="H444">
        <v>59</v>
      </c>
      <c r="I444" t="s">
        <v>386</v>
      </c>
      <c r="J444" t="s">
        <v>386</v>
      </c>
      <c r="K444">
        <v>1000000</v>
      </c>
      <c r="L444">
        <v>228</v>
      </c>
      <c r="M444">
        <v>228</v>
      </c>
      <c r="N444">
        <v>333</v>
      </c>
      <c r="O444">
        <v>0</v>
      </c>
      <c r="P444">
        <v>513</v>
      </c>
      <c r="Q444">
        <v>805</v>
      </c>
      <c r="R444">
        <v>842</v>
      </c>
      <c r="S444">
        <v>589</v>
      </c>
      <c r="T444">
        <v>0</v>
      </c>
      <c r="U444">
        <v>2793</v>
      </c>
      <c r="V444">
        <v>8966.6879732500001</v>
      </c>
      <c r="AH444">
        <f t="shared" si="59"/>
        <v>228</v>
      </c>
      <c r="AI444">
        <f t="shared" si="60"/>
        <v>333</v>
      </c>
      <c r="AJ444" t="str">
        <f t="shared" si="61"/>
        <v/>
      </c>
      <c r="AK444">
        <f t="shared" si="62"/>
        <v>513</v>
      </c>
      <c r="AL444">
        <f t="shared" si="55"/>
        <v>805</v>
      </c>
      <c r="AM444">
        <f t="shared" si="56"/>
        <v>842</v>
      </c>
      <c r="AN444">
        <f t="shared" si="57"/>
        <v>589</v>
      </c>
      <c r="AO444" t="str">
        <f t="shared" si="58"/>
        <v/>
      </c>
    </row>
    <row r="445" spans="1:41">
      <c r="A445">
        <f t="shared" si="63"/>
        <v>441</v>
      </c>
      <c r="B445" t="s">
        <v>268</v>
      </c>
      <c r="C445">
        <v>5</v>
      </c>
      <c r="D445">
        <v>5</v>
      </c>
      <c r="E445" t="s">
        <v>387</v>
      </c>
      <c r="F445">
        <v>412</v>
      </c>
      <c r="G445">
        <v>2</v>
      </c>
      <c r="H445">
        <v>60</v>
      </c>
      <c r="I445" t="s">
        <v>386</v>
      </c>
      <c r="J445" t="s">
        <v>386</v>
      </c>
      <c r="K445">
        <v>1000000</v>
      </c>
      <c r="L445">
        <v>252</v>
      </c>
      <c r="M445">
        <v>252</v>
      </c>
      <c r="N445">
        <v>365</v>
      </c>
      <c r="O445">
        <v>0</v>
      </c>
      <c r="P445">
        <v>571</v>
      </c>
      <c r="Q445">
        <v>896</v>
      </c>
      <c r="R445">
        <v>939</v>
      </c>
      <c r="S445">
        <v>654</v>
      </c>
      <c r="T445">
        <v>0</v>
      </c>
      <c r="U445">
        <v>2922</v>
      </c>
      <c r="V445">
        <v>9038.2329510500003</v>
      </c>
      <c r="AH445">
        <f t="shared" si="59"/>
        <v>252</v>
      </c>
      <c r="AI445">
        <f t="shared" si="60"/>
        <v>365</v>
      </c>
      <c r="AJ445" t="str">
        <f t="shared" si="61"/>
        <v/>
      </c>
      <c r="AK445">
        <f t="shared" si="62"/>
        <v>571</v>
      </c>
      <c r="AL445">
        <f t="shared" si="55"/>
        <v>896</v>
      </c>
      <c r="AM445">
        <f t="shared" si="56"/>
        <v>939</v>
      </c>
      <c r="AN445">
        <f t="shared" si="57"/>
        <v>654</v>
      </c>
      <c r="AO445" t="str">
        <f t="shared" si="58"/>
        <v/>
      </c>
    </row>
    <row r="446" spans="1:41">
      <c r="A446">
        <f t="shared" si="63"/>
        <v>442</v>
      </c>
      <c r="B446" t="s">
        <v>268</v>
      </c>
      <c r="C446">
        <v>5</v>
      </c>
      <c r="D446">
        <v>5</v>
      </c>
      <c r="E446" t="s">
        <v>387</v>
      </c>
      <c r="F446">
        <v>412</v>
      </c>
      <c r="G446">
        <v>2</v>
      </c>
      <c r="H446">
        <v>61</v>
      </c>
      <c r="I446" t="s">
        <v>386</v>
      </c>
      <c r="J446" t="s">
        <v>386</v>
      </c>
      <c r="K446">
        <v>1000000</v>
      </c>
      <c r="L446">
        <v>279</v>
      </c>
      <c r="M446">
        <v>279</v>
      </c>
      <c r="N446">
        <v>400</v>
      </c>
      <c r="O446">
        <v>0</v>
      </c>
      <c r="P446">
        <v>634</v>
      </c>
      <c r="Q446">
        <v>993</v>
      </c>
      <c r="R446">
        <v>1034</v>
      </c>
      <c r="S446">
        <v>716</v>
      </c>
      <c r="T446">
        <v>0</v>
      </c>
      <c r="U446">
        <v>3064</v>
      </c>
      <c r="V446">
        <v>9117.1156309599992</v>
      </c>
      <c r="AH446">
        <f t="shared" si="59"/>
        <v>279</v>
      </c>
      <c r="AI446">
        <f t="shared" si="60"/>
        <v>400</v>
      </c>
      <c r="AJ446" t="str">
        <f t="shared" si="61"/>
        <v/>
      </c>
      <c r="AK446">
        <f t="shared" si="62"/>
        <v>634</v>
      </c>
      <c r="AL446">
        <f t="shared" si="55"/>
        <v>993</v>
      </c>
      <c r="AM446">
        <f t="shared" si="56"/>
        <v>1034</v>
      </c>
      <c r="AN446">
        <f t="shared" si="57"/>
        <v>716</v>
      </c>
      <c r="AO446" t="str">
        <f t="shared" si="58"/>
        <v/>
      </c>
    </row>
    <row r="447" spans="1:41">
      <c r="A447">
        <f t="shared" si="63"/>
        <v>443</v>
      </c>
      <c r="B447" t="s">
        <v>268</v>
      </c>
      <c r="C447">
        <v>5</v>
      </c>
      <c r="D447">
        <v>5</v>
      </c>
      <c r="E447" t="s">
        <v>387</v>
      </c>
      <c r="F447">
        <v>412</v>
      </c>
      <c r="G447">
        <v>2</v>
      </c>
      <c r="H447">
        <v>62</v>
      </c>
      <c r="I447" t="s">
        <v>386</v>
      </c>
      <c r="J447" t="s">
        <v>386</v>
      </c>
      <c r="K447">
        <v>1000000</v>
      </c>
      <c r="L447">
        <v>308</v>
      </c>
      <c r="M447">
        <v>308</v>
      </c>
      <c r="N447">
        <v>438</v>
      </c>
      <c r="O447">
        <v>0</v>
      </c>
      <c r="P447">
        <v>695</v>
      </c>
      <c r="Q447">
        <v>1083</v>
      </c>
      <c r="R447">
        <v>1120</v>
      </c>
      <c r="S447">
        <v>770</v>
      </c>
      <c r="T447">
        <v>0</v>
      </c>
      <c r="U447">
        <v>3219</v>
      </c>
      <c r="V447">
        <v>9203.1813658299998</v>
      </c>
      <c r="AH447">
        <f t="shared" si="59"/>
        <v>308</v>
      </c>
      <c r="AI447">
        <f t="shared" si="60"/>
        <v>438</v>
      </c>
      <c r="AJ447" t="str">
        <f t="shared" si="61"/>
        <v/>
      </c>
      <c r="AK447">
        <f t="shared" si="62"/>
        <v>695</v>
      </c>
      <c r="AL447">
        <f t="shared" si="55"/>
        <v>1083</v>
      </c>
      <c r="AM447">
        <f t="shared" si="56"/>
        <v>1120</v>
      </c>
      <c r="AN447">
        <f t="shared" si="57"/>
        <v>770</v>
      </c>
      <c r="AO447" t="str">
        <f t="shared" si="58"/>
        <v/>
      </c>
    </row>
    <row r="448" spans="1:41">
      <c r="A448">
        <f t="shared" si="63"/>
        <v>444</v>
      </c>
      <c r="B448" t="s">
        <v>268</v>
      </c>
      <c r="C448">
        <v>5</v>
      </c>
      <c r="D448">
        <v>5</v>
      </c>
      <c r="E448" t="s">
        <v>387</v>
      </c>
      <c r="F448">
        <v>412</v>
      </c>
      <c r="G448">
        <v>2</v>
      </c>
      <c r="H448">
        <v>63</v>
      </c>
      <c r="I448" t="s">
        <v>386</v>
      </c>
      <c r="J448" t="s">
        <v>386</v>
      </c>
      <c r="K448">
        <v>1000000</v>
      </c>
      <c r="L448">
        <v>340</v>
      </c>
      <c r="M448">
        <v>340</v>
      </c>
      <c r="N448">
        <v>480</v>
      </c>
      <c r="O448">
        <v>0</v>
      </c>
      <c r="P448">
        <v>749</v>
      </c>
      <c r="Q448">
        <v>1158</v>
      </c>
      <c r="R448">
        <v>1191</v>
      </c>
      <c r="S448">
        <v>816</v>
      </c>
      <c r="T448">
        <v>0</v>
      </c>
      <c r="U448">
        <v>3387</v>
      </c>
      <c r="V448">
        <v>9295.9117088700004</v>
      </c>
      <c r="AH448">
        <f t="shared" si="59"/>
        <v>340</v>
      </c>
      <c r="AI448">
        <f t="shared" si="60"/>
        <v>480</v>
      </c>
      <c r="AJ448" t="str">
        <f t="shared" si="61"/>
        <v/>
      </c>
      <c r="AK448">
        <f t="shared" si="62"/>
        <v>749</v>
      </c>
      <c r="AL448">
        <f t="shared" si="55"/>
        <v>1158</v>
      </c>
      <c r="AM448">
        <f t="shared" si="56"/>
        <v>1191</v>
      </c>
      <c r="AN448">
        <f t="shared" si="57"/>
        <v>816</v>
      </c>
      <c r="AO448" t="str">
        <f t="shared" si="58"/>
        <v/>
      </c>
    </row>
    <row r="449" spans="1:41">
      <c r="A449">
        <f t="shared" si="63"/>
        <v>445</v>
      </c>
      <c r="B449" t="s">
        <v>268</v>
      </c>
      <c r="C449">
        <v>5</v>
      </c>
      <c r="D449">
        <v>5</v>
      </c>
      <c r="E449" t="s">
        <v>387</v>
      </c>
      <c r="F449">
        <v>412</v>
      </c>
      <c r="G449">
        <v>2</v>
      </c>
      <c r="H449">
        <v>64</v>
      </c>
      <c r="I449" t="s">
        <v>386</v>
      </c>
      <c r="J449" t="s">
        <v>386</v>
      </c>
      <c r="K449">
        <v>1000000</v>
      </c>
      <c r="L449">
        <v>373</v>
      </c>
      <c r="M449">
        <v>373</v>
      </c>
      <c r="N449">
        <v>524</v>
      </c>
      <c r="O449">
        <v>0</v>
      </c>
      <c r="P449">
        <v>793</v>
      </c>
      <c r="Q449">
        <v>1220</v>
      </c>
      <c r="R449">
        <v>1251</v>
      </c>
      <c r="S449">
        <v>854</v>
      </c>
      <c r="T449">
        <v>0</v>
      </c>
      <c r="U449">
        <v>3564</v>
      </c>
      <c r="V449">
        <v>9394.3663305900009</v>
      </c>
      <c r="AH449">
        <f t="shared" si="59"/>
        <v>373</v>
      </c>
      <c r="AI449">
        <f t="shared" si="60"/>
        <v>524</v>
      </c>
      <c r="AJ449" t="str">
        <f t="shared" si="61"/>
        <v/>
      </c>
      <c r="AK449">
        <f t="shared" si="62"/>
        <v>793</v>
      </c>
      <c r="AL449">
        <f t="shared" si="55"/>
        <v>1220</v>
      </c>
      <c r="AM449">
        <f t="shared" si="56"/>
        <v>1251</v>
      </c>
      <c r="AN449">
        <f t="shared" si="57"/>
        <v>854</v>
      </c>
      <c r="AO449" t="str">
        <f t="shared" si="58"/>
        <v/>
      </c>
    </row>
    <row r="450" spans="1:41">
      <c r="A450">
        <f t="shared" si="63"/>
        <v>446</v>
      </c>
      <c r="B450" t="s">
        <v>268</v>
      </c>
      <c r="C450">
        <v>5</v>
      </c>
      <c r="D450">
        <v>5</v>
      </c>
      <c r="E450" t="s">
        <v>387</v>
      </c>
      <c r="F450">
        <v>412</v>
      </c>
      <c r="G450">
        <v>2</v>
      </c>
      <c r="H450">
        <v>65</v>
      </c>
      <c r="I450" t="s">
        <v>386</v>
      </c>
      <c r="J450" t="s">
        <v>386</v>
      </c>
      <c r="K450">
        <v>1000000</v>
      </c>
      <c r="L450">
        <v>408</v>
      </c>
      <c r="M450">
        <v>408</v>
      </c>
      <c r="N450">
        <v>570</v>
      </c>
      <c r="O450">
        <v>0</v>
      </c>
      <c r="P450">
        <v>830</v>
      </c>
      <c r="Q450">
        <v>1275</v>
      </c>
      <c r="R450">
        <v>1304</v>
      </c>
      <c r="S450">
        <v>890</v>
      </c>
      <c r="T450">
        <v>0</v>
      </c>
      <c r="U450">
        <v>3750</v>
      </c>
      <c r="V450">
        <v>9497.6849091999993</v>
      </c>
      <c r="AH450">
        <f t="shared" si="59"/>
        <v>408</v>
      </c>
      <c r="AI450">
        <f t="shared" si="60"/>
        <v>570</v>
      </c>
      <c r="AJ450" t="str">
        <f t="shared" si="61"/>
        <v/>
      </c>
      <c r="AK450">
        <f t="shared" si="62"/>
        <v>830</v>
      </c>
      <c r="AL450">
        <f t="shared" si="55"/>
        <v>1275</v>
      </c>
      <c r="AM450">
        <f t="shared" si="56"/>
        <v>1304</v>
      </c>
      <c r="AN450">
        <f t="shared" si="57"/>
        <v>890</v>
      </c>
      <c r="AO450" t="str">
        <f t="shared" si="58"/>
        <v/>
      </c>
    </row>
    <row r="451" spans="1:41">
      <c r="A451">
        <f t="shared" si="63"/>
        <v>447</v>
      </c>
      <c r="B451" t="s">
        <v>268</v>
      </c>
      <c r="C451">
        <v>5</v>
      </c>
      <c r="D451">
        <v>5</v>
      </c>
      <c r="E451" t="s">
        <v>387</v>
      </c>
      <c r="F451">
        <v>412</v>
      </c>
      <c r="G451">
        <v>2</v>
      </c>
      <c r="H451">
        <v>66</v>
      </c>
      <c r="I451" t="s">
        <v>386</v>
      </c>
      <c r="J451" t="s">
        <v>386</v>
      </c>
      <c r="K451">
        <v>1000000</v>
      </c>
      <c r="L451">
        <v>444</v>
      </c>
      <c r="M451">
        <v>444</v>
      </c>
      <c r="N451">
        <v>618</v>
      </c>
      <c r="O451">
        <v>0</v>
      </c>
      <c r="P451">
        <v>865</v>
      </c>
      <c r="Q451">
        <v>1326</v>
      </c>
      <c r="R451">
        <v>1357</v>
      </c>
      <c r="S451">
        <v>926</v>
      </c>
      <c r="T451">
        <v>0</v>
      </c>
      <c r="U451">
        <v>3945</v>
      </c>
      <c r="V451">
        <v>9605.5432752899997</v>
      </c>
      <c r="AH451">
        <f t="shared" si="59"/>
        <v>444</v>
      </c>
      <c r="AI451">
        <f t="shared" si="60"/>
        <v>618</v>
      </c>
      <c r="AJ451" t="str">
        <f t="shared" si="61"/>
        <v/>
      </c>
      <c r="AK451">
        <f t="shared" si="62"/>
        <v>865</v>
      </c>
      <c r="AL451">
        <f t="shared" si="55"/>
        <v>1326</v>
      </c>
      <c r="AM451">
        <f t="shared" si="56"/>
        <v>1357</v>
      </c>
      <c r="AN451">
        <f t="shared" si="57"/>
        <v>926</v>
      </c>
      <c r="AO451" t="str">
        <f t="shared" si="58"/>
        <v/>
      </c>
    </row>
    <row r="452" spans="1:41">
      <c r="A452">
        <f t="shared" si="63"/>
        <v>448</v>
      </c>
      <c r="B452" t="s">
        <v>268</v>
      </c>
      <c r="C452">
        <v>5</v>
      </c>
      <c r="D452">
        <v>5</v>
      </c>
      <c r="E452" t="s">
        <v>387</v>
      </c>
      <c r="F452">
        <v>412</v>
      </c>
      <c r="G452">
        <v>2</v>
      </c>
      <c r="H452">
        <v>67</v>
      </c>
      <c r="I452" t="s">
        <v>386</v>
      </c>
      <c r="J452" t="s">
        <v>386</v>
      </c>
      <c r="K452">
        <v>1000000</v>
      </c>
      <c r="L452">
        <v>483</v>
      </c>
      <c r="M452">
        <v>483</v>
      </c>
      <c r="N452">
        <v>668</v>
      </c>
      <c r="O452">
        <v>0</v>
      </c>
      <c r="P452">
        <v>900</v>
      </c>
      <c r="Q452">
        <v>1383</v>
      </c>
      <c r="R452">
        <v>1418</v>
      </c>
      <c r="S452">
        <v>973</v>
      </c>
      <c r="T452">
        <v>0</v>
      </c>
      <c r="U452">
        <v>4148</v>
      </c>
      <c r="V452">
        <v>9718.3397281199996</v>
      </c>
      <c r="AH452">
        <f t="shared" si="59"/>
        <v>483</v>
      </c>
      <c r="AI452">
        <f t="shared" si="60"/>
        <v>668</v>
      </c>
      <c r="AJ452" t="str">
        <f t="shared" si="61"/>
        <v/>
      </c>
      <c r="AK452">
        <f t="shared" si="62"/>
        <v>900</v>
      </c>
      <c r="AL452">
        <f t="shared" si="55"/>
        <v>1383</v>
      </c>
      <c r="AM452">
        <f t="shared" si="56"/>
        <v>1418</v>
      </c>
      <c r="AN452">
        <f t="shared" si="57"/>
        <v>973</v>
      </c>
      <c r="AO452" t="str">
        <f t="shared" si="58"/>
        <v/>
      </c>
    </row>
    <row r="453" spans="1:41">
      <c r="A453">
        <f t="shared" si="63"/>
        <v>449</v>
      </c>
      <c r="B453" t="s">
        <v>268</v>
      </c>
      <c r="C453">
        <v>5</v>
      </c>
      <c r="D453">
        <v>5</v>
      </c>
      <c r="E453" t="s">
        <v>387</v>
      </c>
      <c r="F453">
        <v>412</v>
      </c>
      <c r="G453">
        <v>2</v>
      </c>
      <c r="H453">
        <v>68</v>
      </c>
      <c r="I453" t="s">
        <v>386</v>
      </c>
      <c r="J453" t="s">
        <v>386</v>
      </c>
      <c r="K453">
        <v>1000000</v>
      </c>
      <c r="L453">
        <v>523</v>
      </c>
      <c r="M453">
        <v>523</v>
      </c>
      <c r="N453">
        <v>721</v>
      </c>
      <c r="O453">
        <v>0</v>
      </c>
      <c r="P453">
        <v>946</v>
      </c>
      <c r="Q453">
        <v>1460</v>
      </c>
      <c r="R453">
        <v>1507</v>
      </c>
      <c r="S453">
        <v>1043</v>
      </c>
      <c r="T453">
        <v>0</v>
      </c>
      <c r="U453">
        <v>4363</v>
      </c>
      <c r="V453">
        <v>9837.5175951900001</v>
      </c>
      <c r="AH453">
        <f t="shared" si="59"/>
        <v>523</v>
      </c>
      <c r="AI453">
        <f t="shared" si="60"/>
        <v>721</v>
      </c>
      <c r="AJ453" t="str">
        <f t="shared" si="61"/>
        <v/>
      </c>
      <c r="AK453">
        <f t="shared" si="62"/>
        <v>946</v>
      </c>
      <c r="AL453">
        <f t="shared" ref="AL453:AL516" si="64">IF(Q453=AC453, "", Q453-AC453)</f>
        <v>1460</v>
      </c>
      <c r="AM453">
        <f t="shared" ref="AM453:AM516" si="65">IF(R453=AD453, "", R453-AD453)</f>
        <v>1507</v>
      </c>
      <c r="AN453">
        <f t="shared" ref="AN453:AN516" si="66">IF(S453=AE453, "", S453-AE453)</f>
        <v>1043</v>
      </c>
      <c r="AO453" t="str">
        <f t="shared" ref="AO453:AO516" si="67">IF(T453=AF453, "", T453-AF453)</f>
        <v/>
      </c>
    </row>
    <row r="454" spans="1:41">
      <c r="A454">
        <f t="shared" si="63"/>
        <v>450</v>
      </c>
      <c r="B454" t="s">
        <v>268</v>
      </c>
      <c r="C454">
        <v>5</v>
      </c>
      <c r="D454">
        <v>5</v>
      </c>
      <c r="E454" t="s">
        <v>387</v>
      </c>
      <c r="F454">
        <v>412</v>
      </c>
      <c r="G454">
        <v>2</v>
      </c>
      <c r="H454">
        <v>69</v>
      </c>
      <c r="I454" t="s">
        <v>386</v>
      </c>
      <c r="J454" t="s">
        <v>386</v>
      </c>
      <c r="K454">
        <v>1000000</v>
      </c>
      <c r="L454">
        <v>566</v>
      </c>
      <c r="M454">
        <v>566</v>
      </c>
      <c r="N454">
        <v>778</v>
      </c>
      <c r="O454">
        <v>0</v>
      </c>
      <c r="P454">
        <v>1010</v>
      </c>
      <c r="Q454">
        <v>1570</v>
      </c>
      <c r="R454">
        <v>1634</v>
      </c>
      <c r="S454">
        <v>1137</v>
      </c>
      <c r="T454">
        <v>0</v>
      </c>
      <c r="U454">
        <v>4593</v>
      </c>
      <c r="V454">
        <v>9965.0464120899996</v>
      </c>
      <c r="AH454">
        <f t="shared" ref="AH454:AH517" si="68">IF(L454=Y454, "",L454-Y454)</f>
        <v>566</v>
      </c>
      <c r="AI454">
        <f t="shared" ref="AI454:AI517" si="69">IF(N454=Z454, "", N454-Z454)</f>
        <v>778</v>
      </c>
      <c r="AJ454" t="str">
        <f t="shared" ref="AJ454:AJ517" si="70">IF(O454=AA454, "", O454-AA454)</f>
        <v/>
      </c>
      <c r="AK454">
        <f t="shared" ref="AK454:AK517" si="71">IF(P454=AB454, "", P454-AB454)</f>
        <v>1010</v>
      </c>
      <c r="AL454">
        <f t="shared" si="64"/>
        <v>1570</v>
      </c>
      <c r="AM454">
        <f t="shared" si="65"/>
        <v>1634</v>
      </c>
      <c r="AN454">
        <f t="shared" si="66"/>
        <v>1137</v>
      </c>
      <c r="AO454" t="str">
        <f t="shared" si="67"/>
        <v/>
      </c>
    </row>
    <row r="455" spans="1:41">
      <c r="A455">
        <f t="shared" ref="A455:A518" si="72">A454+1</f>
        <v>451</v>
      </c>
      <c r="B455" t="s">
        <v>268</v>
      </c>
      <c r="C455">
        <v>5</v>
      </c>
      <c r="D455">
        <v>5</v>
      </c>
      <c r="E455" t="s">
        <v>387</v>
      </c>
      <c r="F455">
        <v>412</v>
      </c>
      <c r="G455">
        <v>2</v>
      </c>
      <c r="H455">
        <v>70</v>
      </c>
      <c r="I455" t="s">
        <v>386</v>
      </c>
      <c r="J455" t="s">
        <v>386</v>
      </c>
      <c r="K455">
        <v>1000000</v>
      </c>
      <c r="L455">
        <v>613</v>
      </c>
      <c r="M455">
        <v>613</v>
      </c>
      <c r="N455">
        <v>839</v>
      </c>
      <c r="O455">
        <v>0</v>
      </c>
      <c r="P455">
        <v>1091</v>
      </c>
      <c r="Q455">
        <v>1704</v>
      </c>
      <c r="R455">
        <v>1773</v>
      </c>
      <c r="S455">
        <v>1222</v>
      </c>
      <c r="T455">
        <v>0</v>
      </c>
      <c r="U455">
        <v>4839</v>
      </c>
      <c r="V455">
        <v>10101.61264322</v>
      </c>
      <c r="AH455">
        <f t="shared" si="68"/>
        <v>613</v>
      </c>
      <c r="AI455">
        <f t="shared" si="69"/>
        <v>839</v>
      </c>
      <c r="AJ455" t="str">
        <f t="shared" si="70"/>
        <v/>
      </c>
      <c r="AK455">
        <f t="shared" si="71"/>
        <v>1091</v>
      </c>
      <c r="AL455">
        <f t="shared" si="64"/>
        <v>1704</v>
      </c>
      <c r="AM455">
        <f t="shared" si="65"/>
        <v>1773</v>
      </c>
      <c r="AN455">
        <f t="shared" si="66"/>
        <v>1222</v>
      </c>
      <c r="AO455" t="str">
        <f t="shared" si="67"/>
        <v/>
      </c>
    </row>
    <row r="456" spans="1:41">
      <c r="A456">
        <f t="shared" si="72"/>
        <v>452</v>
      </c>
      <c r="B456" t="s">
        <v>268</v>
      </c>
      <c r="C456">
        <v>5</v>
      </c>
      <c r="D456">
        <v>5</v>
      </c>
      <c r="E456" t="s">
        <v>387</v>
      </c>
      <c r="F456">
        <v>412</v>
      </c>
      <c r="G456">
        <v>2</v>
      </c>
      <c r="H456">
        <v>71</v>
      </c>
      <c r="I456" t="s">
        <v>386</v>
      </c>
      <c r="J456" t="s">
        <v>386</v>
      </c>
      <c r="K456">
        <v>1000000</v>
      </c>
      <c r="L456">
        <v>661</v>
      </c>
      <c r="M456">
        <v>661</v>
      </c>
      <c r="N456">
        <v>903</v>
      </c>
      <c r="O456">
        <v>0</v>
      </c>
      <c r="P456">
        <v>1166</v>
      </c>
      <c r="Q456">
        <v>1806</v>
      </c>
      <c r="R456">
        <v>1844</v>
      </c>
      <c r="S456">
        <v>1233</v>
      </c>
      <c r="T456">
        <v>0</v>
      </c>
      <c r="U456">
        <v>5096</v>
      </c>
      <c r="V456">
        <v>10244.06356158</v>
      </c>
      <c r="AH456">
        <f t="shared" si="68"/>
        <v>661</v>
      </c>
      <c r="AI456">
        <f t="shared" si="69"/>
        <v>903</v>
      </c>
      <c r="AJ456" t="str">
        <f t="shared" si="70"/>
        <v/>
      </c>
      <c r="AK456">
        <f t="shared" si="71"/>
        <v>1166</v>
      </c>
      <c r="AL456">
        <f t="shared" si="64"/>
        <v>1806</v>
      </c>
      <c r="AM456">
        <f t="shared" si="65"/>
        <v>1844</v>
      </c>
      <c r="AN456">
        <f t="shared" si="66"/>
        <v>1233</v>
      </c>
      <c r="AO456" t="str">
        <f t="shared" si="67"/>
        <v/>
      </c>
    </row>
    <row r="457" spans="1:41">
      <c r="A457">
        <f t="shared" si="72"/>
        <v>453</v>
      </c>
      <c r="B457" t="s">
        <v>268</v>
      </c>
      <c r="C457">
        <v>5</v>
      </c>
      <c r="D457">
        <v>5</v>
      </c>
      <c r="E457" t="s">
        <v>387</v>
      </c>
      <c r="F457">
        <v>412</v>
      </c>
      <c r="G457">
        <v>2</v>
      </c>
      <c r="H457">
        <v>72</v>
      </c>
      <c r="I457" t="s">
        <v>386</v>
      </c>
      <c r="J457" t="s">
        <v>386</v>
      </c>
      <c r="K457">
        <v>1000000</v>
      </c>
      <c r="L457">
        <v>708</v>
      </c>
      <c r="M457">
        <v>708</v>
      </c>
      <c r="N457">
        <v>965</v>
      </c>
      <c r="O457">
        <v>0</v>
      </c>
      <c r="P457">
        <v>1179</v>
      </c>
      <c r="Q457">
        <v>1774</v>
      </c>
      <c r="R457">
        <v>1738</v>
      </c>
      <c r="S457">
        <v>1101</v>
      </c>
      <c r="T457">
        <v>0</v>
      </c>
      <c r="U457">
        <v>5348</v>
      </c>
      <c r="V457">
        <v>10383.778748520001</v>
      </c>
      <c r="AH457">
        <f t="shared" si="68"/>
        <v>708</v>
      </c>
      <c r="AI457">
        <f t="shared" si="69"/>
        <v>965</v>
      </c>
      <c r="AJ457" t="str">
        <f t="shared" si="70"/>
        <v/>
      </c>
      <c r="AK457">
        <f t="shared" si="71"/>
        <v>1179</v>
      </c>
      <c r="AL457">
        <f t="shared" si="64"/>
        <v>1774</v>
      </c>
      <c r="AM457">
        <f t="shared" si="65"/>
        <v>1738</v>
      </c>
      <c r="AN457">
        <f t="shared" si="66"/>
        <v>1101</v>
      </c>
      <c r="AO457" t="str">
        <f t="shared" si="67"/>
        <v/>
      </c>
    </row>
    <row r="458" spans="1:41">
      <c r="A458">
        <f t="shared" si="72"/>
        <v>454</v>
      </c>
      <c r="B458" t="s">
        <v>268</v>
      </c>
      <c r="C458">
        <v>5</v>
      </c>
      <c r="D458">
        <v>5</v>
      </c>
      <c r="E458" t="s">
        <v>387</v>
      </c>
      <c r="F458">
        <v>412</v>
      </c>
      <c r="G458">
        <v>2</v>
      </c>
      <c r="H458">
        <v>73</v>
      </c>
      <c r="I458" t="s">
        <v>386</v>
      </c>
      <c r="J458" t="s">
        <v>386</v>
      </c>
      <c r="K458">
        <v>1000000</v>
      </c>
      <c r="L458">
        <v>750</v>
      </c>
      <c r="M458">
        <v>750</v>
      </c>
      <c r="N458">
        <v>1021</v>
      </c>
      <c r="O458">
        <v>0</v>
      </c>
      <c r="P458">
        <v>1064</v>
      </c>
      <c r="Q458">
        <v>1513</v>
      </c>
      <c r="R458">
        <v>1377</v>
      </c>
      <c r="S458">
        <v>795</v>
      </c>
      <c r="T458">
        <v>0</v>
      </c>
      <c r="U458">
        <v>5570</v>
      </c>
      <c r="V458">
        <v>10506.784493650001</v>
      </c>
      <c r="AH458">
        <f t="shared" si="68"/>
        <v>750</v>
      </c>
      <c r="AI458">
        <f t="shared" si="69"/>
        <v>1021</v>
      </c>
      <c r="AJ458" t="str">
        <f t="shared" si="70"/>
        <v/>
      </c>
      <c r="AK458">
        <f t="shared" si="71"/>
        <v>1064</v>
      </c>
      <c r="AL458">
        <f t="shared" si="64"/>
        <v>1513</v>
      </c>
      <c r="AM458">
        <f t="shared" si="65"/>
        <v>1377</v>
      </c>
      <c r="AN458">
        <f t="shared" si="66"/>
        <v>795</v>
      </c>
      <c r="AO458" t="str">
        <f t="shared" si="67"/>
        <v/>
      </c>
    </row>
    <row r="459" spans="1:41">
      <c r="A459">
        <f t="shared" si="72"/>
        <v>455</v>
      </c>
      <c r="B459" t="s">
        <v>268</v>
      </c>
      <c r="C459">
        <v>5</v>
      </c>
      <c r="D459">
        <v>5</v>
      </c>
      <c r="E459" t="s">
        <v>387</v>
      </c>
      <c r="F459">
        <v>412</v>
      </c>
      <c r="G459">
        <v>2</v>
      </c>
      <c r="H459">
        <v>74</v>
      </c>
      <c r="I459" t="s">
        <v>386</v>
      </c>
      <c r="J459" t="s">
        <v>386</v>
      </c>
      <c r="K459">
        <v>1000000</v>
      </c>
      <c r="L459">
        <v>781</v>
      </c>
      <c r="M459">
        <v>781</v>
      </c>
      <c r="N459">
        <v>1061</v>
      </c>
      <c r="O459">
        <v>0</v>
      </c>
      <c r="P459">
        <v>789</v>
      </c>
      <c r="Q459">
        <v>1005</v>
      </c>
      <c r="R459">
        <v>788</v>
      </c>
      <c r="S459">
        <v>370</v>
      </c>
      <c r="T459">
        <v>0</v>
      </c>
      <c r="U459">
        <v>5735</v>
      </c>
      <c r="V459">
        <v>10597.888236860001</v>
      </c>
      <c r="AH459">
        <f t="shared" si="68"/>
        <v>781</v>
      </c>
      <c r="AI459">
        <f t="shared" si="69"/>
        <v>1061</v>
      </c>
      <c r="AJ459" t="str">
        <f t="shared" si="70"/>
        <v/>
      </c>
      <c r="AK459">
        <f t="shared" si="71"/>
        <v>789</v>
      </c>
      <c r="AL459">
        <f t="shared" si="64"/>
        <v>1005</v>
      </c>
      <c r="AM459">
        <f t="shared" si="65"/>
        <v>788</v>
      </c>
      <c r="AN459">
        <f t="shared" si="66"/>
        <v>370</v>
      </c>
      <c r="AO459" t="str">
        <f t="shared" si="67"/>
        <v/>
      </c>
    </row>
    <row r="460" spans="1:41">
      <c r="A460">
        <f t="shared" si="72"/>
        <v>456</v>
      </c>
      <c r="B460" t="s">
        <v>268</v>
      </c>
      <c r="C460">
        <v>5</v>
      </c>
      <c r="D460">
        <v>5</v>
      </c>
      <c r="E460" t="s">
        <v>387</v>
      </c>
      <c r="F460">
        <v>412</v>
      </c>
      <c r="G460">
        <v>2</v>
      </c>
      <c r="H460">
        <v>75</v>
      </c>
      <c r="I460" t="s">
        <v>386</v>
      </c>
      <c r="J460" t="s">
        <v>386</v>
      </c>
      <c r="K460">
        <v>1000000</v>
      </c>
      <c r="L460">
        <v>798</v>
      </c>
      <c r="M460">
        <v>798</v>
      </c>
      <c r="N460">
        <v>1083</v>
      </c>
      <c r="O460">
        <v>0</v>
      </c>
      <c r="P460">
        <v>389</v>
      </c>
      <c r="Q460">
        <v>351</v>
      </c>
      <c r="R460">
        <v>118</v>
      </c>
      <c r="S460">
        <v>-59</v>
      </c>
      <c r="T460">
        <v>0</v>
      </c>
      <c r="U460">
        <v>5823</v>
      </c>
      <c r="V460">
        <v>10646.363161179999</v>
      </c>
      <c r="AH460">
        <f t="shared" si="68"/>
        <v>798</v>
      </c>
      <c r="AI460">
        <f t="shared" si="69"/>
        <v>1083</v>
      </c>
      <c r="AJ460" t="str">
        <f t="shared" si="70"/>
        <v/>
      </c>
      <c r="AK460">
        <f t="shared" si="71"/>
        <v>389</v>
      </c>
      <c r="AL460">
        <f t="shared" si="64"/>
        <v>351</v>
      </c>
      <c r="AM460">
        <f t="shared" si="65"/>
        <v>118</v>
      </c>
      <c r="AN460">
        <f t="shared" si="66"/>
        <v>-59</v>
      </c>
      <c r="AO460" t="str">
        <f t="shared" si="67"/>
        <v/>
      </c>
    </row>
    <row r="461" spans="1:41">
      <c r="A461">
        <f t="shared" si="72"/>
        <v>457</v>
      </c>
      <c r="B461" t="s">
        <v>268</v>
      </c>
      <c r="C461">
        <v>5</v>
      </c>
      <c r="D461">
        <v>5</v>
      </c>
      <c r="E461" t="s">
        <v>387</v>
      </c>
      <c r="F461">
        <v>412</v>
      </c>
      <c r="G461">
        <v>2</v>
      </c>
      <c r="H461">
        <v>76</v>
      </c>
      <c r="I461" t="s">
        <v>386</v>
      </c>
      <c r="J461" t="s">
        <v>386</v>
      </c>
      <c r="K461">
        <v>1000000</v>
      </c>
      <c r="L461">
        <v>799</v>
      </c>
      <c r="M461">
        <v>799</v>
      </c>
      <c r="N461">
        <v>1085</v>
      </c>
      <c r="O461">
        <v>0</v>
      </c>
      <c r="P461">
        <v>-32</v>
      </c>
      <c r="Q461">
        <v>-259</v>
      </c>
      <c r="R461">
        <v>-430</v>
      </c>
      <c r="S461">
        <v>-363</v>
      </c>
      <c r="T461">
        <v>0</v>
      </c>
      <c r="U461">
        <v>5832</v>
      </c>
      <c r="V461">
        <v>10651.165296700001</v>
      </c>
      <c r="AH461">
        <f t="shared" si="68"/>
        <v>799</v>
      </c>
      <c r="AI461">
        <f t="shared" si="69"/>
        <v>1085</v>
      </c>
      <c r="AJ461" t="str">
        <f t="shared" si="70"/>
        <v/>
      </c>
      <c r="AK461">
        <f t="shared" si="71"/>
        <v>-32</v>
      </c>
      <c r="AL461">
        <f t="shared" si="64"/>
        <v>-259</v>
      </c>
      <c r="AM461">
        <f t="shared" si="65"/>
        <v>-430</v>
      </c>
      <c r="AN461">
        <f t="shared" si="66"/>
        <v>-363</v>
      </c>
      <c r="AO461" t="str">
        <f t="shared" si="67"/>
        <v/>
      </c>
    </row>
    <row r="462" spans="1:41">
      <c r="A462">
        <f t="shared" si="72"/>
        <v>458</v>
      </c>
      <c r="B462" t="s">
        <v>268</v>
      </c>
      <c r="C462">
        <v>5</v>
      </c>
      <c r="D462">
        <v>5</v>
      </c>
      <c r="E462" t="s">
        <v>387</v>
      </c>
      <c r="F462">
        <v>412</v>
      </c>
      <c r="G462">
        <v>2</v>
      </c>
      <c r="H462">
        <v>77</v>
      </c>
      <c r="I462" t="s">
        <v>386</v>
      </c>
      <c r="J462" t="s">
        <v>386</v>
      </c>
      <c r="K462">
        <v>1000000</v>
      </c>
      <c r="L462">
        <v>789</v>
      </c>
      <c r="M462">
        <v>789</v>
      </c>
      <c r="N462">
        <v>1072</v>
      </c>
      <c r="O462">
        <v>0</v>
      </c>
      <c r="P462">
        <v>-346</v>
      </c>
      <c r="Q462">
        <v>-641</v>
      </c>
      <c r="R462">
        <v>-702</v>
      </c>
      <c r="S462">
        <v>-472</v>
      </c>
      <c r="T462">
        <v>0</v>
      </c>
      <c r="U462">
        <v>5779</v>
      </c>
      <c r="V462">
        <v>10622.0096412</v>
      </c>
      <c r="AH462">
        <f t="shared" si="68"/>
        <v>789</v>
      </c>
      <c r="AI462">
        <f t="shared" si="69"/>
        <v>1072</v>
      </c>
      <c r="AJ462" t="str">
        <f t="shared" si="70"/>
        <v/>
      </c>
      <c r="AK462">
        <f t="shared" si="71"/>
        <v>-346</v>
      </c>
      <c r="AL462">
        <f t="shared" si="64"/>
        <v>-641</v>
      </c>
      <c r="AM462">
        <f t="shared" si="65"/>
        <v>-702</v>
      </c>
      <c r="AN462">
        <f t="shared" si="66"/>
        <v>-472</v>
      </c>
      <c r="AO462" t="str">
        <f t="shared" si="67"/>
        <v/>
      </c>
    </row>
    <row r="463" spans="1:41">
      <c r="A463">
        <f t="shared" si="72"/>
        <v>459</v>
      </c>
      <c r="B463" t="s">
        <v>268</v>
      </c>
      <c r="C463">
        <v>5</v>
      </c>
      <c r="D463">
        <v>5</v>
      </c>
      <c r="E463" t="s">
        <v>387</v>
      </c>
      <c r="F463">
        <v>412</v>
      </c>
      <c r="G463">
        <v>2</v>
      </c>
      <c r="H463">
        <v>78</v>
      </c>
      <c r="I463" t="s">
        <v>386</v>
      </c>
      <c r="J463" t="s">
        <v>386</v>
      </c>
      <c r="K463">
        <v>1000000</v>
      </c>
      <c r="L463">
        <v>774</v>
      </c>
      <c r="M463">
        <v>774</v>
      </c>
      <c r="N463">
        <v>1052</v>
      </c>
      <c r="O463">
        <v>0</v>
      </c>
      <c r="P463">
        <v>-471</v>
      </c>
      <c r="Q463">
        <v>-715</v>
      </c>
      <c r="R463">
        <v>-672</v>
      </c>
      <c r="S463">
        <v>-396</v>
      </c>
      <c r="T463">
        <v>0</v>
      </c>
      <c r="U463">
        <v>5697</v>
      </c>
      <c r="V463">
        <v>10576.56150442</v>
      </c>
      <c r="AH463">
        <f t="shared" si="68"/>
        <v>774</v>
      </c>
      <c r="AI463">
        <f t="shared" si="69"/>
        <v>1052</v>
      </c>
      <c r="AJ463" t="str">
        <f t="shared" si="70"/>
        <v/>
      </c>
      <c r="AK463">
        <f t="shared" si="71"/>
        <v>-471</v>
      </c>
      <c r="AL463">
        <f t="shared" si="64"/>
        <v>-715</v>
      </c>
      <c r="AM463">
        <f t="shared" si="65"/>
        <v>-672</v>
      </c>
      <c r="AN463">
        <f t="shared" si="66"/>
        <v>-396</v>
      </c>
      <c r="AO463" t="str">
        <f t="shared" si="67"/>
        <v/>
      </c>
    </row>
    <row r="464" spans="1:41">
      <c r="A464">
        <f t="shared" si="72"/>
        <v>460</v>
      </c>
      <c r="B464" t="s">
        <v>268</v>
      </c>
      <c r="C464">
        <v>5</v>
      </c>
      <c r="D464">
        <v>5</v>
      </c>
      <c r="E464" t="s">
        <v>387</v>
      </c>
      <c r="F464">
        <v>412</v>
      </c>
      <c r="G464">
        <v>2</v>
      </c>
      <c r="H464">
        <v>79</v>
      </c>
      <c r="I464" t="s">
        <v>386</v>
      </c>
      <c r="J464" t="s">
        <v>386</v>
      </c>
      <c r="K464">
        <v>1000000</v>
      </c>
      <c r="L464">
        <v>759</v>
      </c>
      <c r="M464">
        <v>759</v>
      </c>
      <c r="N464">
        <v>1032</v>
      </c>
      <c r="O464">
        <v>0</v>
      </c>
      <c r="P464">
        <v>-410</v>
      </c>
      <c r="Q464">
        <v>-540</v>
      </c>
      <c r="R464">
        <v>-441</v>
      </c>
      <c r="S464">
        <v>-229</v>
      </c>
      <c r="T464">
        <v>0</v>
      </c>
      <c r="U464">
        <v>5617</v>
      </c>
      <c r="V464">
        <v>10532.46780269</v>
      </c>
      <c r="AH464">
        <f t="shared" si="68"/>
        <v>759</v>
      </c>
      <c r="AI464">
        <f t="shared" si="69"/>
        <v>1032</v>
      </c>
      <c r="AJ464" t="str">
        <f t="shared" si="70"/>
        <v/>
      </c>
      <c r="AK464">
        <f t="shared" si="71"/>
        <v>-410</v>
      </c>
      <c r="AL464">
        <f t="shared" si="64"/>
        <v>-540</v>
      </c>
      <c r="AM464">
        <f t="shared" si="65"/>
        <v>-441</v>
      </c>
      <c r="AN464">
        <f t="shared" si="66"/>
        <v>-229</v>
      </c>
      <c r="AO464" t="str">
        <f t="shared" si="67"/>
        <v/>
      </c>
    </row>
    <row r="465" spans="1:41">
      <c r="A465">
        <f t="shared" si="72"/>
        <v>461</v>
      </c>
      <c r="B465" t="s">
        <v>268</v>
      </c>
      <c r="C465">
        <v>5</v>
      </c>
      <c r="D465">
        <v>5</v>
      </c>
      <c r="E465" t="s">
        <v>387</v>
      </c>
      <c r="F465">
        <v>412</v>
      </c>
      <c r="G465">
        <v>2</v>
      </c>
      <c r="H465">
        <v>80</v>
      </c>
      <c r="I465" t="s">
        <v>386</v>
      </c>
      <c r="J465" t="s">
        <v>386</v>
      </c>
      <c r="K465">
        <v>1000000</v>
      </c>
      <c r="L465">
        <v>748</v>
      </c>
      <c r="M465">
        <v>748</v>
      </c>
      <c r="N465">
        <v>1018</v>
      </c>
      <c r="O465">
        <v>0</v>
      </c>
      <c r="P465">
        <v>-250</v>
      </c>
      <c r="Q465">
        <v>-276</v>
      </c>
      <c r="R465">
        <v>-194</v>
      </c>
      <c r="S465">
        <v>-99</v>
      </c>
      <c r="T465">
        <v>0</v>
      </c>
      <c r="U465">
        <v>5558</v>
      </c>
      <c r="V465">
        <v>10499.867344710001</v>
      </c>
      <c r="AH465">
        <f t="shared" si="68"/>
        <v>748</v>
      </c>
      <c r="AI465">
        <f t="shared" si="69"/>
        <v>1018</v>
      </c>
      <c r="AJ465" t="str">
        <f t="shared" si="70"/>
        <v/>
      </c>
      <c r="AK465">
        <f t="shared" si="71"/>
        <v>-250</v>
      </c>
      <c r="AL465">
        <f t="shared" si="64"/>
        <v>-276</v>
      </c>
      <c r="AM465">
        <f t="shared" si="65"/>
        <v>-194</v>
      </c>
      <c r="AN465">
        <f t="shared" si="66"/>
        <v>-99</v>
      </c>
      <c r="AO465" t="str">
        <f t="shared" si="67"/>
        <v/>
      </c>
    </row>
    <row r="466" spans="1:41">
      <c r="A466">
        <f t="shared" si="72"/>
        <v>462</v>
      </c>
      <c r="B466" t="s">
        <v>268</v>
      </c>
      <c r="C466">
        <v>5</v>
      </c>
      <c r="D466">
        <v>5</v>
      </c>
      <c r="E466" t="s">
        <v>387</v>
      </c>
      <c r="F466">
        <v>412</v>
      </c>
      <c r="G466">
        <v>2</v>
      </c>
      <c r="H466">
        <v>81</v>
      </c>
      <c r="I466" t="s">
        <v>386</v>
      </c>
      <c r="J466" t="s">
        <v>386</v>
      </c>
      <c r="K466">
        <v>1000000</v>
      </c>
      <c r="L466">
        <v>741</v>
      </c>
      <c r="M466">
        <v>741</v>
      </c>
      <c r="N466">
        <v>1008</v>
      </c>
      <c r="O466">
        <v>0</v>
      </c>
      <c r="P466">
        <v>-107</v>
      </c>
      <c r="Q466">
        <v>-108</v>
      </c>
      <c r="R466">
        <v>-99</v>
      </c>
      <c r="S466">
        <v>-90</v>
      </c>
      <c r="T466">
        <v>0</v>
      </c>
      <c r="U466">
        <v>5519</v>
      </c>
      <c r="V466">
        <v>10478.237107499999</v>
      </c>
      <c r="AH466">
        <f t="shared" si="68"/>
        <v>741</v>
      </c>
      <c r="AI466">
        <f t="shared" si="69"/>
        <v>1008</v>
      </c>
      <c r="AJ466" t="str">
        <f t="shared" si="70"/>
        <v/>
      </c>
      <c r="AK466">
        <f t="shared" si="71"/>
        <v>-107</v>
      </c>
      <c r="AL466">
        <f t="shared" si="64"/>
        <v>-108</v>
      </c>
      <c r="AM466">
        <f t="shared" si="65"/>
        <v>-99</v>
      </c>
      <c r="AN466">
        <f t="shared" si="66"/>
        <v>-90</v>
      </c>
      <c r="AO466" t="str">
        <f t="shared" si="67"/>
        <v/>
      </c>
    </row>
    <row r="467" spans="1:41">
      <c r="A467">
        <f t="shared" si="72"/>
        <v>463</v>
      </c>
      <c r="B467" t="s">
        <v>268</v>
      </c>
      <c r="C467">
        <v>5</v>
      </c>
      <c r="D467">
        <v>5</v>
      </c>
      <c r="E467" t="s">
        <v>387</v>
      </c>
      <c r="F467">
        <v>412</v>
      </c>
      <c r="G467">
        <v>2</v>
      </c>
      <c r="H467">
        <v>82</v>
      </c>
      <c r="I467" t="s">
        <v>386</v>
      </c>
      <c r="J467" t="s">
        <v>386</v>
      </c>
      <c r="K467">
        <v>1000000</v>
      </c>
      <c r="L467">
        <v>734</v>
      </c>
      <c r="M467">
        <v>734</v>
      </c>
      <c r="N467">
        <v>999</v>
      </c>
      <c r="O467">
        <v>0</v>
      </c>
      <c r="P467">
        <v>-77</v>
      </c>
      <c r="Q467">
        <v>-147</v>
      </c>
      <c r="R467">
        <v>-219</v>
      </c>
      <c r="S467">
        <v>-213</v>
      </c>
      <c r="T467">
        <v>0</v>
      </c>
      <c r="U467">
        <v>5485</v>
      </c>
      <c r="V467">
        <v>10458.994410220001</v>
      </c>
      <c r="AH467">
        <f t="shared" si="68"/>
        <v>734</v>
      </c>
      <c r="AI467">
        <f t="shared" si="69"/>
        <v>999</v>
      </c>
      <c r="AJ467" t="str">
        <f t="shared" si="70"/>
        <v/>
      </c>
      <c r="AK467">
        <f t="shared" si="71"/>
        <v>-77</v>
      </c>
      <c r="AL467">
        <f t="shared" si="64"/>
        <v>-147</v>
      </c>
      <c r="AM467">
        <f t="shared" si="65"/>
        <v>-219</v>
      </c>
      <c r="AN467">
        <f t="shared" si="66"/>
        <v>-213</v>
      </c>
      <c r="AO467" t="str">
        <f t="shared" si="67"/>
        <v/>
      </c>
    </row>
    <row r="468" spans="1:41">
      <c r="A468">
        <f t="shared" si="72"/>
        <v>464</v>
      </c>
      <c r="B468" t="s">
        <v>268</v>
      </c>
      <c r="C468">
        <v>5</v>
      </c>
      <c r="D468">
        <v>5</v>
      </c>
      <c r="E468" t="s">
        <v>387</v>
      </c>
      <c r="F468">
        <v>412</v>
      </c>
      <c r="G468">
        <v>2</v>
      </c>
      <c r="H468">
        <v>83</v>
      </c>
      <c r="I468" t="s">
        <v>386</v>
      </c>
      <c r="J468" t="s">
        <v>386</v>
      </c>
      <c r="K468">
        <v>1000000</v>
      </c>
      <c r="L468">
        <v>724</v>
      </c>
      <c r="M468">
        <v>724</v>
      </c>
      <c r="N468">
        <v>987</v>
      </c>
      <c r="O468">
        <v>0</v>
      </c>
      <c r="P468">
        <v>-184</v>
      </c>
      <c r="Q468">
        <v>-375</v>
      </c>
      <c r="R468">
        <v>-491</v>
      </c>
      <c r="S468">
        <v>-405</v>
      </c>
      <c r="T468">
        <v>0</v>
      </c>
      <c r="U468">
        <v>5434</v>
      </c>
      <c r="V468">
        <v>10430.62818283</v>
      </c>
      <c r="AH468">
        <f t="shared" si="68"/>
        <v>724</v>
      </c>
      <c r="AI468">
        <f t="shared" si="69"/>
        <v>987</v>
      </c>
      <c r="AJ468" t="str">
        <f t="shared" si="70"/>
        <v/>
      </c>
      <c r="AK468">
        <f t="shared" si="71"/>
        <v>-184</v>
      </c>
      <c r="AL468">
        <f t="shared" si="64"/>
        <v>-375</v>
      </c>
      <c r="AM468">
        <f t="shared" si="65"/>
        <v>-491</v>
      </c>
      <c r="AN468">
        <f t="shared" si="66"/>
        <v>-405</v>
      </c>
      <c r="AO468" t="str">
        <f t="shared" si="67"/>
        <v/>
      </c>
    </row>
    <row r="469" spans="1:41">
      <c r="A469">
        <f t="shared" si="72"/>
        <v>465</v>
      </c>
      <c r="B469" t="s">
        <v>268</v>
      </c>
      <c r="C469">
        <v>5</v>
      </c>
      <c r="D469">
        <v>5</v>
      </c>
      <c r="E469" t="s">
        <v>387</v>
      </c>
      <c r="F469">
        <v>412</v>
      </c>
      <c r="G469">
        <v>2</v>
      </c>
      <c r="H469">
        <v>84</v>
      </c>
      <c r="I469" t="s">
        <v>386</v>
      </c>
      <c r="J469" t="s">
        <v>386</v>
      </c>
      <c r="K469">
        <v>1000000</v>
      </c>
      <c r="L469">
        <v>709</v>
      </c>
      <c r="M469">
        <v>709</v>
      </c>
      <c r="N469">
        <v>966</v>
      </c>
      <c r="O469">
        <v>0</v>
      </c>
      <c r="P469">
        <v>-374</v>
      </c>
      <c r="Q469">
        <v>-679</v>
      </c>
      <c r="R469">
        <v>-789</v>
      </c>
      <c r="S469">
        <v>-586</v>
      </c>
      <c r="T469">
        <v>0</v>
      </c>
      <c r="U469">
        <v>5351</v>
      </c>
      <c r="V469">
        <v>10384.84842355</v>
      </c>
      <c r="AH469">
        <f t="shared" si="68"/>
        <v>709</v>
      </c>
      <c r="AI469">
        <f t="shared" si="69"/>
        <v>966</v>
      </c>
      <c r="AJ469" t="str">
        <f t="shared" si="70"/>
        <v/>
      </c>
      <c r="AK469">
        <f t="shared" si="71"/>
        <v>-374</v>
      </c>
      <c r="AL469">
        <f t="shared" si="64"/>
        <v>-679</v>
      </c>
      <c r="AM469">
        <f t="shared" si="65"/>
        <v>-789</v>
      </c>
      <c r="AN469">
        <f t="shared" si="66"/>
        <v>-586</v>
      </c>
      <c r="AO469" t="str">
        <f t="shared" si="67"/>
        <v/>
      </c>
    </row>
    <row r="470" spans="1:41">
      <c r="A470">
        <f t="shared" si="72"/>
        <v>466</v>
      </c>
      <c r="B470" t="s">
        <v>268</v>
      </c>
      <c r="C470">
        <v>5</v>
      </c>
      <c r="D470">
        <v>5</v>
      </c>
      <c r="E470" t="s">
        <v>387</v>
      </c>
      <c r="F470">
        <v>412</v>
      </c>
      <c r="G470">
        <v>2</v>
      </c>
      <c r="H470">
        <v>85</v>
      </c>
      <c r="I470" t="s">
        <v>386</v>
      </c>
      <c r="J470" t="s">
        <v>386</v>
      </c>
      <c r="K470">
        <v>1000000</v>
      </c>
      <c r="L470">
        <v>687</v>
      </c>
      <c r="M470">
        <v>687</v>
      </c>
      <c r="N470">
        <v>937</v>
      </c>
      <c r="O470">
        <v>0</v>
      </c>
      <c r="P470">
        <v>-561</v>
      </c>
      <c r="Q470">
        <v>-935</v>
      </c>
      <c r="R470">
        <v>-1005</v>
      </c>
      <c r="S470">
        <v>-701</v>
      </c>
      <c r="T470">
        <v>0</v>
      </c>
      <c r="U470">
        <v>5234</v>
      </c>
      <c r="V470">
        <v>10320.00031111</v>
      </c>
      <c r="AH470">
        <f t="shared" si="68"/>
        <v>687</v>
      </c>
      <c r="AI470">
        <f t="shared" si="69"/>
        <v>937</v>
      </c>
      <c r="AJ470" t="str">
        <f t="shared" si="70"/>
        <v/>
      </c>
      <c r="AK470">
        <f t="shared" si="71"/>
        <v>-561</v>
      </c>
      <c r="AL470">
        <f t="shared" si="64"/>
        <v>-935</v>
      </c>
      <c r="AM470">
        <f t="shared" si="65"/>
        <v>-1005</v>
      </c>
      <c r="AN470">
        <f t="shared" si="66"/>
        <v>-701</v>
      </c>
      <c r="AO470" t="str">
        <f t="shared" si="67"/>
        <v/>
      </c>
    </row>
    <row r="471" spans="1:41">
      <c r="A471">
        <f t="shared" si="72"/>
        <v>467</v>
      </c>
      <c r="B471" t="s">
        <v>268</v>
      </c>
      <c r="C471">
        <v>5</v>
      </c>
      <c r="D471">
        <v>5</v>
      </c>
      <c r="E471" t="s">
        <v>387</v>
      </c>
      <c r="F471">
        <v>412</v>
      </c>
      <c r="G471">
        <v>2</v>
      </c>
      <c r="H471">
        <v>86</v>
      </c>
      <c r="I471" t="s">
        <v>386</v>
      </c>
      <c r="J471" t="s">
        <v>386</v>
      </c>
      <c r="K471">
        <v>1000000</v>
      </c>
      <c r="L471">
        <v>660</v>
      </c>
      <c r="M471">
        <v>660</v>
      </c>
      <c r="N471">
        <v>901</v>
      </c>
      <c r="O471">
        <v>0</v>
      </c>
      <c r="P471">
        <v>-684</v>
      </c>
      <c r="Q471">
        <v>-1075</v>
      </c>
      <c r="R471">
        <v>-1103</v>
      </c>
      <c r="S471">
        <v>-745</v>
      </c>
      <c r="T471">
        <v>0</v>
      </c>
      <c r="U471">
        <v>5090</v>
      </c>
      <c r="V471">
        <v>10240.30290705</v>
      </c>
      <c r="AH471">
        <f t="shared" si="68"/>
        <v>660</v>
      </c>
      <c r="AI471">
        <f t="shared" si="69"/>
        <v>901</v>
      </c>
      <c r="AJ471" t="str">
        <f t="shared" si="70"/>
        <v/>
      </c>
      <c r="AK471">
        <f t="shared" si="71"/>
        <v>-684</v>
      </c>
      <c r="AL471">
        <f t="shared" si="64"/>
        <v>-1075</v>
      </c>
      <c r="AM471">
        <f t="shared" si="65"/>
        <v>-1103</v>
      </c>
      <c r="AN471">
        <f t="shared" si="66"/>
        <v>-745</v>
      </c>
      <c r="AO471" t="str">
        <f t="shared" si="67"/>
        <v/>
      </c>
    </row>
    <row r="472" spans="1:41">
      <c r="A472">
        <f t="shared" si="72"/>
        <v>468</v>
      </c>
      <c r="B472" t="s">
        <v>268</v>
      </c>
      <c r="C472">
        <v>5</v>
      </c>
      <c r="D472">
        <v>5</v>
      </c>
      <c r="E472" t="s">
        <v>387</v>
      </c>
      <c r="F472">
        <v>412</v>
      </c>
      <c r="G472">
        <v>2</v>
      </c>
      <c r="H472">
        <v>87</v>
      </c>
      <c r="I472" t="s">
        <v>386</v>
      </c>
      <c r="J472" t="s">
        <v>386</v>
      </c>
      <c r="K472">
        <v>1000000</v>
      </c>
      <c r="L472">
        <v>630</v>
      </c>
      <c r="M472">
        <v>630</v>
      </c>
      <c r="N472">
        <v>862</v>
      </c>
      <c r="O472">
        <v>0</v>
      </c>
      <c r="P472">
        <v>-730</v>
      </c>
      <c r="Q472">
        <v>-1109</v>
      </c>
      <c r="R472">
        <v>-1114</v>
      </c>
      <c r="S472">
        <v>-743</v>
      </c>
      <c r="T472">
        <v>0</v>
      </c>
      <c r="U472">
        <v>4932</v>
      </c>
      <c r="V472">
        <v>10152.574671169999</v>
      </c>
      <c r="AH472">
        <f t="shared" si="68"/>
        <v>630</v>
      </c>
      <c r="AI472">
        <f t="shared" si="69"/>
        <v>862</v>
      </c>
      <c r="AJ472" t="str">
        <f t="shared" si="70"/>
        <v/>
      </c>
      <c r="AK472">
        <f t="shared" si="71"/>
        <v>-730</v>
      </c>
      <c r="AL472">
        <f t="shared" si="64"/>
        <v>-1109</v>
      </c>
      <c r="AM472">
        <f t="shared" si="65"/>
        <v>-1114</v>
      </c>
      <c r="AN472">
        <f t="shared" si="66"/>
        <v>-743</v>
      </c>
      <c r="AO472" t="str">
        <f t="shared" si="67"/>
        <v/>
      </c>
    </row>
    <row r="473" spans="1:41">
      <c r="A473">
        <f t="shared" si="72"/>
        <v>469</v>
      </c>
      <c r="B473" t="s">
        <v>268</v>
      </c>
      <c r="C473">
        <v>5</v>
      </c>
      <c r="D473">
        <v>5</v>
      </c>
      <c r="E473" t="s">
        <v>387</v>
      </c>
      <c r="F473">
        <v>412</v>
      </c>
      <c r="G473">
        <v>2</v>
      </c>
      <c r="H473">
        <v>88</v>
      </c>
      <c r="I473" t="s">
        <v>386</v>
      </c>
      <c r="J473" t="s">
        <v>386</v>
      </c>
      <c r="K473">
        <v>1000000</v>
      </c>
      <c r="L473">
        <v>600</v>
      </c>
      <c r="M473">
        <v>600</v>
      </c>
      <c r="N473">
        <v>822</v>
      </c>
      <c r="O473">
        <v>0</v>
      </c>
      <c r="P473">
        <v>-723</v>
      </c>
      <c r="Q473">
        <v>-1083</v>
      </c>
      <c r="R473">
        <v>-1079</v>
      </c>
      <c r="S473">
        <v>-715</v>
      </c>
      <c r="T473">
        <v>0</v>
      </c>
      <c r="U473">
        <v>4771</v>
      </c>
      <c r="V473">
        <v>10063.46037303</v>
      </c>
      <c r="AH473">
        <f t="shared" si="68"/>
        <v>600</v>
      </c>
      <c r="AI473">
        <f t="shared" si="69"/>
        <v>822</v>
      </c>
      <c r="AJ473" t="str">
        <f t="shared" si="70"/>
        <v/>
      </c>
      <c r="AK473">
        <f t="shared" si="71"/>
        <v>-723</v>
      </c>
      <c r="AL473">
        <f t="shared" si="64"/>
        <v>-1083</v>
      </c>
      <c r="AM473">
        <f t="shared" si="65"/>
        <v>-1079</v>
      </c>
      <c r="AN473">
        <f t="shared" si="66"/>
        <v>-715</v>
      </c>
      <c r="AO473" t="str">
        <f t="shared" si="67"/>
        <v/>
      </c>
    </row>
    <row r="474" spans="1:41">
      <c r="A474">
        <f t="shared" si="72"/>
        <v>470</v>
      </c>
      <c r="B474" t="s">
        <v>268</v>
      </c>
      <c r="C474">
        <v>5</v>
      </c>
      <c r="D474">
        <v>5</v>
      </c>
      <c r="E474" t="s">
        <v>387</v>
      </c>
      <c r="F474">
        <v>412</v>
      </c>
      <c r="G474">
        <v>2</v>
      </c>
      <c r="H474">
        <v>89</v>
      </c>
      <c r="I474" t="s">
        <v>386</v>
      </c>
      <c r="J474" t="s">
        <v>386</v>
      </c>
      <c r="K474">
        <v>1000000</v>
      </c>
      <c r="L474">
        <v>570</v>
      </c>
      <c r="M474">
        <v>570</v>
      </c>
      <c r="N474">
        <v>784</v>
      </c>
      <c r="O474">
        <v>0</v>
      </c>
      <c r="P474">
        <v>-691</v>
      </c>
      <c r="Q474">
        <v>-1030</v>
      </c>
      <c r="R474">
        <v>-1019</v>
      </c>
      <c r="S474">
        <v>-669</v>
      </c>
      <c r="T474">
        <v>0</v>
      </c>
      <c r="U474">
        <v>4616</v>
      </c>
      <c r="V474">
        <v>9977.4659529799992</v>
      </c>
      <c r="AH474">
        <f t="shared" si="68"/>
        <v>570</v>
      </c>
      <c r="AI474">
        <f t="shared" si="69"/>
        <v>784</v>
      </c>
      <c r="AJ474" t="str">
        <f t="shared" si="70"/>
        <v/>
      </c>
      <c r="AK474">
        <f t="shared" si="71"/>
        <v>-691</v>
      </c>
      <c r="AL474">
        <f t="shared" si="64"/>
        <v>-1030</v>
      </c>
      <c r="AM474">
        <f t="shared" si="65"/>
        <v>-1019</v>
      </c>
      <c r="AN474">
        <f t="shared" si="66"/>
        <v>-669</v>
      </c>
      <c r="AO474" t="str">
        <f t="shared" si="67"/>
        <v/>
      </c>
    </row>
    <row r="475" spans="1:41">
      <c r="A475">
        <f t="shared" si="72"/>
        <v>471</v>
      </c>
      <c r="B475" t="s">
        <v>268</v>
      </c>
      <c r="C475">
        <v>5</v>
      </c>
      <c r="D475">
        <v>5</v>
      </c>
      <c r="E475" t="s">
        <v>387</v>
      </c>
      <c r="F475">
        <v>412</v>
      </c>
      <c r="G475">
        <v>2</v>
      </c>
      <c r="H475">
        <v>90</v>
      </c>
      <c r="I475" t="s">
        <v>386</v>
      </c>
      <c r="J475" t="s">
        <v>386</v>
      </c>
      <c r="K475">
        <v>1000000</v>
      </c>
      <c r="L475">
        <v>543</v>
      </c>
      <c r="M475">
        <v>543</v>
      </c>
      <c r="N475">
        <v>748</v>
      </c>
      <c r="O475">
        <v>0</v>
      </c>
      <c r="P475">
        <v>-649</v>
      </c>
      <c r="Q475">
        <v>-958</v>
      </c>
      <c r="R475">
        <v>-938</v>
      </c>
      <c r="S475">
        <v>-610</v>
      </c>
      <c r="T475">
        <v>0</v>
      </c>
      <c r="U475">
        <v>4471</v>
      </c>
      <c r="V475">
        <v>9896.9615312700007</v>
      </c>
      <c r="AH475">
        <f t="shared" si="68"/>
        <v>543</v>
      </c>
      <c r="AI475">
        <f t="shared" si="69"/>
        <v>748</v>
      </c>
      <c r="AJ475" t="str">
        <f t="shared" si="70"/>
        <v/>
      </c>
      <c r="AK475">
        <f t="shared" si="71"/>
        <v>-649</v>
      </c>
      <c r="AL475">
        <f t="shared" si="64"/>
        <v>-958</v>
      </c>
      <c r="AM475">
        <f t="shared" si="65"/>
        <v>-938</v>
      </c>
      <c r="AN475">
        <f t="shared" si="66"/>
        <v>-610</v>
      </c>
      <c r="AO475" t="str">
        <f t="shared" si="67"/>
        <v/>
      </c>
    </row>
    <row r="476" spans="1:41">
      <c r="A476">
        <f t="shared" si="72"/>
        <v>472</v>
      </c>
      <c r="B476" t="s">
        <v>268</v>
      </c>
      <c r="C476">
        <v>5</v>
      </c>
      <c r="D476">
        <v>5</v>
      </c>
      <c r="E476" t="s">
        <v>387</v>
      </c>
      <c r="F476">
        <v>412</v>
      </c>
      <c r="G476">
        <v>2</v>
      </c>
      <c r="H476">
        <v>91</v>
      </c>
      <c r="I476" t="s">
        <v>386</v>
      </c>
      <c r="J476" t="s">
        <v>386</v>
      </c>
      <c r="K476">
        <v>1000000</v>
      </c>
      <c r="L476">
        <v>518</v>
      </c>
      <c r="M476">
        <v>518</v>
      </c>
      <c r="N476">
        <v>715</v>
      </c>
      <c r="O476">
        <v>0</v>
      </c>
      <c r="P476">
        <v>-592</v>
      </c>
      <c r="Q476">
        <v>-865</v>
      </c>
      <c r="R476">
        <v>-838</v>
      </c>
      <c r="S476">
        <v>-539</v>
      </c>
      <c r="T476">
        <v>0</v>
      </c>
      <c r="U476">
        <v>4338</v>
      </c>
      <c r="V476">
        <v>9823.2817159999995</v>
      </c>
      <c r="AH476">
        <f t="shared" si="68"/>
        <v>518</v>
      </c>
      <c r="AI476">
        <f t="shared" si="69"/>
        <v>715</v>
      </c>
      <c r="AJ476" t="str">
        <f t="shared" si="70"/>
        <v/>
      </c>
      <c r="AK476">
        <f t="shared" si="71"/>
        <v>-592</v>
      </c>
      <c r="AL476">
        <f t="shared" si="64"/>
        <v>-865</v>
      </c>
      <c r="AM476">
        <f t="shared" si="65"/>
        <v>-838</v>
      </c>
      <c r="AN476">
        <f t="shared" si="66"/>
        <v>-539</v>
      </c>
      <c r="AO476" t="str">
        <f t="shared" si="67"/>
        <v/>
      </c>
    </row>
    <row r="477" spans="1:41">
      <c r="A477">
        <f t="shared" si="72"/>
        <v>473</v>
      </c>
      <c r="B477" t="s">
        <v>268</v>
      </c>
      <c r="C477">
        <v>5</v>
      </c>
      <c r="D477">
        <v>5</v>
      </c>
      <c r="E477" t="s">
        <v>387</v>
      </c>
      <c r="F477">
        <v>412</v>
      </c>
      <c r="G477">
        <v>2</v>
      </c>
      <c r="H477">
        <v>92</v>
      </c>
      <c r="I477" t="s">
        <v>386</v>
      </c>
      <c r="J477" t="s">
        <v>386</v>
      </c>
      <c r="K477">
        <v>1000000</v>
      </c>
      <c r="L477">
        <v>496</v>
      </c>
      <c r="M477">
        <v>496</v>
      </c>
      <c r="N477">
        <v>686</v>
      </c>
      <c r="O477">
        <v>0</v>
      </c>
      <c r="P477">
        <v>-524</v>
      </c>
      <c r="Q477">
        <v>-757</v>
      </c>
      <c r="R477">
        <v>-727</v>
      </c>
      <c r="S477">
        <v>-464</v>
      </c>
      <c r="T477">
        <v>0</v>
      </c>
      <c r="U477">
        <v>4219</v>
      </c>
      <c r="V477">
        <v>9757.7016525199997</v>
      </c>
      <c r="AH477">
        <f t="shared" si="68"/>
        <v>496</v>
      </c>
      <c r="AI477">
        <f t="shared" si="69"/>
        <v>686</v>
      </c>
      <c r="AJ477" t="str">
        <f t="shared" si="70"/>
        <v/>
      </c>
      <c r="AK477">
        <f t="shared" si="71"/>
        <v>-524</v>
      </c>
      <c r="AL477">
        <f t="shared" si="64"/>
        <v>-757</v>
      </c>
      <c r="AM477">
        <f t="shared" si="65"/>
        <v>-727</v>
      </c>
      <c r="AN477">
        <f t="shared" si="66"/>
        <v>-464</v>
      </c>
      <c r="AO477" t="str">
        <f t="shared" si="67"/>
        <v/>
      </c>
    </row>
    <row r="478" spans="1:41">
      <c r="A478">
        <f t="shared" si="72"/>
        <v>474</v>
      </c>
      <c r="B478" t="s">
        <v>268</v>
      </c>
      <c r="C478">
        <v>5</v>
      </c>
      <c r="D478">
        <v>5</v>
      </c>
      <c r="E478" t="s">
        <v>387</v>
      </c>
      <c r="F478">
        <v>412</v>
      </c>
      <c r="G478">
        <v>2</v>
      </c>
      <c r="H478">
        <v>93</v>
      </c>
      <c r="I478" t="s">
        <v>386</v>
      </c>
      <c r="J478" t="s">
        <v>386</v>
      </c>
      <c r="K478">
        <v>1000000</v>
      </c>
      <c r="L478">
        <v>477</v>
      </c>
      <c r="M478">
        <v>477</v>
      </c>
      <c r="N478">
        <v>660</v>
      </c>
      <c r="O478">
        <v>0</v>
      </c>
      <c r="P478">
        <v>-450</v>
      </c>
      <c r="Q478">
        <v>-643</v>
      </c>
      <c r="R478">
        <v>-611</v>
      </c>
      <c r="S478">
        <v>-385</v>
      </c>
      <c r="T478">
        <v>0</v>
      </c>
      <c r="U478">
        <v>4117</v>
      </c>
      <c r="V478">
        <v>9701.0932593399993</v>
      </c>
      <c r="AH478">
        <f t="shared" si="68"/>
        <v>477</v>
      </c>
      <c r="AI478">
        <f t="shared" si="69"/>
        <v>660</v>
      </c>
      <c r="AJ478" t="str">
        <f t="shared" si="70"/>
        <v/>
      </c>
      <c r="AK478">
        <f t="shared" si="71"/>
        <v>-450</v>
      </c>
      <c r="AL478">
        <f t="shared" si="64"/>
        <v>-643</v>
      </c>
      <c r="AM478">
        <f t="shared" si="65"/>
        <v>-611</v>
      </c>
      <c r="AN478">
        <f t="shared" si="66"/>
        <v>-385</v>
      </c>
      <c r="AO478" t="str">
        <f t="shared" si="67"/>
        <v/>
      </c>
    </row>
    <row r="479" spans="1:41">
      <c r="A479">
        <f t="shared" si="72"/>
        <v>475</v>
      </c>
      <c r="B479" t="s">
        <v>268</v>
      </c>
      <c r="C479">
        <v>5</v>
      </c>
      <c r="D479">
        <v>5</v>
      </c>
      <c r="E479" t="s">
        <v>387</v>
      </c>
      <c r="F479">
        <v>412</v>
      </c>
      <c r="G479">
        <v>2</v>
      </c>
      <c r="H479">
        <v>94</v>
      </c>
      <c r="I479" t="s">
        <v>386</v>
      </c>
      <c r="J479" t="s">
        <v>386</v>
      </c>
      <c r="K479">
        <v>1000000</v>
      </c>
      <c r="L479">
        <v>461</v>
      </c>
      <c r="M479">
        <v>461</v>
      </c>
      <c r="N479">
        <v>639</v>
      </c>
      <c r="O479">
        <v>0</v>
      </c>
      <c r="P479">
        <v>-373</v>
      </c>
      <c r="Q479">
        <v>-527</v>
      </c>
      <c r="R479">
        <v>-493</v>
      </c>
      <c r="S479">
        <v>-305</v>
      </c>
      <c r="T479">
        <v>0</v>
      </c>
      <c r="U479">
        <v>4032</v>
      </c>
      <c r="V479">
        <v>9654.0140492299997</v>
      </c>
      <c r="AH479">
        <f t="shared" si="68"/>
        <v>461</v>
      </c>
      <c r="AI479">
        <f t="shared" si="69"/>
        <v>639</v>
      </c>
      <c r="AJ479" t="str">
        <f t="shared" si="70"/>
        <v/>
      </c>
      <c r="AK479">
        <f t="shared" si="71"/>
        <v>-373</v>
      </c>
      <c r="AL479">
        <f t="shared" si="64"/>
        <v>-527</v>
      </c>
      <c r="AM479">
        <f t="shared" si="65"/>
        <v>-493</v>
      </c>
      <c r="AN479">
        <f t="shared" si="66"/>
        <v>-305</v>
      </c>
      <c r="AO479" t="str">
        <f t="shared" si="67"/>
        <v/>
      </c>
    </row>
    <row r="480" spans="1:41">
      <c r="A480">
        <f t="shared" si="72"/>
        <v>476</v>
      </c>
      <c r="B480" t="s">
        <v>268</v>
      </c>
      <c r="C480">
        <v>5</v>
      </c>
      <c r="D480">
        <v>5</v>
      </c>
      <c r="E480" t="s">
        <v>387</v>
      </c>
      <c r="F480">
        <v>412</v>
      </c>
      <c r="G480">
        <v>2</v>
      </c>
      <c r="H480">
        <v>95</v>
      </c>
      <c r="I480" t="s">
        <v>386</v>
      </c>
      <c r="J480" t="s">
        <v>386</v>
      </c>
      <c r="K480">
        <v>1000000</v>
      </c>
      <c r="L480">
        <v>448</v>
      </c>
      <c r="M480">
        <v>448</v>
      </c>
      <c r="N480">
        <v>623</v>
      </c>
      <c r="O480">
        <v>0</v>
      </c>
      <c r="P480">
        <v>-297</v>
      </c>
      <c r="Q480">
        <v>-410</v>
      </c>
      <c r="R480">
        <v>-374</v>
      </c>
      <c r="S480">
        <v>-226</v>
      </c>
      <c r="T480">
        <v>0</v>
      </c>
      <c r="U480">
        <v>3965</v>
      </c>
      <c r="V480">
        <v>9616.5278013700008</v>
      </c>
      <c r="AH480">
        <f t="shared" si="68"/>
        <v>448</v>
      </c>
      <c r="AI480">
        <f t="shared" si="69"/>
        <v>623</v>
      </c>
      <c r="AJ480" t="str">
        <f t="shared" si="70"/>
        <v/>
      </c>
      <c r="AK480">
        <f t="shared" si="71"/>
        <v>-297</v>
      </c>
      <c r="AL480">
        <f t="shared" si="64"/>
        <v>-410</v>
      </c>
      <c r="AM480">
        <f t="shared" si="65"/>
        <v>-374</v>
      </c>
      <c r="AN480">
        <f t="shared" si="66"/>
        <v>-226</v>
      </c>
      <c r="AO480" t="str">
        <f t="shared" si="67"/>
        <v/>
      </c>
    </row>
    <row r="481" spans="1:41">
      <c r="A481">
        <f t="shared" si="72"/>
        <v>477</v>
      </c>
      <c r="B481" t="s">
        <v>268</v>
      </c>
      <c r="C481">
        <v>4</v>
      </c>
      <c r="D481">
        <v>4</v>
      </c>
      <c r="E481" t="s">
        <v>387</v>
      </c>
      <c r="F481">
        <v>412</v>
      </c>
      <c r="G481">
        <v>2</v>
      </c>
      <c r="H481">
        <v>96</v>
      </c>
      <c r="I481" t="s">
        <v>386</v>
      </c>
      <c r="J481" t="s">
        <v>386</v>
      </c>
      <c r="K481">
        <v>1000000</v>
      </c>
      <c r="L481">
        <v>442</v>
      </c>
      <c r="M481">
        <v>442</v>
      </c>
      <c r="N481">
        <v>636</v>
      </c>
      <c r="O481">
        <v>0</v>
      </c>
      <c r="P481">
        <v>-184</v>
      </c>
      <c r="Q481">
        <v>-221</v>
      </c>
      <c r="R481">
        <v>-148</v>
      </c>
      <c r="S481">
        <v>0</v>
      </c>
      <c r="T481" t="s">
        <v>386</v>
      </c>
      <c r="U481">
        <v>4019</v>
      </c>
      <c r="V481">
        <v>9335.7818811599991</v>
      </c>
      <c r="AH481">
        <f t="shared" si="68"/>
        <v>442</v>
      </c>
      <c r="AI481">
        <f t="shared" si="69"/>
        <v>636</v>
      </c>
      <c r="AJ481" t="str">
        <f t="shared" si="70"/>
        <v/>
      </c>
      <c r="AK481">
        <f t="shared" si="71"/>
        <v>-184</v>
      </c>
      <c r="AL481">
        <f t="shared" si="64"/>
        <v>-221</v>
      </c>
      <c r="AM481">
        <f t="shared" si="65"/>
        <v>-148</v>
      </c>
      <c r="AN481" t="str">
        <f t="shared" si="66"/>
        <v/>
      </c>
      <c r="AO481" t="e">
        <f t="shared" si="67"/>
        <v>#VALUE!</v>
      </c>
    </row>
    <row r="482" spans="1:41">
      <c r="A482">
        <f t="shared" si="72"/>
        <v>478</v>
      </c>
      <c r="B482" t="s">
        <v>268</v>
      </c>
      <c r="C482">
        <v>3</v>
      </c>
      <c r="D482">
        <v>3</v>
      </c>
      <c r="E482" t="s">
        <v>387</v>
      </c>
      <c r="F482">
        <v>412</v>
      </c>
      <c r="G482">
        <v>2</v>
      </c>
      <c r="H482">
        <v>97</v>
      </c>
      <c r="I482" t="s">
        <v>386</v>
      </c>
      <c r="J482" t="s">
        <v>386</v>
      </c>
      <c r="K482">
        <v>1000000</v>
      </c>
      <c r="L482">
        <v>436</v>
      </c>
      <c r="M482">
        <v>436</v>
      </c>
      <c r="N482">
        <v>668</v>
      </c>
      <c r="O482">
        <v>0</v>
      </c>
      <c r="P482">
        <v>-97</v>
      </c>
      <c r="Q482">
        <v>-85</v>
      </c>
      <c r="R482">
        <v>0</v>
      </c>
      <c r="S482" t="s">
        <v>386</v>
      </c>
      <c r="T482" t="s">
        <v>386</v>
      </c>
      <c r="U482">
        <v>4146</v>
      </c>
      <c r="V482">
        <v>9064.9385641400004</v>
      </c>
      <c r="AH482">
        <f t="shared" si="68"/>
        <v>436</v>
      </c>
      <c r="AI482">
        <f t="shared" si="69"/>
        <v>668</v>
      </c>
      <c r="AJ482" t="str">
        <f t="shared" si="70"/>
        <v/>
      </c>
      <c r="AK482">
        <f t="shared" si="71"/>
        <v>-97</v>
      </c>
      <c r="AL482">
        <f t="shared" si="64"/>
        <v>-85</v>
      </c>
      <c r="AM482" t="str">
        <f t="shared" si="65"/>
        <v/>
      </c>
      <c r="AN482" t="e">
        <f t="shared" si="66"/>
        <v>#VALUE!</v>
      </c>
      <c r="AO482" t="e">
        <f t="shared" si="67"/>
        <v>#VALUE!</v>
      </c>
    </row>
    <row r="483" spans="1:41">
      <c r="A483">
        <f t="shared" si="72"/>
        <v>479</v>
      </c>
      <c r="B483" t="s">
        <v>268</v>
      </c>
      <c r="C483">
        <v>2</v>
      </c>
      <c r="D483">
        <v>2</v>
      </c>
      <c r="E483" t="s">
        <v>387</v>
      </c>
      <c r="F483">
        <v>412</v>
      </c>
      <c r="G483">
        <v>2</v>
      </c>
      <c r="H483">
        <v>98</v>
      </c>
      <c r="I483" t="s">
        <v>386</v>
      </c>
      <c r="J483" t="s">
        <v>386</v>
      </c>
      <c r="K483">
        <v>1000000</v>
      </c>
      <c r="L483">
        <v>432</v>
      </c>
      <c r="M483">
        <v>432</v>
      </c>
      <c r="N483">
        <v>724</v>
      </c>
      <c r="O483">
        <v>0</v>
      </c>
      <c r="P483">
        <v>-36</v>
      </c>
      <c r="Q483">
        <v>0</v>
      </c>
      <c r="R483" t="s">
        <v>386</v>
      </c>
      <c r="S483" t="s">
        <v>386</v>
      </c>
      <c r="T483" t="s">
        <v>386</v>
      </c>
      <c r="U483">
        <v>3988</v>
      </c>
      <c r="V483">
        <v>8801.8393064400007</v>
      </c>
      <c r="AH483">
        <f t="shared" si="68"/>
        <v>432</v>
      </c>
      <c r="AI483">
        <f t="shared" si="69"/>
        <v>724</v>
      </c>
      <c r="AJ483" t="str">
        <f t="shared" si="70"/>
        <v/>
      </c>
      <c r="AK483">
        <f t="shared" si="71"/>
        <v>-36</v>
      </c>
      <c r="AL483" t="str">
        <f t="shared" si="64"/>
        <v/>
      </c>
      <c r="AM483" t="e">
        <f t="shared" si="65"/>
        <v>#VALUE!</v>
      </c>
      <c r="AN483" t="e">
        <f t="shared" si="66"/>
        <v>#VALUE!</v>
      </c>
      <c r="AO483" t="e">
        <f t="shared" si="67"/>
        <v>#VALUE!</v>
      </c>
    </row>
    <row r="484" spans="1:41">
      <c r="A484">
        <f t="shared" si="72"/>
        <v>480</v>
      </c>
      <c r="B484" t="s">
        <v>268</v>
      </c>
      <c r="C484">
        <v>1</v>
      </c>
      <c r="D484">
        <v>1</v>
      </c>
      <c r="E484" t="s">
        <v>387</v>
      </c>
      <c r="F484">
        <v>412</v>
      </c>
      <c r="G484">
        <v>2</v>
      </c>
      <c r="H484">
        <v>99</v>
      </c>
      <c r="I484" t="s">
        <v>386</v>
      </c>
      <c r="J484" t="s">
        <v>386</v>
      </c>
      <c r="K484">
        <v>1000000</v>
      </c>
      <c r="L484">
        <v>429</v>
      </c>
      <c r="M484">
        <v>429</v>
      </c>
      <c r="N484">
        <v>907</v>
      </c>
      <c r="O484">
        <v>0</v>
      </c>
      <c r="P484">
        <v>0</v>
      </c>
      <c r="Q484" t="s">
        <v>386</v>
      </c>
      <c r="R484" t="s">
        <v>386</v>
      </c>
      <c r="S484" t="s">
        <v>386</v>
      </c>
      <c r="T484" t="s">
        <v>386</v>
      </c>
      <c r="U484">
        <v>3845</v>
      </c>
      <c r="V484">
        <v>8544.2850089500007</v>
      </c>
      <c r="AH484">
        <f t="shared" si="68"/>
        <v>429</v>
      </c>
      <c r="AI484">
        <f t="shared" si="69"/>
        <v>907</v>
      </c>
      <c r="AJ484" t="str">
        <f t="shared" si="70"/>
        <v/>
      </c>
      <c r="AK484" t="str">
        <f t="shared" si="71"/>
        <v/>
      </c>
      <c r="AL484" t="e">
        <f t="shared" si="64"/>
        <v>#VALUE!</v>
      </c>
      <c r="AM484" t="e">
        <f t="shared" si="65"/>
        <v>#VALUE!</v>
      </c>
      <c r="AN484" t="e">
        <f t="shared" si="66"/>
        <v>#VALUE!</v>
      </c>
      <c r="AO484" t="e">
        <f t="shared" si="67"/>
        <v>#VALUE!</v>
      </c>
    </row>
    <row r="485" spans="1:41">
      <c r="A485">
        <f t="shared" si="72"/>
        <v>481</v>
      </c>
      <c r="B485" t="s">
        <v>278</v>
      </c>
      <c r="C485">
        <v>5</v>
      </c>
      <c r="D485">
        <v>5</v>
      </c>
      <c r="E485" t="s">
        <v>385</v>
      </c>
      <c r="F485">
        <v>412</v>
      </c>
      <c r="G485">
        <v>1</v>
      </c>
      <c r="H485">
        <v>30</v>
      </c>
      <c r="I485" t="s">
        <v>386</v>
      </c>
      <c r="J485" t="s">
        <v>386</v>
      </c>
      <c r="K485">
        <v>100000</v>
      </c>
      <c r="L485">
        <v>2</v>
      </c>
      <c r="M485">
        <v>2</v>
      </c>
      <c r="N485">
        <v>4</v>
      </c>
      <c r="O485">
        <v>0</v>
      </c>
      <c r="P485">
        <v>3</v>
      </c>
      <c r="Q485">
        <v>5</v>
      </c>
      <c r="R485">
        <v>4</v>
      </c>
      <c r="S485">
        <v>3</v>
      </c>
      <c r="T485">
        <v>0</v>
      </c>
      <c r="U485">
        <v>50</v>
      </c>
      <c r="V485">
        <v>1806.89455815</v>
      </c>
      <c r="AH485">
        <f t="shared" si="68"/>
        <v>2</v>
      </c>
      <c r="AI485">
        <f t="shared" si="69"/>
        <v>4</v>
      </c>
      <c r="AJ485" t="str">
        <f t="shared" si="70"/>
        <v/>
      </c>
      <c r="AK485">
        <f t="shared" si="71"/>
        <v>3</v>
      </c>
      <c r="AL485">
        <f t="shared" si="64"/>
        <v>5</v>
      </c>
      <c r="AM485">
        <f t="shared" si="65"/>
        <v>4</v>
      </c>
      <c r="AN485">
        <f t="shared" si="66"/>
        <v>3</v>
      </c>
      <c r="AO485" t="str">
        <f t="shared" si="67"/>
        <v/>
      </c>
    </row>
    <row r="486" spans="1:41">
      <c r="A486">
        <f t="shared" si="72"/>
        <v>482</v>
      </c>
      <c r="B486" t="s">
        <v>278</v>
      </c>
      <c r="C486">
        <v>5</v>
      </c>
      <c r="D486">
        <v>5</v>
      </c>
      <c r="E486" t="s">
        <v>385</v>
      </c>
      <c r="F486">
        <v>412</v>
      </c>
      <c r="G486">
        <v>1</v>
      </c>
      <c r="H486">
        <v>31</v>
      </c>
      <c r="I486" t="s">
        <v>386</v>
      </c>
      <c r="J486" t="s">
        <v>386</v>
      </c>
      <c r="K486">
        <v>100000</v>
      </c>
      <c r="L486">
        <v>3</v>
      </c>
      <c r="M486">
        <v>3</v>
      </c>
      <c r="N486">
        <v>4</v>
      </c>
      <c r="O486">
        <v>0</v>
      </c>
      <c r="P486">
        <v>3</v>
      </c>
      <c r="Q486">
        <v>4</v>
      </c>
      <c r="R486">
        <v>3</v>
      </c>
      <c r="S486">
        <v>2</v>
      </c>
      <c r="T486">
        <v>0</v>
      </c>
      <c r="U486">
        <v>50</v>
      </c>
      <c r="V486">
        <v>1808.9482292600001</v>
      </c>
      <c r="AH486">
        <f t="shared" si="68"/>
        <v>3</v>
      </c>
      <c r="AI486">
        <f t="shared" si="69"/>
        <v>4</v>
      </c>
      <c r="AJ486" t="str">
        <f t="shared" si="70"/>
        <v/>
      </c>
      <c r="AK486">
        <f t="shared" si="71"/>
        <v>3</v>
      </c>
      <c r="AL486">
        <f t="shared" si="64"/>
        <v>4</v>
      </c>
      <c r="AM486">
        <f t="shared" si="65"/>
        <v>3</v>
      </c>
      <c r="AN486">
        <f t="shared" si="66"/>
        <v>2</v>
      </c>
      <c r="AO486" t="str">
        <f t="shared" si="67"/>
        <v/>
      </c>
    </row>
    <row r="487" spans="1:41">
      <c r="A487">
        <f t="shared" si="72"/>
        <v>483</v>
      </c>
      <c r="B487" t="s">
        <v>278</v>
      </c>
      <c r="C487">
        <v>5</v>
      </c>
      <c r="D487">
        <v>5</v>
      </c>
      <c r="E487" t="s">
        <v>385</v>
      </c>
      <c r="F487">
        <v>412</v>
      </c>
      <c r="G487">
        <v>1</v>
      </c>
      <c r="H487">
        <v>32</v>
      </c>
      <c r="I487" t="s">
        <v>386</v>
      </c>
      <c r="J487" t="s">
        <v>386</v>
      </c>
      <c r="K487">
        <v>100000</v>
      </c>
      <c r="L487">
        <v>3</v>
      </c>
      <c r="M487">
        <v>3</v>
      </c>
      <c r="N487">
        <v>4</v>
      </c>
      <c r="O487">
        <v>0</v>
      </c>
      <c r="P487">
        <v>2</v>
      </c>
      <c r="Q487">
        <v>3</v>
      </c>
      <c r="R487">
        <v>2</v>
      </c>
      <c r="S487">
        <v>1</v>
      </c>
      <c r="T487">
        <v>0</v>
      </c>
      <c r="U487">
        <v>51</v>
      </c>
      <c r="V487">
        <v>1810.87526794</v>
      </c>
      <c r="AH487">
        <f t="shared" si="68"/>
        <v>3</v>
      </c>
      <c r="AI487">
        <f t="shared" si="69"/>
        <v>4</v>
      </c>
      <c r="AJ487" t="str">
        <f t="shared" si="70"/>
        <v/>
      </c>
      <c r="AK487">
        <f t="shared" si="71"/>
        <v>2</v>
      </c>
      <c r="AL487">
        <f t="shared" si="64"/>
        <v>3</v>
      </c>
      <c r="AM487">
        <f t="shared" si="65"/>
        <v>2</v>
      </c>
      <c r="AN487">
        <f t="shared" si="66"/>
        <v>1</v>
      </c>
      <c r="AO487" t="str">
        <f t="shared" si="67"/>
        <v/>
      </c>
    </row>
    <row r="488" spans="1:41">
      <c r="A488">
        <f t="shared" si="72"/>
        <v>484</v>
      </c>
      <c r="B488" t="s">
        <v>278</v>
      </c>
      <c r="C488">
        <v>5</v>
      </c>
      <c r="D488">
        <v>5</v>
      </c>
      <c r="E488" t="s">
        <v>385</v>
      </c>
      <c r="F488">
        <v>412</v>
      </c>
      <c r="G488">
        <v>1</v>
      </c>
      <c r="H488">
        <v>33</v>
      </c>
      <c r="I488" t="s">
        <v>386</v>
      </c>
      <c r="J488" t="s">
        <v>386</v>
      </c>
      <c r="K488">
        <v>100000</v>
      </c>
      <c r="L488">
        <v>3</v>
      </c>
      <c r="M488">
        <v>3</v>
      </c>
      <c r="N488">
        <v>4</v>
      </c>
      <c r="O488">
        <v>0</v>
      </c>
      <c r="P488">
        <v>1</v>
      </c>
      <c r="Q488">
        <v>2</v>
      </c>
      <c r="R488">
        <v>2</v>
      </c>
      <c r="S488">
        <v>1</v>
      </c>
      <c r="T488">
        <v>0</v>
      </c>
      <c r="U488">
        <v>52</v>
      </c>
      <c r="V488">
        <v>1813.18309434</v>
      </c>
      <c r="AH488">
        <f t="shared" si="68"/>
        <v>3</v>
      </c>
      <c r="AI488">
        <f t="shared" si="69"/>
        <v>4</v>
      </c>
      <c r="AJ488" t="str">
        <f t="shared" si="70"/>
        <v/>
      </c>
      <c r="AK488">
        <f t="shared" si="71"/>
        <v>1</v>
      </c>
      <c r="AL488">
        <f t="shared" si="64"/>
        <v>2</v>
      </c>
      <c r="AM488">
        <f t="shared" si="65"/>
        <v>2</v>
      </c>
      <c r="AN488">
        <f t="shared" si="66"/>
        <v>1</v>
      </c>
      <c r="AO488" t="str">
        <f t="shared" si="67"/>
        <v/>
      </c>
    </row>
    <row r="489" spans="1:41">
      <c r="A489">
        <f t="shared" si="72"/>
        <v>485</v>
      </c>
      <c r="B489" t="s">
        <v>278</v>
      </c>
      <c r="C489">
        <v>5</v>
      </c>
      <c r="D489">
        <v>5</v>
      </c>
      <c r="E489" t="s">
        <v>385</v>
      </c>
      <c r="F489">
        <v>412</v>
      </c>
      <c r="G489">
        <v>1</v>
      </c>
      <c r="H489">
        <v>34</v>
      </c>
      <c r="I489" t="s">
        <v>386</v>
      </c>
      <c r="J489" t="s">
        <v>386</v>
      </c>
      <c r="K489">
        <v>100000</v>
      </c>
      <c r="L489">
        <v>3</v>
      </c>
      <c r="M489">
        <v>3</v>
      </c>
      <c r="N489">
        <v>4</v>
      </c>
      <c r="O489">
        <v>0</v>
      </c>
      <c r="P489">
        <v>1</v>
      </c>
      <c r="Q489">
        <v>2</v>
      </c>
      <c r="R489">
        <v>2</v>
      </c>
      <c r="S489">
        <v>2</v>
      </c>
      <c r="T489">
        <v>0</v>
      </c>
      <c r="U489">
        <v>52</v>
      </c>
      <c r="V489">
        <v>1815.8342500199999</v>
      </c>
      <c r="AH489">
        <f t="shared" si="68"/>
        <v>3</v>
      </c>
      <c r="AI489">
        <f t="shared" si="69"/>
        <v>4</v>
      </c>
      <c r="AJ489" t="str">
        <f t="shared" si="70"/>
        <v/>
      </c>
      <c r="AK489">
        <f t="shared" si="71"/>
        <v>1</v>
      </c>
      <c r="AL489">
        <f t="shared" si="64"/>
        <v>2</v>
      </c>
      <c r="AM489">
        <f t="shared" si="65"/>
        <v>2</v>
      </c>
      <c r="AN489">
        <f t="shared" si="66"/>
        <v>2</v>
      </c>
      <c r="AO489" t="str">
        <f t="shared" si="67"/>
        <v/>
      </c>
    </row>
    <row r="490" spans="1:41">
      <c r="A490">
        <f t="shared" si="72"/>
        <v>486</v>
      </c>
      <c r="B490" t="s">
        <v>278</v>
      </c>
      <c r="C490">
        <v>5</v>
      </c>
      <c r="D490">
        <v>5</v>
      </c>
      <c r="E490" t="s">
        <v>385</v>
      </c>
      <c r="F490">
        <v>412</v>
      </c>
      <c r="G490">
        <v>1</v>
      </c>
      <c r="H490">
        <v>35</v>
      </c>
      <c r="I490" t="s">
        <v>386</v>
      </c>
      <c r="J490" t="s">
        <v>386</v>
      </c>
      <c r="K490">
        <v>100000</v>
      </c>
      <c r="L490">
        <v>3</v>
      </c>
      <c r="M490">
        <v>3</v>
      </c>
      <c r="N490">
        <v>4</v>
      </c>
      <c r="O490">
        <v>0</v>
      </c>
      <c r="P490">
        <v>1</v>
      </c>
      <c r="Q490">
        <v>2</v>
      </c>
      <c r="R490">
        <v>2</v>
      </c>
      <c r="S490">
        <v>2</v>
      </c>
      <c r="T490">
        <v>0</v>
      </c>
      <c r="U490">
        <v>52</v>
      </c>
      <c r="V490">
        <v>1818.78416679</v>
      </c>
      <c r="AH490">
        <f t="shared" si="68"/>
        <v>3</v>
      </c>
      <c r="AI490">
        <f t="shared" si="69"/>
        <v>4</v>
      </c>
      <c r="AJ490" t="str">
        <f t="shared" si="70"/>
        <v/>
      </c>
      <c r="AK490">
        <f t="shared" si="71"/>
        <v>1</v>
      </c>
      <c r="AL490">
        <f t="shared" si="64"/>
        <v>2</v>
      </c>
      <c r="AM490">
        <f t="shared" si="65"/>
        <v>2</v>
      </c>
      <c r="AN490">
        <f t="shared" si="66"/>
        <v>2</v>
      </c>
      <c r="AO490" t="str">
        <f t="shared" si="67"/>
        <v/>
      </c>
    </row>
    <row r="491" spans="1:41">
      <c r="A491">
        <f t="shared" si="72"/>
        <v>487</v>
      </c>
      <c r="B491" t="s">
        <v>278</v>
      </c>
      <c r="C491">
        <v>5</v>
      </c>
      <c r="D491">
        <v>5</v>
      </c>
      <c r="E491" t="s">
        <v>385</v>
      </c>
      <c r="F491">
        <v>412</v>
      </c>
      <c r="G491">
        <v>1</v>
      </c>
      <c r="H491">
        <v>36</v>
      </c>
      <c r="I491" t="s">
        <v>386</v>
      </c>
      <c r="J491" t="s">
        <v>386</v>
      </c>
      <c r="K491">
        <v>100000</v>
      </c>
      <c r="L491">
        <v>3</v>
      </c>
      <c r="M491">
        <v>3</v>
      </c>
      <c r="N491">
        <v>5</v>
      </c>
      <c r="O491">
        <v>0</v>
      </c>
      <c r="P491">
        <v>2</v>
      </c>
      <c r="Q491">
        <v>3</v>
      </c>
      <c r="R491">
        <v>3</v>
      </c>
      <c r="S491">
        <v>2</v>
      </c>
      <c r="T491">
        <v>0</v>
      </c>
      <c r="U491">
        <v>53</v>
      </c>
      <c r="V491">
        <v>1822.0972300599999</v>
      </c>
      <c r="AH491">
        <f t="shared" si="68"/>
        <v>3</v>
      </c>
      <c r="AI491">
        <f t="shared" si="69"/>
        <v>5</v>
      </c>
      <c r="AJ491" t="str">
        <f t="shared" si="70"/>
        <v/>
      </c>
      <c r="AK491">
        <f t="shared" si="71"/>
        <v>2</v>
      </c>
      <c r="AL491">
        <f t="shared" si="64"/>
        <v>3</v>
      </c>
      <c r="AM491">
        <f t="shared" si="65"/>
        <v>3</v>
      </c>
      <c r="AN491">
        <f t="shared" si="66"/>
        <v>2</v>
      </c>
      <c r="AO491" t="str">
        <f t="shared" si="67"/>
        <v/>
      </c>
    </row>
    <row r="492" spans="1:41">
      <c r="A492">
        <f t="shared" si="72"/>
        <v>488</v>
      </c>
      <c r="B492" t="s">
        <v>278</v>
      </c>
      <c r="C492">
        <v>5</v>
      </c>
      <c r="D492">
        <v>5</v>
      </c>
      <c r="E492" t="s">
        <v>385</v>
      </c>
      <c r="F492">
        <v>412</v>
      </c>
      <c r="G492">
        <v>1</v>
      </c>
      <c r="H492">
        <v>37</v>
      </c>
      <c r="I492" t="s">
        <v>386</v>
      </c>
      <c r="J492" t="s">
        <v>386</v>
      </c>
      <c r="K492">
        <v>100000</v>
      </c>
      <c r="L492">
        <v>3</v>
      </c>
      <c r="M492">
        <v>3</v>
      </c>
      <c r="N492">
        <v>5</v>
      </c>
      <c r="O492">
        <v>0</v>
      </c>
      <c r="P492">
        <v>2</v>
      </c>
      <c r="Q492">
        <v>3</v>
      </c>
      <c r="R492">
        <v>3</v>
      </c>
      <c r="S492">
        <v>2</v>
      </c>
      <c r="T492">
        <v>0</v>
      </c>
      <c r="U492">
        <v>53</v>
      </c>
      <c r="V492">
        <v>1826.4611403599999</v>
      </c>
      <c r="AH492">
        <f t="shared" si="68"/>
        <v>3</v>
      </c>
      <c r="AI492">
        <f t="shared" si="69"/>
        <v>5</v>
      </c>
      <c r="AJ492" t="str">
        <f t="shared" si="70"/>
        <v/>
      </c>
      <c r="AK492">
        <f t="shared" si="71"/>
        <v>2</v>
      </c>
      <c r="AL492">
        <f t="shared" si="64"/>
        <v>3</v>
      </c>
      <c r="AM492">
        <f t="shared" si="65"/>
        <v>3</v>
      </c>
      <c r="AN492">
        <f t="shared" si="66"/>
        <v>2</v>
      </c>
      <c r="AO492" t="str">
        <f t="shared" si="67"/>
        <v/>
      </c>
    </row>
    <row r="493" spans="1:41">
      <c r="A493">
        <f t="shared" si="72"/>
        <v>489</v>
      </c>
      <c r="B493" t="s">
        <v>278</v>
      </c>
      <c r="C493">
        <v>5</v>
      </c>
      <c r="D493">
        <v>5</v>
      </c>
      <c r="E493" t="s">
        <v>385</v>
      </c>
      <c r="F493">
        <v>412</v>
      </c>
      <c r="G493">
        <v>1</v>
      </c>
      <c r="H493">
        <v>38</v>
      </c>
      <c r="I493" t="s">
        <v>386</v>
      </c>
      <c r="J493" t="s">
        <v>386</v>
      </c>
      <c r="K493">
        <v>100000</v>
      </c>
      <c r="L493">
        <v>3</v>
      </c>
      <c r="M493">
        <v>3</v>
      </c>
      <c r="N493">
        <v>5</v>
      </c>
      <c r="O493">
        <v>0</v>
      </c>
      <c r="P493">
        <v>2</v>
      </c>
      <c r="Q493">
        <v>3</v>
      </c>
      <c r="R493">
        <v>3</v>
      </c>
      <c r="S493">
        <v>2</v>
      </c>
      <c r="T493">
        <v>0</v>
      </c>
      <c r="U493">
        <v>54</v>
      </c>
      <c r="V493">
        <v>1831.49924237</v>
      </c>
      <c r="AH493">
        <f t="shared" si="68"/>
        <v>3</v>
      </c>
      <c r="AI493">
        <f t="shared" si="69"/>
        <v>5</v>
      </c>
      <c r="AJ493" t="str">
        <f t="shared" si="70"/>
        <v/>
      </c>
      <c r="AK493">
        <f t="shared" si="71"/>
        <v>2</v>
      </c>
      <c r="AL493">
        <f t="shared" si="64"/>
        <v>3</v>
      </c>
      <c r="AM493">
        <f t="shared" si="65"/>
        <v>3</v>
      </c>
      <c r="AN493">
        <f t="shared" si="66"/>
        <v>2</v>
      </c>
      <c r="AO493" t="str">
        <f t="shared" si="67"/>
        <v/>
      </c>
    </row>
    <row r="494" spans="1:41">
      <c r="A494">
        <f t="shared" si="72"/>
        <v>490</v>
      </c>
      <c r="B494" t="s">
        <v>278</v>
      </c>
      <c r="C494">
        <v>5</v>
      </c>
      <c r="D494">
        <v>5</v>
      </c>
      <c r="E494" t="s">
        <v>385</v>
      </c>
      <c r="F494">
        <v>412</v>
      </c>
      <c r="G494">
        <v>1</v>
      </c>
      <c r="H494">
        <v>39</v>
      </c>
      <c r="I494" t="s">
        <v>386</v>
      </c>
      <c r="J494" t="s">
        <v>386</v>
      </c>
      <c r="K494">
        <v>100000</v>
      </c>
      <c r="L494">
        <v>3</v>
      </c>
      <c r="M494">
        <v>3</v>
      </c>
      <c r="N494">
        <v>5</v>
      </c>
      <c r="O494">
        <v>0</v>
      </c>
      <c r="P494">
        <v>2</v>
      </c>
      <c r="Q494">
        <v>3</v>
      </c>
      <c r="R494">
        <v>3</v>
      </c>
      <c r="S494">
        <v>2</v>
      </c>
      <c r="T494">
        <v>0</v>
      </c>
      <c r="U494">
        <v>54</v>
      </c>
      <c r="V494">
        <v>1837.18758607</v>
      </c>
      <c r="AH494">
        <f t="shared" si="68"/>
        <v>3</v>
      </c>
      <c r="AI494">
        <f t="shared" si="69"/>
        <v>5</v>
      </c>
      <c r="AJ494" t="str">
        <f t="shared" si="70"/>
        <v/>
      </c>
      <c r="AK494">
        <f t="shared" si="71"/>
        <v>2</v>
      </c>
      <c r="AL494">
        <f t="shared" si="64"/>
        <v>3</v>
      </c>
      <c r="AM494">
        <f t="shared" si="65"/>
        <v>3</v>
      </c>
      <c r="AN494">
        <f t="shared" si="66"/>
        <v>2</v>
      </c>
      <c r="AO494" t="str">
        <f t="shared" si="67"/>
        <v/>
      </c>
    </row>
    <row r="495" spans="1:41">
      <c r="A495">
        <f t="shared" si="72"/>
        <v>491</v>
      </c>
      <c r="B495" t="s">
        <v>278</v>
      </c>
      <c r="C495">
        <v>5</v>
      </c>
      <c r="D495">
        <v>5</v>
      </c>
      <c r="E495" t="s">
        <v>385</v>
      </c>
      <c r="F495">
        <v>412</v>
      </c>
      <c r="G495">
        <v>1</v>
      </c>
      <c r="H495">
        <v>40</v>
      </c>
      <c r="I495" t="s">
        <v>386</v>
      </c>
      <c r="J495" t="s">
        <v>386</v>
      </c>
      <c r="K495">
        <v>100000</v>
      </c>
      <c r="L495">
        <v>3</v>
      </c>
      <c r="M495">
        <v>3</v>
      </c>
      <c r="N495">
        <v>5</v>
      </c>
      <c r="O495">
        <v>0</v>
      </c>
      <c r="P495">
        <v>2</v>
      </c>
      <c r="Q495">
        <v>4</v>
      </c>
      <c r="R495">
        <v>4</v>
      </c>
      <c r="S495">
        <v>3</v>
      </c>
      <c r="T495">
        <v>0</v>
      </c>
      <c r="U495">
        <v>55</v>
      </c>
      <c r="V495">
        <v>1843.8242961799999</v>
      </c>
      <c r="AH495">
        <f t="shared" si="68"/>
        <v>3</v>
      </c>
      <c r="AI495">
        <f t="shared" si="69"/>
        <v>5</v>
      </c>
      <c r="AJ495" t="str">
        <f t="shared" si="70"/>
        <v/>
      </c>
      <c r="AK495">
        <f t="shared" si="71"/>
        <v>2</v>
      </c>
      <c r="AL495">
        <f t="shared" si="64"/>
        <v>4</v>
      </c>
      <c r="AM495">
        <f t="shared" si="65"/>
        <v>4</v>
      </c>
      <c r="AN495">
        <f t="shared" si="66"/>
        <v>3</v>
      </c>
      <c r="AO495" t="str">
        <f t="shared" si="67"/>
        <v/>
      </c>
    </row>
    <row r="496" spans="1:41">
      <c r="A496">
        <f t="shared" si="72"/>
        <v>492</v>
      </c>
      <c r="B496" t="s">
        <v>278</v>
      </c>
      <c r="C496">
        <v>5</v>
      </c>
      <c r="D496">
        <v>5</v>
      </c>
      <c r="E496" t="s">
        <v>385</v>
      </c>
      <c r="F496">
        <v>412</v>
      </c>
      <c r="G496">
        <v>1</v>
      </c>
      <c r="H496">
        <v>41</v>
      </c>
      <c r="I496" t="s">
        <v>386</v>
      </c>
      <c r="J496" t="s">
        <v>386</v>
      </c>
      <c r="K496">
        <v>100000</v>
      </c>
      <c r="L496">
        <v>3</v>
      </c>
      <c r="M496">
        <v>3</v>
      </c>
      <c r="N496">
        <v>5</v>
      </c>
      <c r="O496">
        <v>0</v>
      </c>
      <c r="P496">
        <v>3</v>
      </c>
      <c r="Q496">
        <v>4</v>
      </c>
      <c r="R496">
        <v>4</v>
      </c>
      <c r="S496">
        <v>3</v>
      </c>
      <c r="T496">
        <v>0</v>
      </c>
      <c r="U496">
        <v>56</v>
      </c>
      <c r="V496">
        <v>1851.28973916</v>
      </c>
      <c r="AH496">
        <f t="shared" si="68"/>
        <v>3</v>
      </c>
      <c r="AI496">
        <f t="shared" si="69"/>
        <v>5</v>
      </c>
      <c r="AJ496" t="str">
        <f t="shared" si="70"/>
        <v/>
      </c>
      <c r="AK496">
        <f t="shared" si="71"/>
        <v>3</v>
      </c>
      <c r="AL496">
        <f t="shared" si="64"/>
        <v>4</v>
      </c>
      <c r="AM496">
        <f t="shared" si="65"/>
        <v>4</v>
      </c>
      <c r="AN496">
        <f t="shared" si="66"/>
        <v>3</v>
      </c>
      <c r="AO496" t="str">
        <f t="shared" si="67"/>
        <v/>
      </c>
    </row>
    <row r="497" spans="1:41">
      <c r="A497">
        <f t="shared" si="72"/>
        <v>493</v>
      </c>
      <c r="B497" t="s">
        <v>278</v>
      </c>
      <c r="C497">
        <v>5</v>
      </c>
      <c r="D497">
        <v>5</v>
      </c>
      <c r="E497" t="s">
        <v>385</v>
      </c>
      <c r="F497">
        <v>412</v>
      </c>
      <c r="G497">
        <v>1</v>
      </c>
      <c r="H497">
        <v>42</v>
      </c>
      <c r="I497" t="s">
        <v>386</v>
      </c>
      <c r="J497" t="s">
        <v>386</v>
      </c>
      <c r="K497">
        <v>100000</v>
      </c>
      <c r="L497">
        <v>3</v>
      </c>
      <c r="M497">
        <v>3</v>
      </c>
      <c r="N497">
        <v>5</v>
      </c>
      <c r="O497">
        <v>0</v>
      </c>
      <c r="P497">
        <v>3</v>
      </c>
      <c r="Q497">
        <v>5</v>
      </c>
      <c r="R497">
        <v>5</v>
      </c>
      <c r="S497">
        <v>3</v>
      </c>
      <c r="T497">
        <v>0</v>
      </c>
      <c r="U497">
        <v>57</v>
      </c>
      <c r="V497">
        <v>1859.1694836900001</v>
      </c>
      <c r="AH497">
        <f t="shared" si="68"/>
        <v>3</v>
      </c>
      <c r="AI497">
        <f t="shared" si="69"/>
        <v>5</v>
      </c>
      <c r="AJ497" t="str">
        <f t="shared" si="70"/>
        <v/>
      </c>
      <c r="AK497">
        <f t="shared" si="71"/>
        <v>3</v>
      </c>
      <c r="AL497">
        <f t="shared" si="64"/>
        <v>5</v>
      </c>
      <c r="AM497">
        <f t="shared" si="65"/>
        <v>5</v>
      </c>
      <c r="AN497">
        <f t="shared" si="66"/>
        <v>3</v>
      </c>
      <c r="AO497" t="str">
        <f t="shared" si="67"/>
        <v/>
      </c>
    </row>
    <row r="498" spans="1:41">
      <c r="A498">
        <f t="shared" si="72"/>
        <v>494</v>
      </c>
      <c r="B498" t="s">
        <v>278</v>
      </c>
      <c r="C498">
        <v>5</v>
      </c>
      <c r="D498">
        <v>5</v>
      </c>
      <c r="E498" t="s">
        <v>385</v>
      </c>
      <c r="F498">
        <v>412</v>
      </c>
      <c r="G498">
        <v>1</v>
      </c>
      <c r="H498">
        <v>43</v>
      </c>
      <c r="I498" t="s">
        <v>386</v>
      </c>
      <c r="J498" t="s">
        <v>386</v>
      </c>
      <c r="K498">
        <v>100000</v>
      </c>
      <c r="L498">
        <v>4</v>
      </c>
      <c r="M498">
        <v>4</v>
      </c>
      <c r="N498">
        <v>6</v>
      </c>
      <c r="O498">
        <v>0</v>
      </c>
      <c r="P498">
        <v>3</v>
      </c>
      <c r="Q498">
        <v>5</v>
      </c>
      <c r="R498">
        <v>5</v>
      </c>
      <c r="S498">
        <v>3</v>
      </c>
      <c r="T498">
        <v>0</v>
      </c>
      <c r="U498">
        <v>58</v>
      </c>
      <c r="V498">
        <v>1867.48999886</v>
      </c>
      <c r="AH498">
        <f t="shared" si="68"/>
        <v>4</v>
      </c>
      <c r="AI498">
        <f t="shared" si="69"/>
        <v>6</v>
      </c>
      <c r="AJ498" t="str">
        <f t="shared" si="70"/>
        <v/>
      </c>
      <c r="AK498">
        <f t="shared" si="71"/>
        <v>3</v>
      </c>
      <c r="AL498">
        <f t="shared" si="64"/>
        <v>5</v>
      </c>
      <c r="AM498">
        <f t="shared" si="65"/>
        <v>5</v>
      </c>
      <c r="AN498">
        <f t="shared" si="66"/>
        <v>3</v>
      </c>
      <c r="AO498" t="str">
        <f t="shared" si="67"/>
        <v/>
      </c>
    </row>
    <row r="499" spans="1:41">
      <c r="A499">
        <f t="shared" si="72"/>
        <v>495</v>
      </c>
      <c r="B499" t="s">
        <v>278</v>
      </c>
      <c r="C499">
        <v>5</v>
      </c>
      <c r="D499">
        <v>5</v>
      </c>
      <c r="E499" t="s">
        <v>385</v>
      </c>
      <c r="F499">
        <v>412</v>
      </c>
      <c r="G499">
        <v>1</v>
      </c>
      <c r="H499">
        <v>44</v>
      </c>
      <c r="I499" t="s">
        <v>386</v>
      </c>
      <c r="J499" t="s">
        <v>386</v>
      </c>
      <c r="K499">
        <v>100000</v>
      </c>
      <c r="L499">
        <v>4</v>
      </c>
      <c r="M499">
        <v>4</v>
      </c>
      <c r="N499">
        <v>6</v>
      </c>
      <c r="O499">
        <v>0</v>
      </c>
      <c r="P499">
        <v>3</v>
      </c>
      <c r="Q499">
        <v>5</v>
      </c>
      <c r="R499">
        <v>5</v>
      </c>
      <c r="S499">
        <v>4</v>
      </c>
      <c r="T499">
        <v>0</v>
      </c>
      <c r="U499">
        <v>59</v>
      </c>
      <c r="V499">
        <v>1877.0732785099999</v>
      </c>
      <c r="AH499">
        <f t="shared" si="68"/>
        <v>4</v>
      </c>
      <c r="AI499">
        <f t="shared" si="69"/>
        <v>6</v>
      </c>
      <c r="AJ499" t="str">
        <f t="shared" si="70"/>
        <v/>
      </c>
      <c r="AK499">
        <f t="shared" si="71"/>
        <v>3</v>
      </c>
      <c r="AL499">
        <f t="shared" si="64"/>
        <v>5</v>
      </c>
      <c r="AM499">
        <f t="shared" si="65"/>
        <v>5</v>
      </c>
      <c r="AN499">
        <f t="shared" si="66"/>
        <v>4</v>
      </c>
      <c r="AO499" t="str">
        <f t="shared" si="67"/>
        <v/>
      </c>
    </row>
    <row r="500" spans="1:41">
      <c r="A500">
        <f t="shared" si="72"/>
        <v>496</v>
      </c>
      <c r="B500" t="s">
        <v>278</v>
      </c>
      <c r="C500">
        <v>5</v>
      </c>
      <c r="D500">
        <v>5</v>
      </c>
      <c r="E500" t="s">
        <v>385</v>
      </c>
      <c r="F500">
        <v>412</v>
      </c>
      <c r="G500">
        <v>1</v>
      </c>
      <c r="H500">
        <v>45</v>
      </c>
      <c r="I500" t="s">
        <v>386</v>
      </c>
      <c r="J500" t="s">
        <v>386</v>
      </c>
      <c r="K500">
        <v>100000</v>
      </c>
      <c r="L500">
        <v>4</v>
      </c>
      <c r="M500">
        <v>4</v>
      </c>
      <c r="N500">
        <v>6</v>
      </c>
      <c r="O500">
        <v>0</v>
      </c>
      <c r="P500">
        <v>3</v>
      </c>
      <c r="Q500">
        <v>5</v>
      </c>
      <c r="R500">
        <v>5</v>
      </c>
      <c r="S500">
        <v>3</v>
      </c>
      <c r="T500">
        <v>0</v>
      </c>
      <c r="U500">
        <v>60</v>
      </c>
      <c r="V500">
        <v>1888.6655016899999</v>
      </c>
      <c r="AH500">
        <f t="shared" si="68"/>
        <v>4</v>
      </c>
      <c r="AI500">
        <f t="shared" si="69"/>
        <v>6</v>
      </c>
      <c r="AJ500" t="str">
        <f t="shared" si="70"/>
        <v/>
      </c>
      <c r="AK500">
        <f t="shared" si="71"/>
        <v>3</v>
      </c>
      <c r="AL500">
        <f t="shared" si="64"/>
        <v>5</v>
      </c>
      <c r="AM500">
        <f t="shared" si="65"/>
        <v>5</v>
      </c>
      <c r="AN500">
        <f t="shared" si="66"/>
        <v>3</v>
      </c>
      <c r="AO500" t="str">
        <f t="shared" si="67"/>
        <v/>
      </c>
    </row>
    <row r="501" spans="1:41">
      <c r="A501">
        <f t="shared" si="72"/>
        <v>497</v>
      </c>
      <c r="B501" t="s">
        <v>278</v>
      </c>
      <c r="C501">
        <v>5</v>
      </c>
      <c r="D501">
        <v>5</v>
      </c>
      <c r="E501" t="s">
        <v>385</v>
      </c>
      <c r="F501">
        <v>412</v>
      </c>
      <c r="G501">
        <v>1</v>
      </c>
      <c r="H501">
        <v>46</v>
      </c>
      <c r="I501" t="s">
        <v>386</v>
      </c>
      <c r="J501" t="s">
        <v>386</v>
      </c>
      <c r="K501">
        <v>100000</v>
      </c>
      <c r="L501">
        <v>4</v>
      </c>
      <c r="M501">
        <v>4</v>
      </c>
      <c r="N501">
        <v>6</v>
      </c>
      <c r="O501">
        <v>0</v>
      </c>
      <c r="P501">
        <v>3</v>
      </c>
      <c r="Q501">
        <v>5</v>
      </c>
      <c r="R501">
        <v>5</v>
      </c>
      <c r="S501">
        <v>3</v>
      </c>
      <c r="T501">
        <v>0</v>
      </c>
      <c r="U501">
        <v>60</v>
      </c>
      <c r="V501">
        <v>1902.4677646</v>
      </c>
      <c r="AH501">
        <f t="shared" si="68"/>
        <v>4</v>
      </c>
      <c r="AI501">
        <f t="shared" si="69"/>
        <v>6</v>
      </c>
      <c r="AJ501" t="str">
        <f t="shared" si="70"/>
        <v/>
      </c>
      <c r="AK501">
        <f t="shared" si="71"/>
        <v>3</v>
      </c>
      <c r="AL501">
        <f t="shared" si="64"/>
        <v>5</v>
      </c>
      <c r="AM501">
        <f t="shared" si="65"/>
        <v>5</v>
      </c>
      <c r="AN501">
        <f t="shared" si="66"/>
        <v>3</v>
      </c>
      <c r="AO501" t="str">
        <f t="shared" si="67"/>
        <v/>
      </c>
    </row>
    <row r="502" spans="1:41">
      <c r="A502">
        <f t="shared" si="72"/>
        <v>498</v>
      </c>
      <c r="B502" t="s">
        <v>278</v>
      </c>
      <c r="C502">
        <v>5</v>
      </c>
      <c r="D502">
        <v>5</v>
      </c>
      <c r="E502" t="s">
        <v>385</v>
      </c>
      <c r="F502">
        <v>412</v>
      </c>
      <c r="G502">
        <v>1</v>
      </c>
      <c r="H502">
        <v>47</v>
      </c>
      <c r="I502" t="s">
        <v>386</v>
      </c>
      <c r="J502" t="s">
        <v>386</v>
      </c>
      <c r="K502">
        <v>100000</v>
      </c>
      <c r="L502">
        <v>4</v>
      </c>
      <c r="M502">
        <v>4</v>
      </c>
      <c r="N502">
        <v>6</v>
      </c>
      <c r="O502">
        <v>0</v>
      </c>
      <c r="P502">
        <v>3</v>
      </c>
      <c r="Q502">
        <v>4</v>
      </c>
      <c r="R502">
        <v>4</v>
      </c>
      <c r="S502">
        <v>3</v>
      </c>
      <c r="T502">
        <v>0</v>
      </c>
      <c r="U502">
        <v>61</v>
      </c>
      <c r="V502">
        <v>1918.8604000800001</v>
      </c>
      <c r="AH502">
        <f t="shared" si="68"/>
        <v>4</v>
      </c>
      <c r="AI502">
        <f t="shared" si="69"/>
        <v>6</v>
      </c>
      <c r="AJ502" t="str">
        <f t="shared" si="70"/>
        <v/>
      </c>
      <c r="AK502">
        <f t="shared" si="71"/>
        <v>3</v>
      </c>
      <c r="AL502">
        <f t="shared" si="64"/>
        <v>4</v>
      </c>
      <c r="AM502">
        <f t="shared" si="65"/>
        <v>4</v>
      </c>
      <c r="AN502">
        <f t="shared" si="66"/>
        <v>3</v>
      </c>
      <c r="AO502" t="str">
        <f t="shared" si="67"/>
        <v/>
      </c>
    </row>
    <row r="503" spans="1:41">
      <c r="A503">
        <f t="shared" si="72"/>
        <v>499</v>
      </c>
      <c r="B503" t="s">
        <v>278</v>
      </c>
      <c r="C503">
        <v>5</v>
      </c>
      <c r="D503">
        <v>5</v>
      </c>
      <c r="E503" t="s">
        <v>385</v>
      </c>
      <c r="F503">
        <v>412</v>
      </c>
      <c r="G503">
        <v>1</v>
      </c>
      <c r="H503">
        <v>48</v>
      </c>
      <c r="I503" t="s">
        <v>386</v>
      </c>
      <c r="J503" t="s">
        <v>386</v>
      </c>
      <c r="K503">
        <v>100000</v>
      </c>
      <c r="L503">
        <v>4</v>
      </c>
      <c r="M503">
        <v>4</v>
      </c>
      <c r="N503">
        <v>6</v>
      </c>
      <c r="O503">
        <v>0</v>
      </c>
      <c r="P503">
        <v>3</v>
      </c>
      <c r="Q503">
        <v>4</v>
      </c>
      <c r="R503">
        <v>4</v>
      </c>
      <c r="S503">
        <v>3</v>
      </c>
      <c r="T503">
        <v>0</v>
      </c>
      <c r="U503">
        <v>62</v>
      </c>
      <c r="V503">
        <v>1936.6966747399999</v>
      </c>
      <c r="AH503">
        <f t="shared" si="68"/>
        <v>4</v>
      </c>
      <c r="AI503">
        <f t="shared" si="69"/>
        <v>6</v>
      </c>
      <c r="AJ503" t="str">
        <f t="shared" si="70"/>
        <v/>
      </c>
      <c r="AK503">
        <f t="shared" si="71"/>
        <v>3</v>
      </c>
      <c r="AL503">
        <f t="shared" si="64"/>
        <v>4</v>
      </c>
      <c r="AM503">
        <f t="shared" si="65"/>
        <v>4</v>
      </c>
      <c r="AN503">
        <f t="shared" si="66"/>
        <v>3</v>
      </c>
      <c r="AO503" t="str">
        <f t="shared" si="67"/>
        <v/>
      </c>
    </row>
    <row r="504" spans="1:41">
      <c r="A504">
        <f t="shared" si="72"/>
        <v>500</v>
      </c>
      <c r="B504" t="s">
        <v>278</v>
      </c>
      <c r="C504">
        <v>5</v>
      </c>
      <c r="D504">
        <v>5</v>
      </c>
      <c r="E504" t="s">
        <v>385</v>
      </c>
      <c r="F504">
        <v>412</v>
      </c>
      <c r="G504">
        <v>1</v>
      </c>
      <c r="H504">
        <v>49</v>
      </c>
      <c r="I504" t="s">
        <v>386</v>
      </c>
      <c r="J504" t="s">
        <v>386</v>
      </c>
      <c r="K504">
        <v>100000</v>
      </c>
      <c r="L504">
        <v>4</v>
      </c>
      <c r="M504">
        <v>4</v>
      </c>
      <c r="N504">
        <v>7</v>
      </c>
      <c r="O504">
        <v>0</v>
      </c>
      <c r="P504">
        <v>3</v>
      </c>
      <c r="Q504">
        <v>5</v>
      </c>
      <c r="R504">
        <v>5</v>
      </c>
      <c r="S504">
        <v>4</v>
      </c>
      <c r="T504">
        <v>0</v>
      </c>
      <c r="U504">
        <v>63</v>
      </c>
      <c r="V504">
        <v>1955.2154082</v>
      </c>
      <c r="AH504">
        <f t="shared" si="68"/>
        <v>4</v>
      </c>
      <c r="AI504">
        <f t="shared" si="69"/>
        <v>7</v>
      </c>
      <c r="AJ504" t="str">
        <f t="shared" si="70"/>
        <v/>
      </c>
      <c r="AK504">
        <f t="shared" si="71"/>
        <v>3</v>
      </c>
      <c r="AL504">
        <f t="shared" si="64"/>
        <v>5</v>
      </c>
      <c r="AM504">
        <f t="shared" si="65"/>
        <v>5</v>
      </c>
      <c r="AN504">
        <f t="shared" si="66"/>
        <v>4</v>
      </c>
      <c r="AO504" t="str">
        <f t="shared" si="67"/>
        <v/>
      </c>
    </row>
    <row r="505" spans="1:41">
      <c r="A505">
        <f t="shared" si="72"/>
        <v>501</v>
      </c>
      <c r="B505" t="s">
        <v>278</v>
      </c>
      <c r="C505">
        <v>5</v>
      </c>
      <c r="D505">
        <v>5</v>
      </c>
      <c r="E505" t="s">
        <v>385</v>
      </c>
      <c r="F505">
        <v>412</v>
      </c>
      <c r="G505">
        <v>1</v>
      </c>
      <c r="H505">
        <v>50</v>
      </c>
      <c r="I505" t="s">
        <v>386</v>
      </c>
      <c r="J505" t="s">
        <v>386</v>
      </c>
      <c r="K505">
        <v>100000</v>
      </c>
      <c r="L505">
        <v>5</v>
      </c>
      <c r="M505">
        <v>5</v>
      </c>
      <c r="N505">
        <v>7</v>
      </c>
      <c r="O505">
        <v>0</v>
      </c>
      <c r="P505">
        <v>4</v>
      </c>
      <c r="Q505">
        <v>6</v>
      </c>
      <c r="R505">
        <v>7</v>
      </c>
      <c r="S505">
        <v>5</v>
      </c>
      <c r="T505">
        <v>0</v>
      </c>
      <c r="U505">
        <v>64</v>
      </c>
      <c r="V505">
        <v>1972.6066370200001</v>
      </c>
      <c r="AH505">
        <f t="shared" si="68"/>
        <v>5</v>
      </c>
      <c r="AI505">
        <f t="shared" si="69"/>
        <v>7</v>
      </c>
      <c r="AJ505" t="str">
        <f t="shared" si="70"/>
        <v/>
      </c>
      <c r="AK505">
        <f t="shared" si="71"/>
        <v>4</v>
      </c>
      <c r="AL505">
        <f t="shared" si="64"/>
        <v>6</v>
      </c>
      <c r="AM505">
        <f t="shared" si="65"/>
        <v>7</v>
      </c>
      <c r="AN505">
        <f t="shared" si="66"/>
        <v>5</v>
      </c>
      <c r="AO505" t="str">
        <f t="shared" si="67"/>
        <v/>
      </c>
    </row>
    <row r="506" spans="1:41">
      <c r="A506">
        <f t="shared" si="72"/>
        <v>502</v>
      </c>
      <c r="B506" t="s">
        <v>278</v>
      </c>
      <c r="C506">
        <v>5</v>
      </c>
      <c r="D506">
        <v>5</v>
      </c>
      <c r="E506" t="s">
        <v>385</v>
      </c>
      <c r="F506">
        <v>412</v>
      </c>
      <c r="G506">
        <v>1</v>
      </c>
      <c r="H506">
        <v>51</v>
      </c>
      <c r="I506" t="s">
        <v>386</v>
      </c>
      <c r="J506" t="s">
        <v>386</v>
      </c>
      <c r="K506">
        <v>100000</v>
      </c>
      <c r="L506">
        <v>5</v>
      </c>
      <c r="M506">
        <v>5</v>
      </c>
      <c r="N506">
        <v>7</v>
      </c>
      <c r="O506">
        <v>0</v>
      </c>
      <c r="P506">
        <v>5</v>
      </c>
      <c r="Q506">
        <v>8</v>
      </c>
      <c r="R506">
        <v>9</v>
      </c>
      <c r="S506">
        <v>6</v>
      </c>
      <c r="T506">
        <v>0</v>
      </c>
      <c r="U506">
        <v>65</v>
      </c>
      <c r="V506">
        <v>1989.25022162</v>
      </c>
      <c r="AH506">
        <f t="shared" si="68"/>
        <v>5</v>
      </c>
      <c r="AI506">
        <f t="shared" si="69"/>
        <v>7</v>
      </c>
      <c r="AJ506" t="str">
        <f t="shared" si="70"/>
        <v/>
      </c>
      <c r="AK506">
        <f t="shared" si="71"/>
        <v>5</v>
      </c>
      <c r="AL506">
        <f t="shared" si="64"/>
        <v>8</v>
      </c>
      <c r="AM506">
        <f t="shared" si="65"/>
        <v>9</v>
      </c>
      <c r="AN506">
        <f t="shared" si="66"/>
        <v>6</v>
      </c>
      <c r="AO506" t="str">
        <f t="shared" si="67"/>
        <v/>
      </c>
    </row>
    <row r="507" spans="1:41">
      <c r="A507">
        <f t="shared" si="72"/>
        <v>503</v>
      </c>
      <c r="B507" t="s">
        <v>278</v>
      </c>
      <c r="C507">
        <v>5</v>
      </c>
      <c r="D507">
        <v>5</v>
      </c>
      <c r="E507" t="s">
        <v>385</v>
      </c>
      <c r="F507">
        <v>412</v>
      </c>
      <c r="G507">
        <v>1</v>
      </c>
      <c r="H507">
        <v>52</v>
      </c>
      <c r="I507" t="s">
        <v>386</v>
      </c>
      <c r="J507" t="s">
        <v>386</v>
      </c>
      <c r="K507">
        <v>100000</v>
      </c>
      <c r="L507">
        <v>5</v>
      </c>
      <c r="M507">
        <v>5</v>
      </c>
      <c r="N507">
        <v>7</v>
      </c>
      <c r="O507">
        <v>0</v>
      </c>
      <c r="P507">
        <v>6</v>
      </c>
      <c r="Q507">
        <v>10</v>
      </c>
      <c r="R507">
        <v>11</v>
      </c>
      <c r="S507">
        <v>8</v>
      </c>
      <c r="T507">
        <v>0</v>
      </c>
      <c r="U507">
        <v>67</v>
      </c>
      <c r="V507">
        <v>2005.8383159099999</v>
      </c>
      <c r="AH507">
        <f t="shared" si="68"/>
        <v>5</v>
      </c>
      <c r="AI507">
        <f t="shared" si="69"/>
        <v>7</v>
      </c>
      <c r="AJ507" t="str">
        <f t="shared" si="70"/>
        <v/>
      </c>
      <c r="AK507">
        <f t="shared" si="71"/>
        <v>6</v>
      </c>
      <c r="AL507">
        <f t="shared" si="64"/>
        <v>10</v>
      </c>
      <c r="AM507">
        <f t="shared" si="65"/>
        <v>11</v>
      </c>
      <c r="AN507">
        <f t="shared" si="66"/>
        <v>8</v>
      </c>
      <c r="AO507" t="str">
        <f t="shared" si="67"/>
        <v/>
      </c>
    </row>
    <row r="508" spans="1:41">
      <c r="A508">
        <f t="shared" si="72"/>
        <v>504</v>
      </c>
      <c r="B508" t="s">
        <v>278</v>
      </c>
      <c r="C508">
        <v>5</v>
      </c>
      <c r="D508">
        <v>5</v>
      </c>
      <c r="E508" t="s">
        <v>385</v>
      </c>
      <c r="F508">
        <v>412</v>
      </c>
      <c r="G508">
        <v>1</v>
      </c>
      <c r="H508">
        <v>53</v>
      </c>
      <c r="I508" t="s">
        <v>386</v>
      </c>
      <c r="J508" t="s">
        <v>386</v>
      </c>
      <c r="K508">
        <v>100000</v>
      </c>
      <c r="L508">
        <v>5</v>
      </c>
      <c r="M508">
        <v>5</v>
      </c>
      <c r="N508">
        <v>8</v>
      </c>
      <c r="O508">
        <v>0</v>
      </c>
      <c r="P508">
        <v>7</v>
      </c>
      <c r="Q508">
        <v>11</v>
      </c>
      <c r="R508">
        <v>12</v>
      </c>
      <c r="S508">
        <v>8</v>
      </c>
      <c r="T508">
        <v>0</v>
      </c>
      <c r="U508">
        <v>69</v>
      </c>
      <c r="V508">
        <v>2023.9431470500001</v>
      </c>
      <c r="AH508">
        <f t="shared" si="68"/>
        <v>5</v>
      </c>
      <c r="AI508">
        <f t="shared" si="69"/>
        <v>8</v>
      </c>
      <c r="AJ508" t="str">
        <f t="shared" si="70"/>
        <v/>
      </c>
      <c r="AK508">
        <f t="shared" si="71"/>
        <v>7</v>
      </c>
      <c r="AL508">
        <f t="shared" si="64"/>
        <v>11</v>
      </c>
      <c r="AM508">
        <f t="shared" si="65"/>
        <v>12</v>
      </c>
      <c r="AN508">
        <f t="shared" si="66"/>
        <v>8</v>
      </c>
      <c r="AO508" t="str">
        <f t="shared" si="67"/>
        <v/>
      </c>
    </row>
    <row r="509" spans="1:41">
      <c r="A509">
        <f t="shared" si="72"/>
        <v>505</v>
      </c>
      <c r="B509" t="s">
        <v>278</v>
      </c>
      <c r="C509">
        <v>5</v>
      </c>
      <c r="D509">
        <v>5</v>
      </c>
      <c r="E509" t="s">
        <v>385</v>
      </c>
      <c r="F509">
        <v>412</v>
      </c>
      <c r="G509">
        <v>1</v>
      </c>
      <c r="H509">
        <v>54</v>
      </c>
      <c r="I509" t="s">
        <v>386</v>
      </c>
      <c r="J509" t="s">
        <v>386</v>
      </c>
      <c r="K509">
        <v>100000</v>
      </c>
      <c r="L509">
        <v>6</v>
      </c>
      <c r="M509">
        <v>6</v>
      </c>
      <c r="N509">
        <v>8</v>
      </c>
      <c r="O509">
        <v>0</v>
      </c>
      <c r="P509">
        <v>8</v>
      </c>
      <c r="Q509">
        <v>12</v>
      </c>
      <c r="R509">
        <v>11</v>
      </c>
      <c r="S509">
        <v>7</v>
      </c>
      <c r="T509">
        <v>0</v>
      </c>
      <c r="U509">
        <v>71</v>
      </c>
      <c r="V509">
        <v>2043.9314802599999</v>
      </c>
      <c r="AH509">
        <f t="shared" si="68"/>
        <v>6</v>
      </c>
      <c r="AI509">
        <f t="shared" si="69"/>
        <v>8</v>
      </c>
      <c r="AJ509" t="str">
        <f t="shared" si="70"/>
        <v/>
      </c>
      <c r="AK509">
        <f t="shared" si="71"/>
        <v>8</v>
      </c>
      <c r="AL509">
        <f t="shared" si="64"/>
        <v>12</v>
      </c>
      <c r="AM509">
        <f t="shared" si="65"/>
        <v>11</v>
      </c>
      <c r="AN509">
        <f t="shared" si="66"/>
        <v>7</v>
      </c>
      <c r="AO509" t="str">
        <f t="shared" si="67"/>
        <v/>
      </c>
    </row>
    <row r="510" spans="1:41">
      <c r="A510">
        <f t="shared" si="72"/>
        <v>506</v>
      </c>
      <c r="B510" t="s">
        <v>278</v>
      </c>
      <c r="C510">
        <v>5</v>
      </c>
      <c r="D510">
        <v>5</v>
      </c>
      <c r="E510" t="s">
        <v>385</v>
      </c>
      <c r="F510">
        <v>412</v>
      </c>
      <c r="G510">
        <v>1</v>
      </c>
      <c r="H510">
        <v>55</v>
      </c>
      <c r="I510" t="s">
        <v>386</v>
      </c>
      <c r="J510" t="s">
        <v>386</v>
      </c>
      <c r="K510">
        <v>100000</v>
      </c>
      <c r="L510">
        <v>6</v>
      </c>
      <c r="M510">
        <v>6</v>
      </c>
      <c r="N510">
        <v>9</v>
      </c>
      <c r="O510">
        <v>0</v>
      </c>
      <c r="P510">
        <v>7</v>
      </c>
      <c r="Q510">
        <v>11</v>
      </c>
      <c r="R510">
        <v>10</v>
      </c>
      <c r="S510">
        <v>6</v>
      </c>
      <c r="T510">
        <v>0</v>
      </c>
      <c r="U510">
        <v>73</v>
      </c>
      <c r="V510">
        <v>2066.50056679</v>
      </c>
      <c r="AH510">
        <f t="shared" si="68"/>
        <v>6</v>
      </c>
      <c r="AI510">
        <f t="shared" si="69"/>
        <v>9</v>
      </c>
      <c r="AJ510" t="str">
        <f t="shared" si="70"/>
        <v/>
      </c>
      <c r="AK510">
        <f t="shared" si="71"/>
        <v>7</v>
      </c>
      <c r="AL510">
        <f t="shared" si="64"/>
        <v>11</v>
      </c>
      <c r="AM510">
        <f t="shared" si="65"/>
        <v>10</v>
      </c>
      <c r="AN510">
        <f t="shared" si="66"/>
        <v>6</v>
      </c>
      <c r="AO510" t="str">
        <f t="shared" si="67"/>
        <v/>
      </c>
    </row>
    <row r="511" spans="1:41">
      <c r="A511">
        <f t="shared" si="72"/>
        <v>507</v>
      </c>
      <c r="B511" t="s">
        <v>278</v>
      </c>
      <c r="C511">
        <v>5</v>
      </c>
      <c r="D511">
        <v>5</v>
      </c>
      <c r="E511" t="s">
        <v>385</v>
      </c>
      <c r="F511">
        <v>412</v>
      </c>
      <c r="G511">
        <v>1</v>
      </c>
      <c r="H511">
        <v>56</v>
      </c>
      <c r="I511" t="s">
        <v>386</v>
      </c>
      <c r="J511" t="s">
        <v>386</v>
      </c>
      <c r="K511">
        <v>100000</v>
      </c>
      <c r="L511">
        <v>6</v>
      </c>
      <c r="M511">
        <v>6</v>
      </c>
      <c r="N511">
        <v>9</v>
      </c>
      <c r="O511">
        <v>0</v>
      </c>
      <c r="P511">
        <v>6</v>
      </c>
      <c r="Q511">
        <v>8</v>
      </c>
      <c r="R511">
        <v>8</v>
      </c>
      <c r="S511">
        <v>5</v>
      </c>
      <c r="T511">
        <v>0</v>
      </c>
      <c r="U511">
        <v>75</v>
      </c>
      <c r="V511">
        <v>2091.7323936299999</v>
      </c>
      <c r="AH511">
        <f t="shared" si="68"/>
        <v>6</v>
      </c>
      <c r="AI511">
        <f t="shared" si="69"/>
        <v>9</v>
      </c>
      <c r="AJ511" t="str">
        <f t="shared" si="70"/>
        <v/>
      </c>
      <c r="AK511">
        <f t="shared" si="71"/>
        <v>6</v>
      </c>
      <c r="AL511">
        <f t="shared" si="64"/>
        <v>8</v>
      </c>
      <c r="AM511">
        <f t="shared" si="65"/>
        <v>8</v>
      </c>
      <c r="AN511">
        <f t="shared" si="66"/>
        <v>5</v>
      </c>
      <c r="AO511" t="str">
        <f t="shared" si="67"/>
        <v/>
      </c>
    </row>
    <row r="512" spans="1:41">
      <c r="A512">
        <f t="shared" si="72"/>
        <v>508</v>
      </c>
      <c r="B512" t="s">
        <v>278</v>
      </c>
      <c r="C512">
        <v>5</v>
      </c>
      <c r="D512">
        <v>5</v>
      </c>
      <c r="E512" t="s">
        <v>385</v>
      </c>
      <c r="F512">
        <v>412</v>
      </c>
      <c r="G512">
        <v>1</v>
      </c>
      <c r="H512">
        <v>57</v>
      </c>
      <c r="I512" t="s">
        <v>386</v>
      </c>
      <c r="J512" t="s">
        <v>386</v>
      </c>
      <c r="K512">
        <v>100000</v>
      </c>
      <c r="L512">
        <v>6</v>
      </c>
      <c r="M512">
        <v>6</v>
      </c>
      <c r="N512">
        <v>9</v>
      </c>
      <c r="O512">
        <v>0</v>
      </c>
      <c r="P512">
        <v>5</v>
      </c>
      <c r="Q512">
        <v>7</v>
      </c>
      <c r="R512">
        <v>7</v>
      </c>
      <c r="S512">
        <v>5</v>
      </c>
      <c r="T512">
        <v>0</v>
      </c>
      <c r="U512">
        <v>76</v>
      </c>
      <c r="V512">
        <v>2119.23127802</v>
      </c>
      <c r="AH512">
        <f t="shared" si="68"/>
        <v>6</v>
      </c>
      <c r="AI512">
        <f t="shared" si="69"/>
        <v>9</v>
      </c>
      <c r="AJ512" t="str">
        <f t="shared" si="70"/>
        <v/>
      </c>
      <c r="AK512">
        <f t="shared" si="71"/>
        <v>5</v>
      </c>
      <c r="AL512">
        <f t="shared" si="64"/>
        <v>7</v>
      </c>
      <c r="AM512">
        <f t="shared" si="65"/>
        <v>7</v>
      </c>
      <c r="AN512">
        <f t="shared" si="66"/>
        <v>5</v>
      </c>
      <c r="AO512" t="str">
        <f t="shared" si="67"/>
        <v/>
      </c>
    </row>
    <row r="513" spans="1:41">
      <c r="A513">
        <f t="shared" si="72"/>
        <v>509</v>
      </c>
      <c r="B513" t="s">
        <v>278</v>
      </c>
      <c r="C513">
        <v>5</v>
      </c>
      <c r="D513">
        <v>5</v>
      </c>
      <c r="E513" t="s">
        <v>385</v>
      </c>
      <c r="F513">
        <v>412</v>
      </c>
      <c r="G513">
        <v>1</v>
      </c>
      <c r="H513">
        <v>58</v>
      </c>
      <c r="I513" t="s">
        <v>386</v>
      </c>
      <c r="J513" t="s">
        <v>386</v>
      </c>
      <c r="K513">
        <v>100000</v>
      </c>
      <c r="L513">
        <v>7</v>
      </c>
      <c r="M513">
        <v>7</v>
      </c>
      <c r="N513">
        <v>10</v>
      </c>
      <c r="O513">
        <v>0</v>
      </c>
      <c r="P513">
        <v>5</v>
      </c>
      <c r="Q513">
        <v>7</v>
      </c>
      <c r="R513">
        <v>8</v>
      </c>
      <c r="S513">
        <v>6</v>
      </c>
      <c r="T513">
        <v>0</v>
      </c>
      <c r="U513">
        <v>78</v>
      </c>
      <c r="V513">
        <v>2150.4831163200001</v>
      </c>
      <c r="AH513">
        <f t="shared" si="68"/>
        <v>7</v>
      </c>
      <c r="AI513">
        <f t="shared" si="69"/>
        <v>10</v>
      </c>
      <c r="AJ513" t="str">
        <f t="shared" si="70"/>
        <v/>
      </c>
      <c r="AK513">
        <f t="shared" si="71"/>
        <v>5</v>
      </c>
      <c r="AL513">
        <f t="shared" si="64"/>
        <v>7</v>
      </c>
      <c r="AM513">
        <f t="shared" si="65"/>
        <v>8</v>
      </c>
      <c r="AN513">
        <f t="shared" si="66"/>
        <v>6</v>
      </c>
      <c r="AO513" t="str">
        <f t="shared" si="67"/>
        <v/>
      </c>
    </row>
    <row r="514" spans="1:41">
      <c r="A514">
        <f t="shared" si="72"/>
        <v>510</v>
      </c>
      <c r="B514" t="s">
        <v>278</v>
      </c>
      <c r="C514">
        <v>5</v>
      </c>
      <c r="D514">
        <v>5</v>
      </c>
      <c r="E514" t="s">
        <v>385</v>
      </c>
      <c r="F514">
        <v>412</v>
      </c>
      <c r="G514">
        <v>1</v>
      </c>
      <c r="H514">
        <v>59</v>
      </c>
      <c r="I514" t="s">
        <v>386</v>
      </c>
      <c r="J514" t="s">
        <v>386</v>
      </c>
      <c r="K514">
        <v>100000</v>
      </c>
      <c r="L514">
        <v>7</v>
      </c>
      <c r="M514">
        <v>7</v>
      </c>
      <c r="N514">
        <v>10</v>
      </c>
      <c r="O514">
        <v>0</v>
      </c>
      <c r="P514">
        <v>6</v>
      </c>
      <c r="Q514">
        <v>9</v>
      </c>
      <c r="R514">
        <v>11</v>
      </c>
      <c r="S514">
        <v>8</v>
      </c>
      <c r="T514">
        <v>0</v>
      </c>
      <c r="U514">
        <v>80</v>
      </c>
      <c r="V514">
        <v>2187.7464905800002</v>
      </c>
      <c r="AH514">
        <f t="shared" si="68"/>
        <v>7</v>
      </c>
      <c r="AI514">
        <f t="shared" si="69"/>
        <v>10</v>
      </c>
      <c r="AJ514" t="str">
        <f t="shared" si="70"/>
        <v/>
      </c>
      <c r="AK514">
        <f t="shared" si="71"/>
        <v>6</v>
      </c>
      <c r="AL514">
        <f t="shared" si="64"/>
        <v>9</v>
      </c>
      <c r="AM514">
        <f t="shared" si="65"/>
        <v>11</v>
      </c>
      <c r="AN514">
        <f t="shared" si="66"/>
        <v>8</v>
      </c>
      <c r="AO514" t="str">
        <f t="shared" si="67"/>
        <v/>
      </c>
    </row>
    <row r="515" spans="1:41">
      <c r="A515">
        <f t="shared" si="72"/>
        <v>511</v>
      </c>
      <c r="B515" t="s">
        <v>278</v>
      </c>
      <c r="C515">
        <v>5</v>
      </c>
      <c r="D515">
        <v>5</v>
      </c>
      <c r="E515" t="s">
        <v>385</v>
      </c>
      <c r="F515">
        <v>412</v>
      </c>
      <c r="G515">
        <v>1</v>
      </c>
      <c r="H515">
        <v>60</v>
      </c>
      <c r="I515" t="s">
        <v>386</v>
      </c>
      <c r="J515" t="s">
        <v>386</v>
      </c>
      <c r="K515">
        <v>100000</v>
      </c>
      <c r="L515">
        <v>7</v>
      </c>
      <c r="M515">
        <v>7</v>
      </c>
      <c r="N515">
        <v>10</v>
      </c>
      <c r="O515">
        <v>0</v>
      </c>
      <c r="P515">
        <v>7</v>
      </c>
      <c r="Q515">
        <v>12</v>
      </c>
      <c r="R515">
        <v>13</v>
      </c>
      <c r="S515">
        <v>9</v>
      </c>
      <c r="T515">
        <v>0</v>
      </c>
      <c r="U515">
        <v>82</v>
      </c>
      <c r="V515">
        <v>2233.2040946900001</v>
      </c>
      <c r="AH515">
        <f t="shared" si="68"/>
        <v>7</v>
      </c>
      <c r="AI515">
        <f t="shared" si="69"/>
        <v>10</v>
      </c>
      <c r="AJ515" t="str">
        <f t="shared" si="70"/>
        <v/>
      </c>
      <c r="AK515">
        <f t="shared" si="71"/>
        <v>7</v>
      </c>
      <c r="AL515">
        <f t="shared" si="64"/>
        <v>12</v>
      </c>
      <c r="AM515">
        <f t="shared" si="65"/>
        <v>13</v>
      </c>
      <c r="AN515">
        <f t="shared" si="66"/>
        <v>9</v>
      </c>
      <c r="AO515" t="str">
        <f t="shared" si="67"/>
        <v/>
      </c>
    </row>
    <row r="516" spans="1:41">
      <c r="A516">
        <f t="shared" si="72"/>
        <v>512</v>
      </c>
      <c r="B516" t="s">
        <v>278</v>
      </c>
      <c r="C516">
        <v>5</v>
      </c>
      <c r="D516">
        <v>5</v>
      </c>
      <c r="E516" t="s">
        <v>385</v>
      </c>
      <c r="F516">
        <v>412</v>
      </c>
      <c r="G516">
        <v>1</v>
      </c>
      <c r="H516">
        <v>61</v>
      </c>
      <c r="I516" t="s">
        <v>386</v>
      </c>
      <c r="J516" t="s">
        <v>386</v>
      </c>
      <c r="K516">
        <v>100000</v>
      </c>
      <c r="L516">
        <v>8</v>
      </c>
      <c r="M516">
        <v>8</v>
      </c>
      <c r="N516">
        <v>11</v>
      </c>
      <c r="O516">
        <v>0</v>
      </c>
      <c r="P516">
        <v>9</v>
      </c>
      <c r="Q516">
        <v>14</v>
      </c>
      <c r="R516">
        <v>15</v>
      </c>
      <c r="S516">
        <v>10</v>
      </c>
      <c r="T516">
        <v>0</v>
      </c>
      <c r="U516">
        <v>84</v>
      </c>
      <c r="V516">
        <v>2287.4825356299998</v>
      </c>
      <c r="AH516">
        <f t="shared" si="68"/>
        <v>8</v>
      </c>
      <c r="AI516">
        <f t="shared" si="69"/>
        <v>11</v>
      </c>
      <c r="AJ516" t="str">
        <f t="shared" si="70"/>
        <v/>
      </c>
      <c r="AK516">
        <f t="shared" si="71"/>
        <v>9</v>
      </c>
      <c r="AL516">
        <f t="shared" si="64"/>
        <v>14</v>
      </c>
      <c r="AM516">
        <f t="shared" si="65"/>
        <v>15</v>
      </c>
      <c r="AN516">
        <f t="shared" si="66"/>
        <v>10</v>
      </c>
      <c r="AO516" t="str">
        <f t="shared" si="67"/>
        <v/>
      </c>
    </row>
    <row r="517" spans="1:41">
      <c r="A517">
        <f t="shared" si="72"/>
        <v>513</v>
      </c>
      <c r="B517" t="s">
        <v>278</v>
      </c>
      <c r="C517">
        <v>5</v>
      </c>
      <c r="D517">
        <v>5</v>
      </c>
      <c r="E517" t="s">
        <v>385</v>
      </c>
      <c r="F517">
        <v>412</v>
      </c>
      <c r="G517">
        <v>1</v>
      </c>
      <c r="H517">
        <v>62</v>
      </c>
      <c r="I517" t="s">
        <v>386</v>
      </c>
      <c r="J517" t="s">
        <v>386</v>
      </c>
      <c r="K517">
        <v>100000</v>
      </c>
      <c r="L517">
        <v>8</v>
      </c>
      <c r="M517">
        <v>8</v>
      </c>
      <c r="N517">
        <v>11</v>
      </c>
      <c r="O517">
        <v>0</v>
      </c>
      <c r="P517">
        <v>10</v>
      </c>
      <c r="Q517">
        <v>15</v>
      </c>
      <c r="R517">
        <v>15</v>
      </c>
      <c r="S517">
        <v>10</v>
      </c>
      <c r="T517">
        <v>0</v>
      </c>
      <c r="U517">
        <v>87</v>
      </c>
      <c r="V517">
        <v>2353.6309594200002</v>
      </c>
      <c r="AH517">
        <f t="shared" si="68"/>
        <v>8</v>
      </c>
      <c r="AI517">
        <f t="shared" si="69"/>
        <v>11</v>
      </c>
      <c r="AJ517" t="str">
        <f t="shared" si="70"/>
        <v/>
      </c>
      <c r="AK517">
        <f t="shared" si="71"/>
        <v>10</v>
      </c>
      <c r="AL517">
        <f t="shared" ref="AL517:AL580" si="73">IF(Q517=AC517, "", Q517-AC517)</f>
        <v>15</v>
      </c>
      <c r="AM517">
        <f t="shared" ref="AM517:AM580" si="74">IF(R517=AD517, "", R517-AD517)</f>
        <v>15</v>
      </c>
      <c r="AN517">
        <f t="shared" ref="AN517:AN580" si="75">IF(S517=AE517, "", S517-AE517)</f>
        <v>10</v>
      </c>
      <c r="AO517" t="str">
        <f t="shared" ref="AO517:AO580" si="76">IF(T517=AF517, "", T517-AF517)</f>
        <v/>
      </c>
    </row>
    <row r="518" spans="1:41">
      <c r="A518">
        <f t="shared" si="72"/>
        <v>514</v>
      </c>
      <c r="B518" t="s">
        <v>278</v>
      </c>
      <c r="C518">
        <v>5</v>
      </c>
      <c r="D518">
        <v>5</v>
      </c>
      <c r="E518" t="s">
        <v>385</v>
      </c>
      <c r="F518">
        <v>412</v>
      </c>
      <c r="G518">
        <v>1</v>
      </c>
      <c r="H518">
        <v>63</v>
      </c>
      <c r="I518" t="s">
        <v>386</v>
      </c>
      <c r="J518" t="s">
        <v>386</v>
      </c>
      <c r="K518">
        <v>100000</v>
      </c>
      <c r="L518">
        <v>8</v>
      </c>
      <c r="M518">
        <v>8</v>
      </c>
      <c r="N518">
        <v>12</v>
      </c>
      <c r="O518">
        <v>0</v>
      </c>
      <c r="P518">
        <v>10</v>
      </c>
      <c r="Q518">
        <v>15</v>
      </c>
      <c r="R518">
        <v>15</v>
      </c>
      <c r="S518">
        <v>10</v>
      </c>
      <c r="T518">
        <v>0</v>
      </c>
      <c r="U518">
        <v>90</v>
      </c>
      <c r="V518">
        <v>2434.8220236100001</v>
      </c>
      <c r="AH518">
        <f t="shared" ref="AH518:AH581" si="77">IF(L518=Y518, "",L518-Y518)</f>
        <v>8</v>
      </c>
      <c r="AI518">
        <f t="shared" ref="AI518:AI581" si="78">IF(N518=Z518, "", N518-Z518)</f>
        <v>12</v>
      </c>
      <c r="AJ518" t="str">
        <f t="shared" ref="AJ518:AJ581" si="79">IF(O518=AA518, "", O518-AA518)</f>
        <v/>
      </c>
      <c r="AK518">
        <f t="shared" ref="AK518:AK581" si="80">IF(P518=AB518, "", P518-AB518)</f>
        <v>10</v>
      </c>
      <c r="AL518">
        <f t="shared" si="73"/>
        <v>15</v>
      </c>
      <c r="AM518">
        <f t="shared" si="74"/>
        <v>15</v>
      </c>
      <c r="AN518">
        <f t="shared" si="75"/>
        <v>10</v>
      </c>
      <c r="AO518" t="str">
        <f t="shared" si="76"/>
        <v/>
      </c>
    </row>
    <row r="519" spans="1:41">
      <c r="A519">
        <f t="shared" ref="A519:A582" si="81">A518+1</f>
        <v>515</v>
      </c>
      <c r="B519" t="s">
        <v>278</v>
      </c>
      <c r="C519">
        <v>5</v>
      </c>
      <c r="D519">
        <v>5</v>
      </c>
      <c r="E519" t="s">
        <v>385</v>
      </c>
      <c r="F519">
        <v>412</v>
      </c>
      <c r="G519">
        <v>1</v>
      </c>
      <c r="H519">
        <v>64</v>
      </c>
      <c r="I519" t="s">
        <v>386</v>
      </c>
      <c r="J519" t="s">
        <v>386</v>
      </c>
      <c r="K519">
        <v>100000</v>
      </c>
      <c r="L519">
        <v>9</v>
      </c>
      <c r="M519">
        <v>9</v>
      </c>
      <c r="N519">
        <v>13</v>
      </c>
      <c r="O519">
        <v>0</v>
      </c>
      <c r="P519">
        <v>10</v>
      </c>
      <c r="Q519">
        <v>15</v>
      </c>
      <c r="R519">
        <v>16</v>
      </c>
      <c r="S519">
        <v>11</v>
      </c>
      <c r="T519">
        <v>0</v>
      </c>
      <c r="U519">
        <v>93</v>
      </c>
      <c r="V519">
        <v>2537.6753714000001</v>
      </c>
      <c r="AH519">
        <f t="shared" si="77"/>
        <v>9</v>
      </c>
      <c r="AI519">
        <f t="shared" si="78"/>
        <v>13</v>
      </c>
      <c r="AJ519" t="str">
        <f t="shared" si="79"/>
        <v/>
      </c>
      <c r="AK519">
        <f t="shared" si="80"/>
        <v>10</v>
      </c>
      <c r="AL519">
        <f t="shared" si="73"/>
        <v>15</v>
      </c>
      <c r="AM519">
        <f t="shared" si="74"/>
        <v>16</v>
      </c>
      <c r="AN519">
        <f t="shared" si="75"/>
        <v>11</v>
      </c>
      <c r="AO519" t="str">
        <f t="shared" si="76"/>
        <v/>
      </c>
    </row>
    <row r="520" spans="1:41">
      <c r="A520">
        <f t="shared" si="81"/>
        <v>516</v>
      </c>
      <c r="B520" t="s">
        <v>278</v>
      </c>
      <c r="C520">
        <v>5</v>
      </c>
      <c r="D520">
        <v>5</v>
      </c>
      <c r="E520" t="s">
        <v>385</v>
      </c>
      <c r="F520">
        <v>412</v>
      </c>
      <c r="G520">
        <v>1</v>
      </c>
      <c r="H520">
        <v>65</v>
      </c>
      <c r="I520" t="s">
        <v>386</v>
      </c>
      <c r="J520" t="s">
        <v>386</v>
      </c>
      <c r="K520">
        <v>100000</v>
      </c>
      <c r="L520">
        <v>9</v>
      </c>
      <c r="M520">
        <v>9</v>
      </c>
      <c r="N520">
        <v>13</v>
      </c>
      <c r="O520">
        <v>0</v>
      </c>
      <c r="P520">
        <v>10</v>
      </c>
      <c r="Q520">
        <v>16</v>
      </c>
      <c r="R520">
        <v>17</v>
      </c>
      <c r="S520">
        <v>11</v>
      </c>
      <c r="T520">
        <v>0</v>
      </c>
      <c r="U520">
        <v>96</v>
      </c>
      <c r="V520">
        <v>2669.9489742599999</v>
      </c>
      <c r="AH520">
        <f t="shared" si="77"/>
        <v>9</v>
      </c>
      <c r="AI520">
        <f t="shared" si="78"/>
        <v>13</v>
      </c>
      <c r="AJ520" t="str">
        <f t="shared" si="79"/>
        <v/>
      </c>
      <c r="AK520">
        <f t="shared" si="80"/>
        <v>10</v>
      </c>
      <c r="AL520">
        <f t="shared" si="73"/>
        <v>16</v>
      </c>
      <c r="AM520">
        <f t="shared" si="74"/>
        <v>17</v>
      </c>
      <c r="AN520">
        <f t="shared" si="75"/>
        <v>11</v>
      </c>
      <c r="AO520" t="str">
        <f t="shared" si="76"/>
        <v/>
      </c>
    </row>
    <row r="521" spans="1:41">
      <c r="A521">
        <f t="shared" si="81"/>
        <v>517</v>
      </c>
      <c r="B521" t="s">
        <v>278</v>
      </c>
      <c r="C521">
        <v>5</v>
      </c>
      <c r="D521">
        <v>5</v>
      </c>
      <c r="E521" t="s">
        <v>385</v>
      </c>
      <c r="F521">
        <v>412</v>
      </c>
      <c r="G521">
        <v>1</v>
      </c>
      <c r="H521">
        <v>66</v>
      </c>
      <c r="I521" t="s">
        <v>386</v>
      </c>
      <c r="J521" t="s">
        <v>386</v>
      </c>
      <c r="K521">
        <v>100000</v>
      </c>
      <c r="L521">
        <v>10</v>
      </c>
      <c r="M521">
        <v>10</v>
      </c>
      <c r="N521">
        <v>14</v>
      </c>
      <c r="O521">
        <v>0</v>
      </c>
      <c r="P521">
        <v>11</v>
      </c>
      <c r="Q521">
        <v>17</v>
      </c>
      <c r="R521">
        <v>17</v>
      </c>
      <c r="S521">
        <v>12</v>
      </c>
      <c r="T521">
        <v>0</v>
      </c>
      <c r="U521">
        <v>99</v>
      </c>
      <c r="V521">
        <v>2837.3298652499998</v>
      </c>
      <c r="AH521">
        <f t="shared" si="77"/>
        <v>10</v>
      </c>
      <c r="AI521">
        <f t="shared" si="78"/>
        <v>14</v>
      </c>
      <c r="AJ521" t="str">
        <f t="shared" si="79"/>
        <v/>
      </c>
      <c r="AK521">
        <f t="shared" si="80"/>
        <v>11</v>
      </c>
      <c r="AL521">
        <f t="shared" si="73"/>
        <v>17</v>
      </c>
      <c r="AM521">
        <f t="shared" si="74"/>
        <v>17</v>
      </c>
      <c r="AN521">
        <f t="shared" si="75"/>
        <v>12</v>
      </c>
      <c r="AO521" t="str">
        <f t="shared" si="76"/>
        <v/>
      </c>
    </row>
    <row r="522" spans="1:41">
      <c r="A522">
        <f t="shared" si="81"/>
        <v>518</v>
      </c>
      <c r="B522" t="s">
        <v>278</v>
      </c>
      <c r="C522">
        <v>5</v>
      </c>
      <c r="D522">
        <v>5</v>
      </c>
      <c r="E522" t="s">
        <v>385</v>
      </c>
      <c r="F522">
        <v>412</v>
      </c>
      <c r="G522">
        <v>1</v>
      </c>
      <c r="H522">
        <v>67</v>
      </c>
      <c r="I522" t="s">
        <v>386</v>
      </c>
      <c r="J522" t="s">
        <v>386</v>
      </c>
      <c r="K522">
        <v>100000</v>
      </c>
      <c r="L522">
        <v>10</v>
      </c>
      <c r="M522">
        <v>10</v>
      </c>
      <c r="N522">
        <v>14</v>
      </c>
      <c r="O522">
        <v>0</v>
      </c>
      <c r="P522">
        <v>12</v>
      </c>
      <c r="Q522">
        <v>18</v>
      </c>
      <c r="R522">
        <v>18</v>
      </c>
      <c r="S522">
        <v>12</v>
      </c>
      <c r="T522">
        <v>0</v>
      </c>
      <c r="U522">
        <v>102</v>
      </c>
      <c r="V522">
        <v>3039.6713993100002</v>
      </c>
      <c r="AH522">
        <f t="shared" si="77"/>
        <v>10</v>
      </c>
      <c r="AI522">
        <f t="shared" si="78"/>
        <v>14</v>
      </c>
      <c r="AJ522" t="str">
        <f t="shared" si="79"/>
        <v/>
      </c>
      <c r="AK522">
        <f t="shared" si="80"/>
        <v>12</v>
      </c>
      <c r="AL522">
        <f t="shared" si="73"/>
        <v>18</v>
      </c>
      <c r="AM522">
        <f t="shared" si="74"/>
        <v>18</v>
      </c>
      <c r="AN522">
        <f t="shared" si="75"/>
        <v>12</v>
      </c>
      <c r="AO522" t="str">
        <f t="shared" si="76"/>
        <v/>
      </c>
    </row>
    <row r="523" spans="1:41">
      <c r="A523">
        <f t="shared" si="81"/>
        <v>519</v>
      </c>
      <c r="B523" t="s">
        <v>278</v>
      </c>
      <c r="C523">
        <v>5</v>
      </c>
      <c r="D523">
        <v>5</v>
      </c>
      <c r="E523" t="s">
        <v>385</v>
      </c>
      <c r="F523">
        <v>412</v>
      </c>
      <c r="G523">
        <v>1</v>
      </c>
      <c r="H523">
        <v>68</v>
      </c>
      <c r="I523" t="s">
        <v>386</v>
      </c>
      <c r="J523" t="s">
        <v>386</v>
      </c>
      <c r="K523">
        <v>100000</v>
      </c>
      <c r="L523">
        <v>11</v>
      </c>
      <c r="M523">
        <v>11</v>
      </c>
      <c r="N523">
        <v>15</v>
      </c>
      <c r="O523">
        <v>0</v>
      </c>
      <c r="P523">
        <v>12</v>
      </c>
      <c r="Q523">
        <v>18</v>
      </c>
      <c r="R523">
        <v>19</v>
      </c>
      <c r="S523">
        <v>13</v>
      </c>
      <c r="T523">
        <v>0</v>
      </c>
      <c r="U523">
        <v>106</v>
      </c>
      <c r="V523">
        <v>3273.1222373199998</v>
      </c>
      <c r="AH523">
        <f t="shared" si="77"/>
        <v>11</v>
      </c>
      <c r="AI523">
        <f t="shared" si="78"/>
        <v>15</v>
      </c>
      <c r="AJ523" t="str">
        <f t="shared" si="79"/>
        <v/>
      </c>
      <c r="AK523">
        <f t="shared" si="80"/>
        <v>12</v>
      </c>
      <c r="AL523">
        <f t="shared" si="73"/>
        <v>18</v>
      </c>
      <c r="AM523">
        <f t="shared" si="74"/>
        <v>19</v>
      </c>
      <c r="AN523">
        <f t="shared" si="75"/>
        <v>13</v>
      </c>
      <c r="AO523" t="str">
        <f t="shared" si="76"/>
        <v/>
      </c>
    </row>
    <row r="524" spans="1:41">
      <c r="A524">
        <f t="shared" si="81"/>
        <v>520</v>
      </c>
      <c r="B524" t="s">
        <v>278</v>
      </c>
      <c r="C524">
        <v>5</v>
      </c>
      <c r="D524">
        <v>5</v>
      </c>
      <c r="E524" t="s">
        <v>385</v>
      </c>
      <c r="F524">
        <v>412</v>
      </c>
      <c r="G524">
        <v>1</v>
      </c>
      <c r="H524">
        <v>69</v>
      </c>
      <c r="I524" t="s">
        <v>386</v>
      </c>
      <c r="J524" t="s">
        <v>386</v>
      </c>
      <c r="K524">
        <v>100000</v>
      </c>
      <c r="L524">
        <v>11</v>
      </c>
      <c r="M524">
        <v>11</v>
      </c>
      <c r="N524">
        <v>16</v>
      </c>
      <c r="O524">
        <v>0</v>
      </c>
      <c r="P524">
        <v>12</v>
      </c>
      <c r="Q524">
        <v>18</v>
      </c>
      <c r="R524">
        <v>19</v>
      </c>
      <c r="S524">
        <v>12</v>
      </c>
      <c r="T524">
        <v>0</v>
      </c>
      <c r="U524">
        <v>109</v>
      </c>
      <c r="V524">
        <v>3529.6050572099998</v>
      </c>
      <c r="AH524">
        <f t="shared" si="77"/>
        <v>11</v>
      </c>
      <c r="AI524">
        <f t="shared" si="78"/>
        <v>16</v>
      </c>
      <c r="AJ524" t="str">
        <f t="shared" si="79"/>
        <v/>
      </c>
      <c r="AK524">
        <f t="shared" si="80"/>
        <v>12</v>
      </c>
      <c r="AL524">
        <f t="shared" si="73"/>
        <v>18</v>
      </c>
      <c r="AM524">
        <f t="shared" si="74"/>
        <v>19</v>
      </c>
      <c r="AN524">
        <f t="shared" si="75"/>
        <v>12</v>
      </c>
      <c r="AO524" t="str">
        <f t="shared" si="76"/>
        <v/>
      </c>
    </row>
    <row r="525" spans="1:41">
      <c r="A525">
        <f t="shared" si="81"/>
        <v>521</v>
      </c>
      <c r="B525" t="s">
        <v>278</v>
      </c>
      <c r="C525">
        <v>5</v>
      </c>
      <c r="D525">
        <v>5</v>
      </c>
      <c r="E525" t="s">
        <v>385</v>
      </c>
      <c r="F525">
        <v>412</v>
      </c>
      <c r="G525">
        <v>1</v>
      </c>
      <c r="H525">
        <v>70</v>
      </c>
      <c r="I525" t="s">
        <v>386</v>
      </c>
      <c r="J525" t="s">
        <v>386</v>
      </c>
      <c r="K525">
        <v>100000</v>
      </c>
      <c r="L525">
        <v>12</v>
      </c>
      <c r="M525">
        <v>12</v>
      </c>
      <c r="N525">
        <v>16</v>
      </c>
      <c r="O525">
        <v>0</v>
      </c>
      <c r="P525">
        <v>12</v>
      </c>
      <c r="Q525">
        <v>18</v>
      </c>
      <c r="R525">
        <v>18</v>
      </c>
      <c r="S525">
        <v>12</v>
      </c>
      <c r="T525">
        <v>0</v>
      </c>
      <c r="U525">
        <v>112</v>
      </c>
      <c r="V525">
        <v>3805.8772002699998</v>
      </c>
      <c r="AH525">
        <f t="shared" si="77"/>
        <v>12</v>
      </c>
      <c r="AI525">
        <f t="shared" si="78"/>
        <v>16</v>
      </c>
      <c r="AJ525" t="str">
        <f t="shared" si="79"/>
        <v/>
      </c>
      <c r="AK525">
        <f t="shared" si="80"/>
        <v>12</v>
      </c>
      <c r="AL525">
        <f t="shared" si="73"/>
        <v>18</v>
      </c>
      <c r="AM525">
        <f t="shared" si="74"/>
        <v>18</v>
      </c>
      <c r="AN525">
        <f t="shared" si="75"/>
        <v>12</v>
      </c>
      <c r="AO525" t="str">
        <f t="shared" si="76"/>
        <v/>
      </c>
    </row>
    <row r="526" spans="1:41">
      <c r="A526">
        <f t="shared" si="81"/>
        <v>522</v>
      </c>
      <c r="B526" t="s">
        <v>278</v>
      </c>
      <c r="C526">
        <v>5</v>
      </c>
      <c r="D526">
        <v>5</v>
      </c>
      <c r="E526" t="s">
        <v>385</v>
      </c>
      <c r="F526">
        <v>412</v>
      </c>
      <c r="G526">
        <v>1</v>
      </c>
      <c r="H526">
        <v>71</v>
      </c>
      <c r="I526" t="s">
        <v>386</v>
      </c>
      <c r="J526" t="s">
        <v>386</v>
      </c>
      <c r="K526">
        <v>100000</v>
      </c>
      <c r="L526">
        <v>12</v>
      </c>
      <c r="M526">
        <v>12</v>
      </c>
      <c r="N526">
        <v>17</v>
      </c>
      <c r="O526">
        <v>0</v>
      </c>
      <c r="P526">
        <v>12</v>
      </c>
      <c r="Q526">
        <v>18</v>
      </c>
      <c r="R526">
        <v>18</v>
      </c>
      <c r="S526">
        <v>12</v>
      </c>
      <c r="T526">
        <v>0</v>
      </c>
      <c r="U526">
        <v>116</v>
      </c>
      <c r="V526">
        <v>4104.9676719299996</v>
      </c>
      <c r="AH526">
        <f t="shared" si="77"/>
        <v>12</v>
      </c>
      <c r="AI526">
        <f t="shared" si="78"/>
        <v>17</v>
      </c>
      <c r="AJ526" t="str">
        <f t="shared" si="79"/>
        <v/>
      </c>
      <c r="AK526">
        <f t="shared" si="80"/>
        <v>12</v>
      </c>
      <c r="AL526">
        <f t="shared" si="73"/>
        <v>18</v>
      </c>
      <c r="AM526">
        <f t="shared" si="74"/>
        <v>18</v>
      </c>
      <c r="AN526">
        <f t="shared" si="75"/>
        <v>12</v>
      </c>
      <c r="AO526" t="str">
        <f t="shared" si="76"/>
        <v/>
      </c>
    </row>
    <row r="527" spans="1:41">
      <c r="A527">
        <f t="shared" si="81"/>
        <v>523</v>
      </c>
      <c r="B527" t="s">
        <v>278</v>
      </c>
      <c r="C527">
        <v>5</v>
      </c>
      <c r="D527">
        <v>5</v>
      </c>
      <c r="E527" t="s">
        <v>385</v>
      </c>
      <c r="F527">
        <v>412</v>
      </c>
      <c r="G527">
        <v>1</v>
      </c>
      <c r="H527">
        <v>72</v>
      </c>
      <c r="I527" t="s">
        <v>386</v>
      </c>
      <c r="J527" t="s">
        <v>386</v>
      </c>
      <c r="K527">
        <v>100000</v>
      </c>
      <c r="L527">
        <v>13</v>
      </c>
      <c r="M527">
        <v>13</v>
      </c>
      <c r="N527">
        <v>18</v>
      </c>
      <c r="O527">
        <v>0</v>
      </c>
      <c r="P527">
        <v>11</v>
      </c>
      <c r="Q527">
        <v>16</v>
      </c>
      <c r="R527">
        <v>15</v>
      </c>
      <c r="S527">
        <v>9</v>
      </c>
      <c r="T527">
        <v>0</v>
      </c>
      <c r="U527">
        <v>119</v>
      </c>
      <c r="V527">
        <v>4438.1064502899999</v>
      </c>
      <c r="AH527">
        <f t="shared" si="77"/>
        <v>13</v>
      </c>
      <c r="AI527">
        <f t="shared" si="78"/>
        <v>18</v>
      </c>
      <c r="AJ527" t="str">
        <f t="shared" si="79"/>
        <v/>
      </c>
      <c r="AK527">
        <f t="shared" si="80"/>
        <v>11</v>
      </c>
      <c r="AL527">
        <f t="shared" si="73"/>
        <v>16</v>
      </c>
      <c r="AM527">
        <f t="shared" si="74"/>
        <v>15</v>
      </c>
      <c r="AN527">
        <f t="shared" si="75"/>
        <v>9</v>
      </c>
      <c r="AO527" t="str">
        <f t="shared" si="76"/>
        <v/>
      </c>
    </row>
    <row r="528" spans="1:41">
      <c r="A528">
        <f t="shared" si="81"/>
        <v>524</v>
      </c>
      <c r="B528" t="s">
        <v>278</v>
      </c>
      <c r="C528">
        <v>5</v>
      </c>
      <c r="D528">
        <v>5</v>
      </c>
      <c r="E528" t="s">
        <v>385</v>
      </c>
      <c r="F528">
        <v>412</v>
      </c>
      <c r="G528">
        <v>1</v>
      </c>
      <c r="H528">
        <v>73</v>
      </c>
      <c r="I528" t="s">
        <v>386</v>
      </c>
      <c r="J528" t="s">
        <v>386</v>
      </c>
      <c r="K528">
        <v>100000</v>
      </c>
      <c r="L528">
        <v>13</v>
      </c>
      <c r="M528">
        <v>13</v>
      </c>
      <c r="N528">
        <v>18</v>
      </c>
      <c r="O528">
        <v>0</v>
      </c>
      <c r="P528">
        <v>9</v>
      </c>
      <c r="Q528">
        <v>13</v>
      </c>
      <c r="R528">
        <v>11</v>
      </c>
      <c r="S528">
        <v>6</v>
      </c>
      <c r="T528">
        <v>0</v>
      </c>
      <c r="U528">
        <v>121</v>
      </c>
      <c r="V528">
        <v>4827.6473207500003</v>
      </c>
      <c r="AH528">
        <f t="shared" si="77"/>
        <v>13</v>
      </c>
      <c r="AI528">
        <f t="shared" si="78"/>
        <v>18</v>
      </c>
      <c r="AJ528" t="str">
        <f t="shared" si="79"/>
        <v/>
      </c>
      <c r="AK528">
        <f t="shared" si="80"/>
        <v>9</v>
      </c>
      <c r="AL528">
        <f t="shared" si="73"/>
        <v>13</v>
      </c>
      <c r="AM528">
        <f t="shared" si="74"/>
        <v>11</v>
      </c>
      <c r="AN528">
        <f t="shared" si="75"/>
        <v>6</v>
      </c>
      <c r="AO528" t="str">
        <f t="shared" si="76"/>
        <v/>
      </c>
    </row>
    <row r="529" spans="1:41">
      <c r="A529">
        <f t="shared" si="81"/>
        <v>525</v>
      </c>
      <c r="B529" t="s">
        <v>278</v>
      </c>
      <c r="C529">
        <v>5</v>
      </c>
      <c r="D529">
        <v>5</v>
      </c>
      <c r="E529" t="s">
        <v>385</v>
      </c>
      <c r="F529">
        <v>412</v>
      </c>
      <c r="G529">
        <v>1</v>
      </c>
      <c r="H529">
        <v>74</v>
      </c>
      <c r="I529" t="s">
        <v>386</v>
      </c>
      <c r="J529" t="s">
        <v>386</v>
      </c>
      <c r="K529">
        <v>100000</v>
      </c>
      <c r="L529">
        <v>13</v>
      </c>
      <c r="M529">
        <v>13</v>
      </c>
      <c r="N529">
        <v>19</v>
      </c>
      <c r="O529">
        <v>0</v>
      </c>
      <c r="P529">
        <v>7</v>
      </c>
      <c r="Q529">
        <v>8</v>
      </c>
      <c r="R529">
        <v>8</v>
      </c>
      <c r="S529">
        <v>5</v>
      </c>
      <c r="T529">
        <v>0</v>
      </c>
      <c r="U529">
        <v>123</v>
      </c>
      <c r="V529">
        <v>5296.0900485299999</v>
      </c>
      <c r="AH529">
        <f t="shared" si="77"/>
        <v>13</v>
      </c>
      <c r="AI529">
        <f t="shared" si="78"/>
        <v>19</v>
      </c>
      <c r="AJ529" t="str">
        <f t="shared" si="79"/>
        <v/>
      </c>
      <c r="AK529">
        <f t="shared" si="80"/>
        <v>7</v>
      </c>
      <c r="AL529">
        <f t="shared" si="73"/>
        <v>8</v>
      </c>
      <c r="AM529">
        <f t="shared" si="74"/>
        <v>8</v>
      </c>
      <c r="AN529">
        <f t="shared" si="75"/>
        <v>5</v>
      </c>
      <c r="AO529" t="str">
        <f t="shared" si="76"/>
        <v/>
      </c>
    </row>
    <row r="530" spans="1:41">
      <c r="A530">
        <f t="shared" si="81"/>
        <v>526</v>
      </c>
      <c r="B530" t="s">
        <v>278</v>
      </c>
      <c r="C530">
        <v>5</v>
      </c>
      <c r="D530">
        <v>5</v>
      </c>
      <c r="E530" t="s">
        <v>385</v>
      </c>
      <c r="F530">
        <v>412</v>
      </c>
      <c r="G530">
        <v>1</v>
      </c>
      <c r="H530">
        <v>75</v>
      </c>
      <c r="I530" t="s">
        <v>386</v>
      </c>
      <c r="J530" t="s">
        <v>386</v>
      </c>
      <c r="K530">
        <v>100000</v>
      </c>
      <c r="L530">
        <v>14</v>
      </c>
      <c r="M530">
        <v>14</v>
      </c>
      <c r="N530">
        <v>19</v>
      </c>
      <c r="O530">
        <v>0</v>
      </c>
      <c r="P530">
        <v>4</v>
      </c>
      <c r="Q530">
        <v>6</v>
      </c>
      <c r="R530">
        <v>6</v>
      </c>
      <c r="S530">
        <v>4</v>
      </c>
      <c r="T530">
        <v>0</v>
      </c>
      <c r="U530">
        <v>125</v>
      </c>
      <c r="V530">
        <v>5849.8675551099996</v>
      </c>
      <c r="AH530">
        <f t="shared" si="77"/>
        <v>14</v>
      </c>
      <c r="AI530">
        <f t="shared" si="78"/>
        <v>19</v>
      </c>
      <c r="AJ530" t="str">
        <f t="shared" si="79"/>
        <v/>
      </c>
      <c r="AK530">
        <f t="shared" si="80"/>
        <v>4</v>
      </c>
      <c r="AL530">
        <f t="shared" si="73"/>
        <v>6</v>
      </c>
      <c r="AM530">
        <f t="shared" si="74"/>
        <v>6</v>
      </c>
      <c r="AN530">
        <f t="shared" si="75"/>
        <v>4</v>
      </c>
      <c r="AO530" t="str">
        <f t="shared" si="76"/>
        <v/>
      </c>
    </row>
    <row r="531" spans="1:41">
      <c r="A531">
        <f t="shared" si="81"/>
        <v>527</v>
      </c>
      <c r="B531" t="s">
        <v>278</v>
      </c>
      <c r="C531">
        <v>4</v>
      </c>
      <c r="D531">
        <v>4</v>
      </c>
      <c r="E531" t="s">
        <v>385</v>
      </c>
      <c r="F531">
        <v>412</v>
      </c>
      <c r="G531">
        <v>1</v>
      </c>
      <c r="H531">
        <v>76</v>
      </c>
      <c r="I531" t="s">
        <v>386</v>
      </c>
      <c r="J531" t="s">
        <v>386</v>
      </c>
      <c r="K531">
        <v>100000</v>
      </c>
      <c r="L531">
        <v>14</v>
      </c>
      <c r="M531">
        <v>14</v>
      </c>
      <c r="N531">
        <v>20</v>
      </c>
      <c r="O531">
        <v>0</v>
      </c>
      <c r="P531">
        <v>3</v>
      </c>
      <c r="Q531">
        <v>4</v>
      </c>
      <c r="R531">
        <v>3</v>
      </c>
      <c r="S531">
        <v>0</v>
      </c>
      <c r="T531" t="s">
        <v>386</v>
      </c>
      <c r="U531">
        <v>129</v>
      </c>
      <c r="V531">
        <v>5268.2176393</v>
      </c>
      <c r="AH531">
        <f t="shared" si="77"/>
        <v>14</v>
      </c>
      <c r="AI531">
        <f t="shared" si="78"/>
        <v>20</v>
      </c>
      <c r="AJ531" t="str">
        <f t="shared" si="79"/>
        <v/>
      </c>
      <c r="AK531">
        <f t="shared" si="80"/>
        <v>3</v>
      </c>
      <c r="AL531">
        <f t="shared" si="73"/>
        <v>4</v>
      </c>
      <c r="AM531">
        <f t="shared" si="74"/>
        <v>3</v>
      </c>
      <c r="AN531" t="str">
        <f t="shared" si="75"/>
        <v/>
      </c>
      <c r="AO531" t="e">
        <f t="shared" si="76"/>
        <v>#VALUE!</v>
      </c>
    </row>
    <row r="532" spans="1:41">
      <c r="A532">
        <f t="shared" si="81"/>
        <v>528</v>
      </c>
      <c r="B532" t="s">
        <v>278</v>
      </c>
      <c r="C532">
        <v>3</v>
      </c>
      <c r="D532">
        <v>3</v>
      </c>
      <c r="E532" t="s">
        <v>385</v>
      </c>
      <c r="F532">
        <v>412</v>
      </c>
      <c r="G532">
        <v>1</v>
      </c>
      <c r="H532">
        <v>77</v>
      </c>
      <c r="I532" t="s">
        <v>386</v>
      </c>
      <c r="J532" t="s">
        <v>386</v>
      </c>
      <c r="K532">
        <v>100000</v>
      </c>
      <c r="L532">
        <v>14</v>
      </c>
      <c r="M532">
        <v>14</v>
      </c>
      <c r="N532">
        <v>21</v>
      </c>
      <c r="O532">
        <v>0</v>
      </c>
      <c r="P532">
        <v>2</v>
      </c>
      <c r="Q532">
        <v>2</v>
      </c>
      <c r="R532">
        <v>0</v>
      </c>
      <c r="S532" t="s">
        <v>386</v>
      </c>
      <c r="T532" t="s">
        <v>386</v>
      </c>
      <c r="U532">
        <v>136</v>
      </c>
      <c r="V532">
        <v>4594.1891863000001</v>
      </c>
      <c r="AH532">
        <f t="shared" si="77"/>
        <v>14</v>
      </c>
      <c r="AI532">
        <f t="shared" si="78"/>
        <v>21</v>
      </c>
      <c r="AJ532" t="str">
        <f t="shared" si="79"/>
        <v/>
      </c>
      <c r="AK532">
        <f t="shared" si="80"/>
        <v>2</v>
      </c>
      <c r="AL532">
        <f t="shared" si="73"/>
        <v>2</v>
      </c>
      <c r="AM532" t="str">
        <f t="shared" si="74"/>
        <v/>
      </c>
      <c r="AN532" t="e">
        <f t="shared" si="75"/>
        <v>#VALUE!</v>
      </c>
      <c r="AO532" t="e">
        <f t="shared" si="76"/>
        <v>#VALUE!</v>
      </c>
    </row>
    <row r="533" spans="1:41">
      <c r="A533">
        <f t="shared" si="81"/>
        <v>529</v>
      </c>
      <c r="B533" t="s">
        <v>278</v>
      </c>
      <c r="C533">
        <v>2</v>
      </c>
      <c r="D533">
        <v>2</v>
      </c>
      <c r="E533" t="s">
        <v>385</v>
      </c>
      <c r="F533">
        <v>412</v>
      </c>
      <c r="G533">
        <v>1</v>
      </c>
      <c r="H533">
        <v>78</v>
      </c>
      <c r="I533" t="s">
        <v>386</v>
      </c>
      <c r="J533" t="s">
        <v>386</v>
      </c>
      <c r="K533">
        <v>100000</v>
      </c>
      <c r="L533">
        <v>14</v>
      </c>
      <c r="M533">
        <v>14</v>
      </c>
      <c r="N533">
        <v>24</v>
      </c>
      <c r="O533">
        <v>0</v>
      </c>
      <c r="P533">
        <v>1</v>
      </c>
      <c r="Q533">
        <v>0</v>
      </c>
      <c r="R533" t="s">
        <v>386</v>
      </c>
      <c r="S533" t="s">
        <v>386</v>
      </c>
      <c r="T533" t="s">
        <v>386</v>
      </c>
      <c r="U533">
        <v>152</v>
      </c>
      <c r="V533">
        <v>3803.9623919400001</v>
      </c>
      <c r="AH533">
        <f t="shared" si="77"/>
        <v>14</v>
      </c>
      <c r="AI533">
        <f t="shared" si="78"/>
        <v>24</v>
      </c>
      <c r="AJ533" t="str">
        <f t="shared" si="79"/>
        <v/>
      </c>
      <c r="AK533">
        <f t="shared" si="80"/>
        <v>1</v>
      </c>
      <c r="AL533" t="str">
        <f t="shared" si="73"/>
        <v/>
      </c>
      <c r="AM533" t="e">
        <f t="shared" si="74"/>
        <v>#VALUE!</v>
      </c>
      <c r="AN533" t="e">
        <f t="shared" si="75"/>
        <v>#VALUE!</v>
      </c>
      <c r="AO533" t="e">
        <f t="shared" si="76"/>
        <v>#VALUE!</v>
      </c>
    </row>
    <row r="534" spans="1:41">
      <c r="A534">
        <f t="shared" si="81"/>
        <v>530</v>
      </c>
      <c r="B534" t="s">
        <v>278</v>
      </c>
      <c r="C534">
        <v>1</v>
      </c>
      <c r="D534">
        <v>1</v>
      </c>
      <c r="E534" t="s">
        <v>385</v>
      </c>
      <c r="F534">
        <v>412</v>
      </c>
      <c r="G534">
        <v>1</v>
      </c>
      <c r="H534">
        <v>79</v>
      </c>
      <c r="I534" t="s">
        <v>386</v>
      </c>
      <c r="J534" t="s">
        <v>386</v>
      </c>
      <c r="K534">
        <v>100000</v>
      </c>
      <c r="L534">
        <v>14</v>
      </c>
      <c r="M534">
        <v>14</v>
      </c>
      <c r="N534">
        <v>36</v>
      </c>
      <c r="O534">
        <v>0</v>
      </c>
      <c r="P534">
        <v>0</v>
      </c>
      <c r="Q534" t="s">
        <v>386</v>
      </c>
      <c r="R534" t="s">
        <v>386</v>
      </c>
      <c r="S534" t="s">
        <v>386</v>
      </c>
      <c r="T534" t="s">
        <v>386</v>
      </c>
      <c r="U534">
        <v>185</v>
      </c>
      <c r="V534">
        <v>2874.4192141799999</v>
      </c>
      <c r="AH534">
        <f t="shared" si="77"/>
        <v>14</v>
      </c>
      <c r="AI534">
        <f t="shared" si="78"/>
        <v>36</v>
      </c>
      <c r="AJ534" t="str">
        <f t="shared" si="79"/>
        <v/>
      </c>
      <c r="AK534" t="str">
        <f t="shared" si="80"/>
        <v/>
      </c>
      <c r="AL534" t="e">
        <f t="shared" si="73"/>
        <v>#VALUE!</v>
      </c>
      <c r="AM534" t="e">
        <f t="shared" si="74"/>
        <v>#VALUE!</v>
      </c>
      <c r="AN534" t="e">
        <f t="shared" si="75"/>
        <v>#VALUE!</v>
      </c>
      <c r="AO534" t="e">
        <f t="shared" si="76"/>
        <v>#VALUE!</v>
      </c>
    </row>
    <row r="535" spans="1:41">
      <c r="A535">
        <f t="shared" si="81"/>
        <v>531</v>
      </c>
      <c r="B535" t="s">
        <v>278</v>
      </c>
      <c r="C535">
        <v>5</v>
      </c>
      <c r="D535">
        <v>5</v>
      </c>
      <c r="E535" t="s">
        <v>387</v>
      </c>
      <c r="F535">
        <v>412</v>
      </c>
      <c r="G535">
        <v>1</v>
      </c>
      <c r="H535">
        <v>30</v>
      </c>
      <c r="I535" t="s">
        <v>386</v>
      </c>
      <c r="J535" t="s">
        <v>386</v>
      </c>
      <c r="K535">
        <v>100000</v>
      </c>
      <c r="L535">
        <v>2</v>
      </c>
      <c r="M535">
        <v>2</v>
      </c>
      <c r="N535">
        <v>4</v>
      </c>
      <c r="O535">
        <v>0</v>
      </c>
      <c r="P535">
        <v>3</v>
      </c>
      <c r="Q535">
        <v>5</v>
      </c>
      <c r="R535">
        <v>4</v>
      </c>
      <c r="S535">
        <v>3</v>
      </c>
      <c r="T535">
        <v>0</v>
      </c>
      <c r="U535">
        <v>50</v>
      </c>
      <c r="V535">
        <v>1806.89455815</v>
      </c>
      <c r="AH535">
        <f t="shared" si="77"/>
        <v>2</v>
      </c>
      <c r="AI535">
        <f t="shared" si="78"/>
        <v>4</v>
      </c>
      <c r="AJ535" t="str">
        <f t="shared" si="79"/>
        <v/>
      </c>
      <c r="AK535">
        <f t="shared" si="80"/>
        <v>3</v>
      </c>
      <c r="AL535">
        <f t="shared" si="73"/>
        <v>5</v>
      </c>
      <c r="AM535">
        <f t="shared" si="74"/>
        <v>4</v>
      </c>
      <c r="AN535">
        <f t="shared" si="75"/>
        <v>3</v>
      </c>
      <c r="AO535" t="str">
        <f t="shared" si="76"/>
        <v/>
      </c>
    </row>
    <row r="536" spans="1:41">
      <c r="A536">
        <f t="shared" si="81"/>
        <v>532</v>
      </c>
      <c r="B536" t="s">
        <v>278</v>
      </c>
      <c r="C536">
        <v>5</v>
      </c>
      <c r="D536">
        <v>5</v>
      </c>
      <c r="E536" t="s">
        <v>387</v>
      </c>
      <c r="F536">
        <v>412</v>
      </c>
      <c r="G536">
        <v>1</v>
      </c>
      <c r="H536">
        <v>31</v>
      </c>
      <c r="I536" t="s">
        <v>386</v>
      </c>
      <c r="J536" t="s">
        <v>386</v>
      </c>
      <c r="K536">
        <v>100000</v>
      </c>
      <c r="L536">
        <v>3</v>
      </c>
      <c r="M536">
        <v>3</v>
      </c>
      <c r="N536">
        <v>4</v>
      </c>
      <c r="O536">
        <v>0</v>
      </c>
      <c r="P536">
        <v>3</v>
      </c>
      <c r="Q536">
        <v>4</v>
      </c>
      <c r="R536">
        <v>3</v>
      </c>
      <c r="S536">
        <v>2</v>
      </c>
      <c r="T536">
        <v>0</v>
      </c>
      <c r="U536">
        <v>50</v>
      </c>
      <c r="V536">
        <v>1808.9482292600001</v>
      </c>
      <c r="AH536">
        <f t="shared" si="77"/>
        <v>3</v>
      </c>
      <c r="AI536">
        <f t="shared" si="78"/>
        <v>4</v>
      </c>
      <c r="AJ536" t="str">
        <f t="shared" si="79"/>
        <v/>
      </c>
      <c r="AK536">
        <f t="shared" si="80"/>
        <v>3</v>
      </c>
      <c r="AL536">
        <f t="shared" si="73"/>
        <v>4</v>
      </c>
      <c r="AM536">
        <f t="shared" si="74"/>
        <v>3</v>
      </c>
      <c r="AN536">
        <f t="shared" si="75"/>
        <v>2</v>
      </c>
      <c r="AO536" t="str">
        <f t="shared" si="76"/>
        <v/>
      </c>
    </row>
    <row r="537" spans="1:41">
      <c r="A537">
        <f t="shared" si="81"/>
        <v>533</v>
      </c>
      <c r="B537" t="s">
        <v>278</v>
      </c>
      <c r="C537">
        <v>5</v>
      </c>
      <c r="D537">
        <v>5</v>
      </c>
      <c r="E537" t="s">
        <v>387</v>
      </c>
      <c r="F537">
        <v>412</v>
      </c>
      <c r="G537">
        <v>1</v>
      </c>
      <c r="H537">
        <v>32</v>
      </c>
      <c r="I537" t="s">
        <v>386</v>
      </c>
      <c r="J537" t="s">
        <v>386</v>
      </c>
      <c r="K537">
        <v>100000</v>
      </c>
      <c r="L537">
        <v>3</v>
      </c>
      <c r="M537">
        <v>3</v>
      </c>
      <c r="N537">
        <v>4</v>
      </c>
      <c r="O537">
        <v>0</v>
      </c>
      <c r="P537">
        <v>2</v>
      </c>
      <c r="Q537">
        <v>3</v>
      </c>
      <c r="R537">
        <v>2</v>
      </c>
      <c r="S537">
        <v>1</v>
      </c>
      <c r="T537">
        <v>0</v>
      </c>
      <c r="U537">
        <v>51</v>
      </c>
      <c r="V537">
        <v>1810.87526794</v>
      </c>
      <c r="AH537">
        <f t="shared" si="77"/>
        <v>3</v>
      </c>
      <c r="AI537">
        <f t="shared" si="78"/>
        <v>4</v>
      </c>
      <c r="AJ537" t="str">
        <f t="shared" si="79"/>
        <v/>
      </c>
      <c r="AK537">
        <f t="shared" si="80"/>
        <v>2</v>
      </c>
      <c r="AL537">
        <f t="shared" si="73"/>
        <v>3</v>
      </c>
      <c r="AM537">
        <f t="shared" si="74"/>
        <v>2</v>
      </c>
      <c r="AN537">
        <f t="shared" si="75"/>
        <v>1</v>
      </c>
      <c r="AO537" t="str">
        <f t="shared" si="76"/>
        <v/>
      </c>
    </row>
    <row r="538" spans="1:41">
      <c r="A538">
        <f t="shared" si="81"/>
        <v>534</v>
      </c>
      <c r="B538" t="s">
        <v>278</v>
      </c>
      <c r="C538">
        <v>5</v>
      </c>
      <c r="D538">
        <v>5</v>
      </c>
      <c r="E538" t="s">
        <v>387</v>
      </c>
      <c r="F538">
        <v>412</v>
      </c>
      <c r="G538">
        <v>1</v>
      </c>
      <c r="H538">
        <v>33</v>
      </c>
      <c r="I538" t="s">
        <v>386</v>
      </c>
      <c r="J538" t="s">
        <v>386</v>
      </c>
      <c r="K538">
        <v>100000</v>
      </c>
      <c r="L538">
        <v>3</v>
      </c>
      <c r="M538">
        <v>3</v>
      </c>
      <c r="N538">
        <v>4</v>
      </c>
      <c r="O538">
        <v>0</v>
      </c>
      <c r="P538">
        <v>1</v>
      </c>
      <c r="Q538">
        <v>2</v>
      </c>
      <c r="R538">
        <v>2</v>
      </c>
      <c r="S538">
        <v>1</v>
      </c>
      <c r="T538">
        <v>0</v>
      </c>
      <c r="U538">
        <v>52</v>
      </c>
      <c r="V538">
        <v>1813.18309434</v>
      </c>
      <c r="AH538">
        <f t="shared" si="77"/>
        <v>3</v>
      </c>
      <c r="AI538">
        <f t="shared" si="78"/>
        <v>4</v>
      </c>
      <c r="AJ538" t="str">
        <f t="shared" si="79"/>
        <v/>
      </c>
      <c r="AK538">
        <f t="shared" si="80"/>
        <v>1</v>
      </c>
      <c r="AL538">
        <f t="shared" si="73"/>
        <v>2</v>
      </c>
      <c r="AM538">
        <f t="shared" si="74"/>
        <v>2</v>
      </c>
      <c r="AN538">
        <f t="shared" si="75"/>
        <v>1</v>
      </c>
      <c r="AO538" t="str">
        <f t="shared" si="76"/>
        <v/>
      </c>
    </row>
    <row r="539" spans="1:41">
      <c r="A539">
        <f t="shared" si="81"/>
        <v>535</v>
      </c>
      <c r="B539" t="s">
        <v>278</v>
      </c>
      <c r="C539">
        <v>5</v>
      </c>
      <c r="D539">
        <v>5</v>
      </c>
      <c r="E539" t="s">
        <v>387</v>
      </c>
      <c r="F539">
        <v>412</v>
      </c>
      <c r="G539">
        <v>1</v>
      </c>
      <c r="H539">
        <v>34</v>
      </c>
      <c r="I539" t="s">
        <v>386</v>
      </c>
      <c r="J539" t="s">
        <v>386</v>
      </c>
      <c r="K539">
        <v>100000</v>
      </c>
      <c r="L539">
        <v>3</v>
      </c>
      <c r="M539">
        <v>3</v>
      </c>
      <c r="N539">
        <v>4</v>
      </c>
      <c r="O539">
        <v>0</v>
      </c>
      <c r="P539">
        <v>1</v>
      </c>
      <c r="Q539">
        <v>2</v>
      </c>
      <c r="R539">
        <v>2</v>
      </c>
      <c r="S539">
        <v>2</v>
      </c>
      <c r="T539">
        <v>0</v>
      </c>
      <c r="U539">
        <v>52</v>
      </c>
      <c r="V539">
        <v>1815.8342500199999</v>
      </c>
      <c r="AH539">
        <f t="shared" si="77"/>
        <v>3</v>
      </c>
      <c r="AI539">
        <f t="shared" si="78"/>
        <v>4</v>
      </c>
      <c r="AJ539" t="str">
        <f t="shared" si="79"/>
        <v/>
      </c>
      <c r="AK539">
        <f t="shared" si="80"/>
        <v>1</v>
      </c>
      <c r="AL539">
        <f t="shared" si="73"/>
        <v>2</v>
      </c>
      <c r="AM539">
        <f t="shared" si="74"/>
        <v>2</v>
      </c>
      <c r="AN539">
        <f t="shared" si="75"/>
        <v>2</v>
      </c>
      <c r="AO539" t="str">
        <f t="shared" si="76"/>
        <v/>
      </c>
    </row>
    <row r="540" spans="1:41">
      <c r="A540">
        <f t="shared" si="81"/>
        <v>536</v>
      </c>
      <c r="B540" t="s">
        <v>278</v>
      </c>
      <c r="C540">
        <v>5</v>
      </c>
      <c r="D540">
        <v>5</v>
      </c>
      <c r="E540" t="s">
        <v>387</v>
      </c>
      <c r="F540">
        <v>412</v>
      </c>
      <c r="G540">
        <v>1</v>
      </c>
      <c r="H540">
        <v>35</v>
      </c>
      <c r="I540" t="s">
        <v>386</v>
      </c>
      <c r="J540" t="s">
        <v>386</v>
      </c>
      <c r="K540">
        <v>100000</v>
      </c>
      <c r="L540">
        <v>3</v>
      </c>
      <c r="M540">
        <v>3</v>
      </c>
      <c r="N540">
        <v>4</v>
      </c>
      <c r="O540">
        <v>0</v>
      </c>
      <c r="P540">
        <v>1</v>
      </c>
      <c r="Q540">
        <v>2</v>
      </c>
      <c r="R540">
        <v>2</v>
      </c>
      <c r="S540">
        <v>2</v>
      </c>
      <c r="T540">
        <v>0</v>
      </c>
      <c r="U540">
        <v>52</v>
      </c>
      <c r="V540">
        <v>1818.78416679</v>
      </c>
      <c r="AH540">
        <f t="shared" si="77"/>
        <v>3</v>
      </c>
      <c r="AI540">
        <f t="shared" si="78"/>
        <v>4</v>
      </c>
      <c r="AJ540" t="str">
        <f t="shared" si="79"/>
        <v/>
      </c>
      <c r="AK540">
        <f t="shared" si="80"/>
        <v>1</v>
      </c>
      <c r="AL540">
        <f t="shared" si="73"/>
        <v>2</v>
      </c>
      <c r="AM540">
        <f t="shared" si="74"/>
        <v>2</v>
      </c>
      <c r="AN540">
        <f t="shared" si="75"/>
        <v>2</v>
      </c>
      <c r="AO540" t="str">
        <f t="shared" si="76"/>
        <v/>
      </c>
    </row>
    <row r="541" spans="1:41">
      <c r="A541">
        <f t="shared" si="81"/>
        <v>537</v>
      </c>
      <c r="B541" t="s">
        <v>278</v>
      </c>
      <c r="C541">
        <v>5</v>
      </c>
      <c r="D541">
        <v>5</v>
      </c>
      <c r="E541" t="s">
        <v>387</v>
      </c>
      <c r="F541">
        <v>412</v>
      </c>
      <c r="G541">
        <v>1</v>
      </c>
      <c r="H541">
        <v>36</v>
      </c>
      <c r="I541" t="s">
        <v>386</v>
      </c>
      <c r="J541" t="s">
        <v>386</v>
      </c>
      <c r="K541">
        <v>100000</v>
      </c>
      <c r="L541">
        <v>3</v>
      </c>
      <c r="M541">
        <v>3</v>
      </c>
      <c r="N541">
        <v>5</v>
      </c>
      <c r="O541">
        <v>0</v>
      </c>
      <c r="P541">
        <v>2</v>
      </c>
      <c r="Q541">
        <v>3</v>
      </c>
      <c r="R541">
        <v>3</v>
      </c>
      <c r="S541">
        <v>2</v>
      </c>
      <c r="T541">
        <v>0</v>
      </c>
      <c r="U541">
        <v>53</v>
      </c>
      <c r="V541">
        <v>1822.0972300599999</v>
      </c>
      <c r="AH541">
        <f t="shared" si="77"/>
        <v>3</v>
      </c>
      <c r="AI541">
        <f t="shared" si="78"/>
        <v>5</v>
      </c>
      <c r="AJ541" t="str">
        <f t="shared" si="79"/>
        <v/>
      </c>
      <c r="AK541">
        <f t="shared" si="80"/>
        <v>2</v>
      </c>
      <c r="AL541">
        <f t="shared" si="73"/>
        <v>3</v>
      </c>
      <c r="AM541">
        <f t="shared" si="74"/>
        <v>3</v>
      </c>
      <c r="AN541">
        <f t="shared" si="75"/>
        <v>2</v>
      </c>
      <c r="AO541" t="str">
        <f t="shared" si="76"/>
        <v/>
      </c>
    </row>
    <row r="542" spans="1:41">
      <c r="A542">
        <f t="shared" si="81"/>
        <v>538</v>
      </c>
      <c r="B542" t="s">
        <v>278</v>
      </c>
      <c r="C542">
        <v>5</v>
      </c>
      <c r="D542">
        <v>5</v>
      </c>
      <c r="E542" t="s">
        <v>387</v>
      </c>
      <c r="F542">
        <v>412</v>
      </c>
      <c r="G542">
        <v>1</v>
      </c>
      <c r="H542">
        <v>37</v>
      </c>
      <c r="I542" t="s">
        <v>386</v>
      </c>
      <c r="J542" t="s">
        <v>386</v>
      </c>
      <c r="K542">
        <v>100000</v>
      </c>
      <c r="L542">
        <v>3</v>
      </c>
      <c r="M542">
        <v>3</v>
      </c>
      <c r="N542">
        <v>5</v>
      </c>
      <c r="O542">
        <v>0</v>
      </c>
      <c r="P542">
        <v>2</v>
      </c>
      <c r="Q542">
        <v>3</v>
      </c>
      <c r="R542">
        <v>3</v>
      </c>
      <c r="S542">
        <v>2</v>
      </c>
      <c r="T542">
        <v>0</v>
      </c>
      <c r="U542">
        <v>53</v>
      </c>
      <c r="V542">
        <v>1826.4611403599999</v>
      </c>
      <c r="AH542">
        <f t="shared" si="77"/>
        <v>3</v>
      </c>
      <c r="AI542">
        <f t="shared" si="78"/>
        <v>5</v>
      </c>
      <c r="AJ542" t="str">
        <f t="shared" si="79"/>
        <v/>
      </c>
      <c r="AK542">
        <f t="shared" si="80"/>
        <v>2</v>
      </c>
      <c r="AL542">
        <f t="shared" si="73"/>
        <v>3</v>
      </c>
      <c r="AM542">
        <f t="shared" si="74"/>
        <v>3</v>
      </c>
      <c r="AN542">
        <f t="shared" si="75"/>
        <v>2</v>
      </c>
      <c r="AO542" t="str">
        <f t="shared" si="76"/>
        <v/>
      </c>
    </row>
    <row r="543" spans="1:41">
      <c r="A543">
        <f t="shared" si="81"/>
        <v>539</v>
      </c>
      <c r="B543" t="s">
        <v>278</v>
      </c>
      <c r="C543">
        <v>5</v>
      </c>
      <c r="D543">
        <v>5</v>
      </c>
      <c r="E543" t="s">
        <v>387</v>
      </c>
      <c r="F543">
        <v>412</v>
      </c>
      <c r="G543">
        <v>1</v>
      </c>
      <c r="H543">
        <v>38</v>
      </c>
      <c r="I543" t="s">
        <v>386</v>
      </c>
      <c r="J543" t="s">
        <v>386</v>
      </c>
      <c r="K543">
        <v>100000</v>
      </c>
      <c r="L543">
        <v>3</v>
      </c>
      <c r="M543">
        <v>3</v>
      </c>
      <c r="N543">
        <v>5</v>
      </c>
      <c r="O543">
        <v>0</v>
      </c>
      <c r="P543">
        <v>2</v>
      </c>
      <c r="Q543">
        <v>3</v>
      </c>
      <c r="R543">
        <v>3</v>
      </c>
      <c r="S543">
        <v>2</v>
      </c>
      <c r="T543">
        <v>0</v>
      </c>
      <c r="U543">
        <v>54</v>
      </c>
      <c r="V543">
        <v>1831.49924237</v>
      </c>
      <c r="AH543">
        <f t="shared" si="77"/>
        <v>3</v>
      </c>
      <c r="AI543">
        <f t="shared" si="78"/>
        <v>5</v>
      </c>
      <c r="AJ543" t="str">
        <f t="shared" si="79"/>
        <v/>
      </c>
      <c r="AK543">
        <f t="shared" si="80"/>
        <v>2</v>
      </c>
      <c r="AL543">
        <f t="shared" si="73"/>
        <v>3</v>
      </c>
      <c r="AM543">
        <f t="shared" si="74"/>
        <v>3</v>
      </c>
      <c r="AN543">
        <f t="shared" si="75"/>
        <v>2</v>
      </c>
      <c r="AO543" t="str">
        <f t="shared" si="76"/>
        <v/>
      </c>
    </row>
    <row r="544" spans="1:41">
      <c r="A544">
        <f t="shared" si="81"/>
        <v>540</v>
      </c>
      <c r="B544" t="s">
        <v>278</v>
      </c>
      <c r="C544">
        <v>5</v>
      </c>
      <c r="D544">
        <v>5</v>
      </c>
      <c r="E544" t="s">
        <v>387</v>
      </c>
      <c r="F544">
        <v>412</v>
      </c>
      <c r="G544">
        <v>1</v>
      </c>
      <c r="H544">
        <v>39</v>
      </c>
      <c r="I544" t="s">
        <v>386</v>
      </c>
      <c r="J544" t="s">
        <v>386</v>
      </c>
      <c r="K544">
        <v>100000</v>
      </c>
      <c r="L544">
        <v>3</v>
      </c>
      <c r="M544">
        <v>3</v>
      </c>
      <c r="N544">
        <v>5</v>
      </c>
      <c r="O544">
        <v>0</v>
      </c>
      <c r="P544">
        <v>2</v>
      </c>
      <c r="Q544">
        <v>3</v>
      </c>
      <c r="R544">
        <v>3</v>
      </c>
      <c r="S544">
        <v>2</v>
      </c>
      <c r="T544">
        <v>0</v>
      </c>
      <c r="U544">
        <v>54</v>
      </c>
      <c r="V544">
        <v>1837.18758607</v>
      </c>
      <c r="AH544">
        <f t="shared" si="77"/>
        <v>3</v>
      </c>
      <c r="AI544">
        <f t="shared" si="78"/>
        <v>5</v>
      </c>
      <c r="AJ544" t="str">
        <f t="shared" si="79"/>
        <v/>
      </c>
      <c r="AK544">
        <f t="shared" si="80"/>
        <v>2</v>
      </c>
      <c r="AL544">
        <f t="shared" si="73"/>
        <v>3</v>
      </c>
      <c r="AM544">
        <f t="shared" si="74"/>
        <v>3</v>
      </c>
      <c r="AN544">
        <f t="shared" si="75"/>
        <v>2</v>
      </c>
      <c r="AO544" t="str">
        <f t="shared" si="76"/>
        <v/>
      </c>
    </row>
    <row r="545" spans="1:41">
      <c r="A545">
        <f t="shared" si="81"/>
        <v>541</v>
      </c>
      <c r="B545" t="s">
        <v>278</v>
      </c>
      <c r="C545">
        <v>5</v>
      </c>
      <c r="D545">
        <v>5</v>
      </c>
      <c r="E545" t="s">
        <v>387</v>
      </c>
      <c r="F545">
        <v>412</v>
      </c>
      <c r="G545">
        <v>1</v>
      </c>
      <c r="H545">
        <v>40</v>
      </c>
      <c r="I545" t="s">
        <v>386</v>
      </c>
      <c r="J545" t="s">
        <v>386</v>
      </c>
      <c r="K545">
        <v>100000</v>
      </c>
      <c r="L545">
        <v>3</v>
      </c>
      <c r="M545">
        <v>3</v>
      </c>
      <c r="N545">
        <v>5</v>
      </c>
      <c r="O545">
        <v>0</v>
      </c>
      <c r="P545">
        <v>2</v>
      </c>
      <c r="Q545">
        <v>4</v>
      </c>
      <c r="R545">
        <v>4</v>
      </c>
      <c r="S545">
        <v>3</v>
      </c>
      <c r="T545">
        <v>0</v>
      </c>
      <c r="U545">
        <v>55</v>
      </c>
      <c r="V545">
        <v>1843.8242961799999</v>
      </c>
      <c r="AH545">
        <f t="shared" si="77"/>
        <v>3</v>
      </c>
      <c r="AI545">
        <f t="shared" si="78"/>
        <v>5</v>
      </c>
      <c r="AJ545" t="str">
        <f t="shared" si="79"/>
        <v/>
      </c>
      <c r="AK545">
        <f t="shared" si="80"/>
        <v>2</v>
      </c>
      <c r="AL545">
        <f t="shared" si="73"/>
        <v>4</v>
      </c>
      <c r="AM545">
        <f t="shared" si="74"/>
        <v>4</v>
      </c>
      <c r="AN545">
        <f t="shared" si="75"/>
        <v>3</v>
      </c>
      <c r="AO545" t="str">
        <f t="shared" si="76"/>
        <v/>
      </c>
    </row>
    <row r="546" spans="1:41">
      <c r="A546">
        <f t="shared" si="81"/>
        <v>542</v>
      </c>
      <c r="B546" t="s">
        <v>278</v>
      </c>
      <c r="C546">
        <v>5</v>
      </c>
      <c r="D546">
        <v>5</v>
      </c>
      <c r="E546" t="s">
        <v>387</v>
      </c>
      <c r="F546">
        <v>412</v>
      </c>
      <c r="G546">
        <v>1</v>
      </c>
      <c r="H546">
        <v>41</v>
      </c>
      <c r="I546" t="s">
        <v>386</v>
      </c>
      <c r="J546" t="s">
        <v>386</v>
      </c>
      <c r="K546">
        <v>100000</v>
      </c>
      <c r="L546">
        <v>3</v>
      </c>
      <c r="M546">
        <v>3</v>
      </c>
      <c r="N546">
        <v>5</v>
      </c>
      <c r="O546">
        <v>0</v>
      </c>
      <c r="P546">
        <v>3</v>
      </c>
      <c r="Q546">
        <v>4</v>
      </c>
      <c r="R546">
        <v>4</v>
      </c>
      <c r="S546">
        <v>3</v>
      </c>
      <c r="T546">
        <v>0</v>
      </c>
      <c r="U546">
        <v>56</v>
      </c>
      <c r="V546">
        <v>1851.28973916</v>
      </c>
      <c r="AH546">
        <f t="shared" si="77"/>
        <v>3</v>
      </c>
      <c r="AI546">
        <f t="shared" si="78"/>
        <v>5</v>
      </c>
      <c r="AJ546" t="str">
        <f t="shared" si="79"/>
        <v/>
      </c>
      <c r="AK546">
        <f t="shared" si="80"/>
        <v>3</v>
      </c>
      <c r="AL546">
        <f t="shared" si="73"/>
        <v>4</v>
      </c>
      <c r="AM546">
        <f t="shared" si="74"/>
        <v>4</v>
      </c>
      <c r="AN546">
        <f t="shared" si="75"/>
        <v>3</v>
      </c>
      <c r="AO546" t="str">
        <f t="shared" si="76"/>
        <v/>
      </c>
    </row>
    <row r="547" spans="1:41">
      <c r="A547">
        <f t="shared" si="81"/>
        <v>543</v>
      </c>
      <c r="B547" t="s">
        <v>278</v>
      </c>
      <c r="C547">
        <v>5</v>
      </c>
      <c r="D547">
        <v>5</v>
      </c>
      <c r="E547" t="s">
        <v>387</v>
      </c>
      <c r="F547">
        <v>412</v>
      </c>
      <c r="G547">
        <v>1</v>
      </c>
      <c r="H547">
        <v>42</v>
      </c>
      <c r="I547" t="s">
        <v>386</v>
      </c>
      <c r="J547" t="s">
        <v>386</v>
      </c>
      <c r="K547">
        <v>100000</v>
      </c>
      <c r="L547">
        <v>3</v>
      </c>
      <c r="M547">
        <v>3</v>
      </c>
      <c r="N547">
        <v>5</v>
      </c>
      <c r="O547">
        <v>0</v>
      </c>
      <c r="P547">
        <v>3</v>
      </c>
      <c r="Q547">
        <v>5</v>
      </c>
      <c r="R547">
        <v>5</v>
      </c>
      <c r="S547">
        <v>3</v>
      </c>
      <c r="T547">
        <v>0</v>
      </c>
      <c r="U547">
        <v>57</v>
      </c>
      <c r="V547">
        <v>1859.1694836900001</v>
      </c>
      <c r="AH547">
        <f t="shared" si="77"/>
        <v>3</v>
      </c>
      <c r="AI547">
        <f t="shared" si="78"/>
        <v>5</v>
      </c>
      <c r="AJ547" t="str">
        <f t="shared" si="79"/>
        <v/>
      </c>
      <c r="AK547">
        <f t="shared" si="80"/>
        <v>3</v>
      </c>
      <c r="AL547">
        <f t="shared" si="73"/>
        <v>5</v>
      </c>
      <c r="AM547">
        <f t="shared" si="74"/>
        <v>5</v>
      </c>
      <c r="AN547">
        <f t="shared" si="75"/>
        <v>3</v>
      </c>
      <c r="AO547" t="str">
        <f t="shared" si="76"/>
        <v/>
      </c>
    </row>
    <row r="548" spans="1:41">
      <c r="A548">
        <f t="shared" si="81"/>
        <v>544</v>
      </c>
      <c r="B548" t="s">
        <v>278</v>
      </c>
      <c r="C548">
        <v>5</v>
      </c>
      <c r="D548">
        <v>5</v>
      </c>
      <c r="E548" t="s">
        <v>387</v>
      </c>
      <c r="F548">
        <v>412</v>
      </c>
      <c r="G548">
        <v>1</v>
      </c>
      <c r="H548">
        <v>43</v>
      </c>
      <c r="I548" t="s">
        <v>386</v>
      </c>
      <c r="J548" t="s">
        <v>386</v>
      </c>
      <c r="K548">
        <v>100000</v>
      </c>
      <c r="L548">
        <v>4</v>
      </c>
      <c r="M548">
        <v>4</v>
      </c>
      <c r="N548">
        <v>6</v>
      </c>
      <c r="O548">
        <v>0</v>
      </c>
      <c r="P548">
        <v>3</v>
      </c>
      <c r="Q548">
        <v>5</v>
      </c>
      <c r="R548">
        <v>5</v>
      </c>
      <c r="S548">
        <v>3</v>
      </c>
      <c r="T548">
        <v>0</v>
      </c>
      <c r="U548">
        <v>58</v>
      </c>
      <c r="V548">
        <v>1867.48999886</v>
      </c>
      <c r="AH548">
        <f t="shared" si="77"/>
        <v>4</v>
      </c>
      <c r="AI548">
        <f t="shared" si="78"/>
        <v>6</v>
      </c>
      <c r="AJ548" t="str">
        <f t="shared" si="79"/>
        <v/>
      </c>
      <c r="AK548">
        <f t="shared" si="80"/>
        <v>3</v>
      </c>
      <c r="AL548">
        <f t="shared" si="73"/>
        <v>5</v>
      </c>
      <c r="AM548">
        <f t="shared" si="74"/>
        <v>5</v>
      </c>
      <c r="AN548">
        <f t="shared" si="75"/>
        <v>3</v>
      </c>
      <c r="AO548" t="str">
        <f t="shared" si="76"/>
        <v/>
      </c>
    </row>
    <row r="549" spans="1:41">
      <c r="A549">
        <f t="shared" si="81"/>
        <v>545</v>
      </c>
      <c r="B549" t="s">
        <v>278</v>
      </c>
      <c r="C549">
        <v>5</v>
      </c>
      <c r="D549">
        <v>5</v>
      </c>
      <c r="E549" t="s">
        <v>387</v>
      </c>
      <c r="F549">
        <v>412</v>
      </c>
      <c r="G549">
        <v>1</v>
      </c>
      <c r="H549">
        <v>44</v>
      </c>
      <c r="I549" t="s">
        <v>386</v>
      </c>
      <c r="J549" t="s">
        <v>386</v>
      </c>
      <c r="K549">
        <v>100000</v>
      </c>
      <c r="L549">
        <v>4</v>
      </c>
      <c r="M549">
        <v>4</v>
      </c>
      <c r="N549">
        <v>6</v>
      </c>
      <c r="O549">
        <v>0</v>
      </c>
      <c r="P549">
        <v>3</v>
      </c>
      <c r="Q549">
        <v>5</v>
      </c>
      <c r="R549">
        <v>5</v>
      </c>
      <c r="S549">
        <v>4</v>
      </c>
      <c r="T549">
        <v>0</v>
      </c>
      <c r="U549">
        <v>59</v>
      </c>
      <c r="V549">
        <v>1877.0732785099999</v>
      </c>
      <c r="AH549">
        <f t="shared" si="77"/>
        <v>4</v>
      </c>
      <c r="AI549">
        <f t="shared" si="78"/>
        <v>6</v>
      </c>
      <c r="AJ549" t="str">
        <f t="shared" si="79"/>
        <v/>
      </c>
      <c r="AK549">
        <f t="shared" si="80"/>
        <v>3</v>
      </c>
      <c r="AL549">
        <f t="shared" si="73"/>
        <v>5</v>
      </c>
      <c r="AM549">
        <f t="shared" si="74"/>
        <v>5</v>
      </c>
      <c r="AN549">
        <f t="shared" si="75"/>
        <v>4</v>
      </c>
      <c r="AO549" t="str">
        <f t="shared" si="76"/>
        <v/>
      </c>
    </row>
    <row r="550" spans="1:41">
      <c r="A550">
        <f t="shared" si="81"/>
        <v>546</v>
      </c>
      <c r="B550" t="s">
        <v>278</v>
      </c>
      <c r="C550">
        <v>5</v>
      </c>
      <c r="D550">
        <v>5</v>
      </c>
      <c r="E550" t="s">
        <v>387</v>
      </c>
      <c r="F550">
        <v>412</v>
      </c>
      <c r="G550">
        <v>1</v>
      </c>
      <c r="H550">
        <v>45</v>
      </c>
      <c r="I550" t="s">
        <v>386</v>
      </c>
      <c r="J550" t="s">
        <v>386</v>
      </c>
      <c r="K550">
        <v>100000</v>
      </c>
      <c r="L550">
        <v>4</v>
      </c>
      <c r="M550">
        <v>4</v>
      </c>
      <c r="N550">
        <v>6</v>
      </c>
      <c r="O550">
        <v>0</v>
      </c>
      <c r="P550">
        <v>3</v>
      </c>
      <c r="Q550">
        <v>5</v>
      </c>
      <c r="R550">
        <v>5</v>
      </c>
      <c r="S550">
        <v>3</v>
      </c>
      <c r="T550">
        <v>0</v>
      </c>
      <c r="U550">
        <v>60</v>
      </c>
      <c r="V550">
        <v>1888.6655016899999</v>
      </c>
      <c r="AH550">
        <f t="shared" si="77"/>
        <v>4</v>
      </c>
      <c r="AI550">
        <f t="shared" si="78"/>
        <v>6</v>
      </c>
      <c r="AJ550" t="str">
        <f t="shared" si="79"/>
        <v/>
      </c>
      <c r="AK550">
        <f t="shared" si="80"/>
        <v>3</v>
      </c>
      <c r="AL550">
        <f t="shared" si="73"/>
        <v>5</v>
      </c>
      <c r="AM550">
        <f t="shared" si="74"/>
        <v>5</v>
      </c>
      <c r="AN550">
        <f t="shared" si="75"/>
        <v>3</v>
      </c>
      <c r="AO550" t="str">
        <f t="shared" si="76"/>
        <v/>
      </c>
    </row>
    <row r="551" spans="1:41">
      <c r="A551">
        <f t="shared" si="81"/>
        <v>547</v>
      </c>
      <c r="B551" t="s">
        <v>278</v>
      </c>
      <c r="C551">
        <v>5</v>
      </c>
      <c r="D551">
        <v>5</v>
      </c>
      <c r="E551" t="s">
        <v>387</v>
      </c>
      <c r="F551">
        <v>412</v>
      </c>
      <c r="G551">
        <v>1</v>
      </c>
      <c r="H551">
        <v>46</v>
      </c>
      <c r="I551" t="s">
        <v>386</v>
      </c>
      <c r="J551" t="s">
        <v>386</v>
      </c>
      <c r="K551">
        <v>100000</v>
      </c>
      <c r="L551">
        <v>4</v>
      </c>
      <c r="M551">
        <v>4</v>
      </c>
      <c r="N551">
        <v>6</v>
      </c>
      <c r="O551">
        <v>0</v>
      </c>
      <c r="P551">
        <v>3</v>
      </c>
      <c r="Q551">
        <v>5</v>
      </c>
      <c r="R551">
        <v>5</v>
      </c>
      <c r="S551">
        <v>3</v>
      </c>
      <c r="T551">
        <v>0</v>
      </c>
      <c r="U551">
        <v>60</v>
      </c>
      <c r="V551">
        <v>1902.4677646</v>
      </c>
      <c r="AH551">
        <f t="shared" si="77"/>
        <v>4</v>
      </c>
      <c r="AI551">
        <f t="shared" si="78"/>
        <v>6</v>
      </c>
      <c r="AJ551" t="str">
        <f t="shared" si="79"/>
        <v/>
      </c>
      <c r="AK551">
        <f t="shared" si="80"/>
        <v>3</v>
      </c>
      <c r="AL551">
        <f t="shared" si="73"/>
        <v>5</v>
      </c>
      <c r="AM551">
        <f t="shared" si="74"/>
        <v>5</v>
      </c>
      <c r="AN551">
        <f t="shared" si="75"/>
        <v>3</v>
      </c>
      <c r="AO551" t="str">
        <f t="shared" si="76"/>
        <v/>
      </c>
    </row>
    <row r="552" spans="1:41">
      <c r="A552">
        <f t="shared" si="81"/>
        <v>548</v>
      </c>
      <c r="B552" t="s">
        <v>278</v>
      </c>
      <c r="C552">
        <v>5</v>
      </c>
      <c r="D552">
        <v>5</v>
      </c>
      <c r="E552" t="s">
        <v>387</v>
      </c>
      <c r="F552">
        <v>412</v>
      </c>
      <c r="G552">
        <v>1</v>
      </c>
      <c r="H552">
        <v>47</v>
      </c>
      <c r="I552" t="s">
        <v>386</v>
      </c>
      <c r="J552" t="s">
        <v>386</v>
      </c>
      <c r="K552">
        <v>100000</v>
      </c>
      <c r="L552">
        <v>4</v>
      </c>
      <c r="M552">
        <v>4</v>
      </c>
      <c r="N552">
        <v>6</v>
      </c>
      <c r="O552">
        <v>0</v>
      </c>
      <c r="P552">
        <v>3</v>
      </c>
      <c r="Q552">
        <v>4</v>
      </c>
      <c r="R552">
        <v>4</v>
      </c>
      <c r="S552">
        <v>3</v>
      </c>
      <c r="T552">
        <v>0</v>
      </c>
      <c r="U552">
        <v>61</v>
      </c>
      <c r="V552">
        <v>1918.8604000800001</v>
      </c>
      <c r="AH552">
        <f t="shared" si="77"/>
        <v>4</v>
      </c>
      <c r="AI552">
        <f t="shared" si="78"/>
        <v>6</v>
      </c>
      <c r="AJ552" t="str">
        <f t="shared" si="79"/>
        <v/>
      </c>
      <c r="AK552">
        <f t="shared" si="80"/>
        <v>3</v>
      </c>
      <c r="AL552">
        <f t="shared" si="73"/>
        <v>4</v>
      </c>
      <c r="AM552">
        <f t="shared" si="74"/>
        <v>4</v>
      </c>
      <c r="AN552">
        <f t="shared" si="75"/>
        <v>3</v>
      </c>
      <c r="AO552" t="str">
        <f t="shared" si="76"/>
        <v/>
      </c>
    </row>
    <row r="553" spans="1:41">
      <c r="A553">
        <f t="shared" si="81"/>
        <v>549</v>
      </c>
      <c r="B553" t="s">
        <v>278</v>
      </c>
      <c r="C553">
        <v>5</v>
      </c>
      <c r="D553">
        <v>5</v>
      </c>
      <c r="E553" t="s">
        <v>387</v>
      </c>
      <c r="F553">
        <v>412</v>
      </c>
      <c r="G553">
        <v>1</v>
      </c>
      <c r="H553">
        <v>48</v>
      </c>
      <c r="I553" t="s">
        <v>386</v>
      </c>
      <c r="J553" t="s">
        <v>386</v>
      </c>
      <c r="K553">
        <v>100000</v>
      </c>
      <c r="L553">
        <v>4</v>
      </c>
      <c r="M553">
        <v>4</v>
      </c>
      <c r="N553">
        <v>6</v>
      </c>
      <c r="O553">
        <v>0</v>
      </c>
      <c r="P553">
        <v>3</v>
      </c>
      <c r="Q553">
        <v>4</v>
      </c>
      <c r="R553">
        <v>4</v>
      </c>
      <c r="S553">
        <v>3</v>
      </c>
      <c r="T553">
        <v>0</v>
      </c>
      <c r="U553">
        <v>62</v>
      </c>
      <c r="V553">
        <v>1936.6966747399999</v>
      </c>
      <c r="AH553">
        <f t="shared" si="77"/>
        <v>4</v>
      </c>
      <c r="AI553">
        <f t="shared" si="78"/>
        <v>6</v>
      </c>
      <c r="AJ553" t="str">
        <f t="shared" si="79"/>
        <v/>
      </c>
      <c r="AK553">
        <f t="shared" si="80"/>
        <v>3</v>
      </c>
      <c r="AL553">
        <f t="shared" si="73"/>
        <v>4</v>
      </c>
      <c r="AM553">
        <f t="shared" si="74"/>
        <v>4</v>
      </c>
      <c r="AN553">
        <f t="shared" si="75"/>
        <v>3</v>
      </c>
      <c r="AO553" t="str">
        <f t="shared" si="76"/>
        <v/>
      </c>
    </row>
    <row r="554" spans="1:41">
      <c r="A554">
        <f t="shared" si="81"/>
        <v>550</v>
      </c>
      <c r="B554" t="s">
        <v>278</v>
      </c>
      <c r="C554">
        <v>5</v>
      </c>
      <c r="D554">
        <v>5</v>
      </c>
      <c r="E554" t="s">
        <v>387</v>
      </c>
      <c r="F554">
        <v>412</v>
      </c>
      <c r="G554">
        <v>1</v>
      </c>
      <c r="H554">
        <v>49</v>
      </c>
      <c r="I554" t="s">
        <v>386</v>
      </c>
      <c r="J554" t="s">
        <v>386</v>
      </c>
      <c r="K554">
        <v>100000</v>
      </c>
      <c r="L554">
        <v>4</v>
      </c>
      <c r="M554">
        <v>4</v>
      </c>
      <c r="N554">
        <v>7</v>
      </c>
      <c r="O554">
        <v>0</v>
      </c>
      <c r="P554">
        <v>3</v>
      </c>
      <c r="Q554">
        <v>5</v>
      </c>
      <c r="R554">
        <v>5</v>
      </c>
      <c r="S554">
        <v>4</v>
      </c>
      <c r="T554">
        <v>0</v>
      </c>
      <c r="U554">
        <v>63</v>
      </c>
      <c r="V554">
        <v>1955.2154082</v>
      </c>
      <c r="AH554">
        <f t="shared" si="77"/>
        <v>4</v>
      </c>
      <c r="AI554">
        <f t="shared" si="78"/>
        <v>7</v>
      </c>
      <c r="AJ554" t="str">
        <f t="shared" si="79"/>
        <v/>
      </c>
      <c r="AK554">
        <f t="shared" si="80"/>
        <v>3</v>
      </c>
      <c r="AL554">
        <f t="shared" si="73"/>
        <v>5</v>
      </c>
      <c r="AM554">
        <f t="shared" si="74"/>
        <v>5</v>
      </c>
      <c r="AN554">
        <f t="shared" si="75"/>
        <v>4</v>
      </c>
      <c r="AO554" t="str">
        <f t="shared" si="76"/>
        <v/>
      </c>
    </row>
    <row r="555" spans="1:41">
      <c r="A555">
        <f t="shared" si="81"/>
        <v>551</v>
      </c>
      <c r="B555" t="s">
        <v>278</v>
      </c>
      <c r="C555">
        <v>5</v>
      </c>
      <c r="D555">
        <v>5</v>
      </c>
      <c r="E555" t="s">
        <v>387</v>
      </c>
      <c r="F555">
        <v>412</v>
      </c>
      <c r="G555">
        <v>1</v>
      </c>
      <c r="H555">
        <v>50</v>
      </c>
      <c r="I555" t="s">
        <v>386</v>
      </c>
      <c r="J555" t="s">
        <v>386</v>
      </c>
      <c r="K555">
        <v>100000</v>
      </c>
      <c r="L555">
        <v>5</v>
      </c>
      <c r="M555">
        <v>5</v>
      </c>
      <c r="N555">
        <v>7</v>
      </c>
      <c r="O555">
        <v>0</v>
      </c>
      <c r="P555">
        <v>4</v>
      </c>
      <c r="Q555">
        <v>6</v>
      </c>
      <c r="R555">
        <v>7</v>
      </c>
      <c r="S555">
        <v>5</v>
      </c>
      <c r="T555">
        <v>0</v>
      </c>
      <c r="U555">
        <v>64</v>
      </c>
      <c r="V555">
        <v>1972.6066370200001</v>
      </c>
      <c r="AH555">
        <f t="shared" si="77"/>
        <v>5</v>
      </c>
      <c r="AI555">
        <f t="shared" si="78"/>
        <v>7</v>
      </c>
      <c r="AJ555" t="str">
        <f t="shared" si="79"/>
        <v/>
      </c>
      <c r="AK555">
        <f t="shared" si="80"/>
        <v>4</v>
      </c>
      <c r="AL555">
        <f t="shared" si="73"/>
        <v>6</v>
      </c>
      <c r="AM555">
        <f t="shared" si="74"/>
        <v>7</v>
      </c>
      <c r="AN555">
        <f t="shared" si="75"/>
        <v>5</v>
      </c>
      <c r="AO555" t="str">
        <f t="shared" si="76"/>
        <v/>
      </c>
    </row>
    <row r="556" spans="1:41">
      <c r="A556">
        <f t="shared" si="81"/>
        <v>552</v>
      </c>
      <c r="B556" t="s">
        <v>278</v>
      </c>
      <c r="C556">
        <v>5</v>
      </c>
      <c r="D556">
        <v>5</v>
      </c>
      <c r="E556" t="s">
        <v>387</v>
      </c>
      <c r="F556">
        <v>412</v>
      </c>
      <c r="G556">
        <v>1</v>
      </c>
      <c r="H556">
        <v>51</v>
      </c>
      <c r="I556" t="s">
        <v>386</v>
      </c>
      <c r="J556" t="s">
        <v>386</v>
      </c>
      <c r="K556">
        <v>100000</v>
      </c>
      <c r="L556">
        <v>5</v>
      </c>
      <c r="M556">
        <v>5</v>
      </c>
      <c r="N556">
        <v>7</v>
      </c>
      <c r="O556">
        <v>0</v>
      </c>
      <c r="P556">
        <v>5</v>
      </c>
      <c r="Q556">
        <v>8</v>
      </c>
      <c r="R556">
        <v>9</v>
      </c>
      <c r="S556">
        <v>6</v>
      </c>
      <c r="T556">
        <v>0</v>
      </c>
      <c r="U556">
        <v>65</v>
      </c>
      <c r="V556">
        <v>1989.25022162</v>
      </c>
      <c r="AH556">
        <f t="shared" si="77"/>
        <v>5</v>
      </c>
      <c r="AI556">
        <f t="shared" si="78"/>
        <v>7</v>
      </c>
      <c r="AJ556" t="str">
        <f t="shared" si="79"/>
        <v/>
      </c>
      <c r="AK556">
        <f t="shared" si="80"/>
        <v>5</v>
      </c>
      <c r="AL556">
        <f t="shared" si="73"/>
        <v>8</v>
      </c>
      <c r="AM556">
        <f t="shared" si="74"/>
        <v>9</v>
      </c>
      <c r="AN556">
        <f t="shared" si="75"/>
        <v>6</v>
      </c>
      <c r="AO556" t="str">
        <f t="shared" si="76"/>
        <v/>
      </c>
    </row>
    <row r="557" spans="1:41">
      <c r="A557">
        <f t="shared" si="81"/>
        <v>553</v>
      </c>
      <c r="B557" t="s">
        <v>278</v>
      </c>
      <c r="C557">
        <v>5</v>
      </c>
      <c r="D557">
        <v>5</v>
      </c>
      <c r="E557" t="s">
        <v>387</v>
      </c>
      <c r="F557">
        <v>412</v>
      </c>
      <c r="G557">
        <v>1</v>
      </c>
      <c r="H557">
        <v>52</v>
      </c>
      <c r="I557" t="s">
        <v>386</v>
      </c>
      <c r="J557" t="s">
        <v>386</v>
      </c>
      <c r="K557">
        <v>100000</v>
      </c>
      <c r="L557">
        <v>5</v>
      </c>
      <c r="M557">
        <v>5</v>
      </c>
      <c r="N557">
        <v>7</v>
      </c>
      <c r="O557">
        <v>0</v>
      </c>
      <c r="P557">
        <v>6</v>
      </c>
      <c r="Q557">
        <v>10</v>
      </c>
      <c r="R557">
        <v>11</v>
      </c>
      <c r="S557">
        <v>8</v>
      </c>
      <c r="T557">
        <v>0</v>
      </c>
      <c r="U557">
        <v>67</v>
      </c>
      <c r="V557">
        <v>2005.8383159099999</v>
      </c>
      <c r="AH557">
        <f t="shared" si="77"/>
        <v>5</v>
      </c>
      <c r="AI557">
        <f t="shared" si="78"/>
        <v>7</v>
      </c>
      <c r="AJ557" t="str">
        <f t="shared" si="79"/>
        <v/>
      </c>
      <c r="AK557">
        <f t="shared" si="80"/>
        <v>6</v>
      </c>
      <c r="AL557">
        <f t="shared" si="73"/>
        <v>10</v>
      </c>
      <c r="AM557">
        <f t="shared" si="74"/>
        <v>11</v>
      </c>
      <c r="AN557">
        <f t="shared" si="75"/>
        <v>8</v>
      </c>
      <c r="AO557" t="str">
        <f t="shared" si="76"/>
        <v/>
      </c>
    </row>
    <row r="558" spans="1:41">
      <c r="A558">
        <f t="shared" si="81"/>
        <v>554</v>
      </c>
      <c r="B558" t="s">
        <v>278</v>
      </c>
      <c r="C558">
        <v>5</v>
      </c>
      <c r="D558">
        <v>5</v>
      </c>
      <c r="E558" t="s">
        <v>387</v>
      </c>
      <c r="F558">
        <v>412</v>
      </c>
      <c r="G558">
        <v>1</v>
      </c>
      <c r="H558">
        <v>53</v>
      </c>
      <c r="I558" t="s">
        <v>386</v>
      </c>
      <c r="J558" t="s">
        <v>386</v>
      </c>
      <c r="K558">
        <v>100000</v>
      </c>
      <c r="L558">
        <v>5</v>
      </c>
      <c r="M558">
        <v>5</v>
      </c>
      <c r="N558">
        <v>8</v>
      </c>
      <c r="O558">
        <v>0</v>
      </c>
      <c r="P558">
        <v>7</v>
      </c>
      <c r="Q558">
        <v>11</v>
      </c>
      <c r="R558">
        <v>12</v>
      </c>
      <c r="S558">
        <v>8</v>
      </c>
      <c r="T558">
        <v>0</v>
      </c>
      <c r="U558">
        <v>69</v>
      </c>
      <c r="V558">
        <v>2023.9431470500001</v>
      </c>
      <c r="AH558">
        <f t="shared" si="77"/>
        <v>5</v>
      </c>
      <c r="AI558">
        <f t="shared" si="78"/>
        <v>8</v>
      </c>
      <c r="AJ558" t="str">
        <f t="shared" si="79"/>
        <v/>
      </c>
      <c r="AK558">
        <f t="shared" si="80"/>
        <v>7</v>
      </c>
      <c r="AL558">
        <f t="shared" si="73"/>
        <v>11</v>
      </c>
      <c r="AM558">
        <f t="shared" si="74"/>
        <v>12</v>
      </c>
      <c r="AN558">
        <f t="shared" si="75"/>
        <v>8</v>
      </c>
      <c r="AO558" t="str">
        <f t="shared" si="76"/>
        <v/>
      </c>
    </row>
    <row r="559" spans="1:41">
      <c r="A559">
        <f t="shared" si="81"/>
        <v>555</v>
      </c>
      <c r="B559" t="s">
        <v>278</v>
      </c>
      <c r="C559">
        <v>5</v>
      </c>
      <c r="D559">
        <v>5</v>
      </c>
      <c r="E559" t="s">
        <v>387</v>
      </c>
      <c r="F559">
        <v>412</v>
      </c>
      <c r="G559">
        <v>1</v>
      </c>
      <c r="H559">
        <v>54</v>
      </c>
      <c r="I559" t="s">
        <v>386</v>
      </c>
      <c r="J559" t="s">
        <v>386</v>
      </c>
      <c r="K559">
        <v>100000</v>
      </c>
      <c r="L559">
        <v>6</v>
      </c>
      <c r="M559">
        <v>6</v>
      </c>
      <c r="N559">
        <v>8</v>
      </c>
      <c r="O559">
        <v>0</v>
      </c>
      <c r="P559">
        <v>8</v>
      </c>
      <c r="Q559">
        <v>12</v>
      </c>
      <c r="R559">
        <v>11</v>
      </c>
      <c r="S559">
        <v>7</v>
      </c>
      <c r="T559">
        <v>0</v>
      </c>
      <c r="U559">
        <v>71</v>
      </c>
      <c r="V559">
        <v>2043.9314802599999</v>
      </c>
      <c r="AH559">
        <f t="shared" si="77"/>
        <v>6</v>
      </c>
      <c r="AI559">
        <f t="shared" si="78"/>
        <v>8</v>
      </c>
      <c r="AJ559" t="str">
        <f t="shared" si="79"/>
        <v/>
      </c>
      <c r="AK559">
        <f t="shared" si="80"/>
        <v>8</v>
      </c>
      <c r="AL559">
        <f t="shared" si="73"/>
        <v>12</v>
      </c>
      <c r="AM559">
        <f t="shared" si="74"/>
        <v>11</v>
      </c>
      <c r="AN559">
        <f t="shared" si="75"/>
        <v>7</v>
      </c>
      <c r="AO559" t="str">
        <f t="shared" si="76"/>
        <v/>
      </c>
    </row>
    <row r="560" spans="1:41">
      <c r="A560">
        <f t="shared" si="81"/>
        <v>556</v>
      </c>
      <c r="B560" t="s">
        <v>278</v>
      </c>
      <c r="C560">
        <v>5</v>
      </c>
      <c r="D560">
        <v>5</v>
      </c>
      <c r="E560" t="s">
        <v>387</v>
      </c>
      <c r="F560">
        <v>412</v>
      </c>
      <c r="G560">
        <v>1</v>
      </c>
      <c r="H560">
        <v>55</v>
      </c>
      <c r="I560" t="s">
        <v>386</v>
      </c>
      <c r="J560" t="s">
        <v>386</v>
      </c>
      <c r="K560">
        <v>100000</v>
      </c>
      <c r="L560">
        <v>6</v>
      </c>
      <c r="M560">
        <v>6</v>
      </c>
      <c r="N560">
        <v>9</v>
      </c>
      <c r="O560">
        <v>0</v>
      </c>
      <c r="P560">
        <v>7</v>
      </c>
      <c r="Q560">
        <v>11</v>
      </c>
      <c r="R560">
        <v>10</v>
      </c>
      <c r="S560">
        <v>6</v>
      </c>
      <c r="T560">
        <v>0</v>
      </c>
      <c r="U560">
        <v>73</v>
      </c>
      <c r="V560">
        <v>2066.50056679</v>
      </c>
      <c r="AH560">
        <f t="shared" si="77"/>
        <v>6</v>
      </c>
      <c r="AI560">
        <f t="shared" si="78"/>
        <v>9</v>
      </c>
      <c r="AJ560" t="str">
        <f t="shared" si="79"/>
        <v/>
      </c>
      <c r="AK560">
        <f t="shared" si="80"/>
        <v>7</v>
      </c>
      <c r="AL560">
        <f t="shared" si="73"/>
        <v>11</v>
      </c>
      <c r="AM560">
        <f t="shared" si="74"/>
        <v>10</v>
      </c>
      <c r="AN560">
        <f t="shared" si="75"/>
        <v>6</v>
      </c>
      <c r="AO560" t="str">
        <f t="shared" si="76"/>
        <v/>
      </c>
    </row>
    <row r="561" spans="1:41">
      <c r="A561">
        <f t="shared" si="81"/>
        <v>557</v>
      </c>
      <c r="B561" t="s">
        <v>278</v>
      </c>
      <c r="C561">
        <v>5</v>
      </c>
      <c r="D561">
        <v>5</v>
      </c>
      <c r="E561" t="s">
        <v>387</v>
      </c>
      <c r="F561">
        <v>412</v>
      </c>
      <c r="G561">
        <v>1</v>
      </c>
      <c r="H561">
        <v>56</v>
      </c>
      <c r="I561" t="s">
        <v>386</v>
      </c>
      <c r="J561" t="s">
        <v>386</v>
      </c>
      <c r="K561">
        <v>100000</v>
      </c>
      <c r="L561">
        <v>6</v>
      </c>
      <c r="M561">
        <v>6</v>
      </c>
      <c r="N561">
        <v>9</v>
      </c>
      <c r="O561">
        <v>0</v>
      </c>
      <c r="P561">
        <v>6</v>
      </c>
      <c r="Q561">
        <v>8</v>
      </c>
      <c r="R561">
        <v>8</v>
      </c>
      <c r="S561">
        <v>5</v>
      </c>
      <c r="T561">
        <v>0</v>
      </c>
      <c r="U561">
        <v>75</v>
      </c>
      <c r="V561">
        <v>2091.7323936299999</v>
      </c>
      <c r="AH561">
        <f t="shared" si="77"/>
        <v>6</v>
      </c>
      <c r="AI561">
        <f t="shared" si="78"/>
        <v>9</v>
      </c>
      <c r="AJ561" t="str">
        <f t="shared" si="79"/>
        <v/>
      </c>
      <c r="AK561">
        <f t="shared" si="80"/>
        <v>6</v>
      </c>
      <c r="AL561">
        <f t="shared" si="73"/>
        <v>8</v>
      </c>
      <c r="AM561">
        <f t="shared" si="74"/>
        <v>8</v>
      </c>
      <c r="AN561">
        <f t="shared" si="75"/>
        <v>5</v>
      </c>
      <c r="AO561" t="str">
        <f t="shared" si="76"/>
        <v/>
      </c>
    </row>
    <row r="562" spans="1:41">
      <c r="A562">
        <f t="shared" si="81"/>
        <v>558</v>
      </c>
      <c r="B562" t="s">
        <v>278</v>
      </c>
      <c r="C562">
        <v>5</v>
      </c>
      <c r="D562">
        <v>5</v>
      </c>
      <c r="E562" t="s">
        <v>387</v>
      </c>
      <c r="F562">
        <v>412</v>
      </c>
      <c r="G562">
        <v>1</v>
      </c>
      <c r="H562">
        <v>57</v>
      </c>
      <c r="I562" t="s">
        <v>386</v>
      </c>
      <c r="J562" t="s">
        <v>386</v>
      </c>
      <c r="K562">
        <v>100000</v>
      </c>
      <c r="L562">
        <v>6</v>
      </c>
      <c r="M562">
        <v>6</v>
      </c>
      <c r="N562">
        <v>9</v>
      </c>
      <c r="O562">
        <v>0</v>
      </c>
      <c r="P562">
        <v>5</v>
      </c>
      <c r="Q562">
        <v>7</v>
      </c>
      <c r="R562">
        <v>7</v>
      </c>
      <c r="S562">
        <v>5</v>
      </c>
      <c r="T562">
        <v>0</v>
      </c>
      <c r="U562">
        <v>76</v>
      </c>
      <c r="V562">
        <v>2119.23127802</v>
      </c>
      <c r="AH562">
        <f t="shared" si="77"/>
        <v>6</v>
      </c>
      <c r="AI562">
        <f t="shared" si="78"/>
        <v>9</v>
      </c>
      <c r="AJ562" t="str">
        <f t="shared" si="79"/>
        <v/>
      </c>
      <c r="AK562">
        <f t="shared" si="80"/>
        <v>5</v>
      </c>
      <c r="AL562">
        <f t="shared" si="73"/>
        <v>7</v>
      </c>
      <c r="AM562">
        <f t="shared" si="74"/>
        <v>7</v>
      </c>
      <c r="AN562">
        <f t="shared" si="75"/>
        <v>5</v>
      </c>
      <c r="AO562" t="str">
        <f t="shared" si="76"/>
        <v/>
      </c>
    </row>
    <row r="563" spans="1:41">
      <c r="A563">
        <f t="shared" si="81"/>
        <v>559</v>
      </c>
      <c r="B563" t="s">
        <v>278</v>
      </c>
      <c r="C563">
        <v>5</v>
      </c>
      <c r="D563">
        <v>5</v>
      </c>
      <c r="E563" t="s">
        <v>387</v>
      </c>
      <c r="F563">
        <v>412</v>
      </c>
      <c r="G563">
        <v>1</v>
      </c>
      <c r="H563">
        <v>58</v>
      </c>
      <c r="I563" t="s">
        <v>386</v>
      </c>
      <c r="J563" t="s">
        <v>386</v>
      </c>
      <c r="K563">
        <v>100000</v>
      </c>
      <c r="L563">
        <v>7</v>
      </c>
      <c r="M563">
        <v>7</v>
      </c>
      <c r="N563">
        <v>10</v>
      </c>
      <c r="O563">
        <v>0</v>
      </c>
      <c r="P563">
        <v>5</v>
      </c>
      <c r="Q563">
        <v>7</v>
      </c>
      <c r="R563">
        <v>8</v>
      </c>
      <c r="S563">
        <v>6</v>
      </c>
      <c r="T563">
        <v>0</v>
      </c>
      <c r="U563">
        <v>78</v>
      </c>
      <c r="V563">
        <v>2150.4831163200001</v>
      </c>
      <c r="AH563">
        <f t="shared" si="77"/>
        <v>7</v>
      </c>
      <c r="AI563">
        <f t="shared" si="78"/>
        <v>10</v>
      </c>
      <c r="AJ563" t="str">
        <f t="shared" si="79"/>
        <v/>
      </c>
      <c r="AK563">
        <f t="shared" si="80"/>
        <v>5</v>
      </c>
      <c r="AL563">
        <f t="shared" si="73"/>
        <v>7</v>
      </c>
      <c r="AM563">
        <f t="shared" si="74"/>
        <v>8</v>
      </c>
      <c r="AN563">
        <f t="shared" si="75"/>
        <v>6</v>
      </c>
      <c r="AO563" t="str">
        <f t="shared" si="76"/>
        <v/>
      </c>
    </row>
    <row r="564" spans="1:41">
      <c r="A564">
        <f t="shared" si="81"/>
        <v>560</v>
      </c>
      <c r="B564" t="s">
        <v>278</v>
      </c>
      <c r="C564">
        <v>5</v>
      </c>
      <c r="D564">
        <v>5</v>
      </c>
      <c r="E564" t="s">
        <v>387</v>
      </c>
      <c r="F564">
        <v>412</v>
      </c>
      <c r="G564">
        <v>1</v>
      </c>
      <c r="H564">
        <v>59</v>
      </c>
      <c r="I564" t="s">
        <v>386</v>
      </c>
      <c r="J564" t="s">
        <v>386</v>
      </c>
      <c r="K564">
        <v>100000</v>
      </c>
      <c r="L564">
        <v>7</v>
      </c>
      <c r="M564">
        <v>7</v>
      </c>
      <c r="N564">
        <v>10</v>
      </c>
      <c r="O564">
        <v>0</v>
      </c>
      <c r="P564">
        <v>6</v>
      </c>
      <c r="Q564">
        <v>9</v>
      </c>
      <c r="R564">
        <v>11</v>
      </c>
      <c r="S564">
        <v>8</v>
      </c>
      <c r="T564">
        <v>0</v>
      </c>
      <c r="U564">
        <v>80</v>
      </c>
      <c r="V564">
        <v>2187.7464905800002</v>
      </c>
      <c r="AH564">
        <f t="shared" si="77"/>
        <v>7</v>
      </c>
      <c r="AI564">
        <f t="shared" si="78"/>
        <v>10</v>
      </c>
      <c r="AJ564" t="str">
        <f t="shared" si="79"/>
        <v/>
      </c>
      <c r="AK564">
        <f t="shared" si="80"/>
        <v>6</v>
      </c>
      <c r="AL564">
        <f t="shared" si="73"/>
        <v>9</v>
      </c>
      <c r="AM564">
        <f t="shared" si="74"/>
        <v>11</v>
      </c>
      <c r="AN564">
        <f t="shared" si="75"/>
        <v>8</v>
      </c>
      <c r="AO564" t="str">
        <f t="shared" si="76"/>
        <v/>
      </c>
    </row>
    <row r="565" spans="1:41">
      <c r="A565">
        <f t="shared" si="81"/>
        <v>561</v>
      </c>
      <c r="B565" t="s">
        <v>278</v>
      </c>
      <c r="C565">
        <v>5</v>
      </c>
      <c r="D565">
        <v>5</v>
      </c>
      <c r="E565" t="s">
        <v>387</v>
      </c>
      <c r="F565">
        <v>412</v>
      </c>
      <c r="G565">
        <v>1</v>
      </c>
      <c r="H565">
        <v>60</v>
      </c>
      <c r="I565" t="s">
        <v>386</v>
      </c>
      <c r="J565" t="s">
        <v>386</v>
      </c>
      <c r="K565">
        <v>100000</v>
      </c>
      <c r="L565">
        <v>7</v>
      </c>
      <c r="M565">
        <v>7</v>
      </c>
      <c r="N565">
        <v>10</v>
      </c>
      <c r="O565">
        <v>0</v>
      </c>
      <c r="P565">
        <v>7</v>
      </c>
      <c r="Q565">
        <v>12</v>
      </c>
      <c r="R565">
        <v>13</v>
      </c>
      <c r="S565">
        <v>9</v>
      </c>
      <c r="T565">
        <v>0</v>
      </c>
      <c r="U565">
        <v>82</v>
      </c>
      <c r="V565">
        <v>2233.2040946900001</v>
      </c>
      <c r="AH565">
        <f t="shared" si="77"/>
        <v>7</v>
      </c>
      <c r="AI565">
        <f t="shared" si="78"/>
        <v>10</v>
      </c>
      <c r="AJ565" t="str">
        <f t="shared" si="79"/>
        <v/>
      </c>
      <c r="AK565">
        <f t="shared" si="80"/>
        <v>7</v>
      </c>
      <c r="AL565">
        <f t="shared" si="73"/>
        <v>12</v>
      </c>
      <c r="AM565">
        <f t="shared" si="74"/>
        <v>13</v>
      </c>
      <c r="AN565">
        <f t="shared" si="75"/>
        <v>9</v>
      </c>
      <c r="AO565" t="str">
        <f t="shared" si="76"/>
        <v/>
      </c>
    </row>
    <row r="566" spans="1:41">
      <c r="A566">
        <f t="shared" si="81"/>
        <v>562</v>
      </c>
      <c r="B566" t="s">
        <v>278</v>
      </c>
      <c r="C566">
        <v>5</v>
      </c>
      <c r="D566">
        <v>5</v>
      </c>
      <c r="E566" t="s">
        <v>387</v>
      </c>
      <c r="F566">
        <v>412</v>
      </c>
      <c r="G566">
        <v>1</v>
      </c>
      <c r="H566">
        <v>61</v>
      </c>
      <c r="I566" t="s">
        <v>386</v>
      </c>
      <c r="J566" t="s">
        <v>386</v>
      </c>
      <c r="K566">
        <v>100000</v>
      </c>
      <c r="L566">
        <v>8</v>
      </c>
      <c r="M566">
        <v>8</v>
      </c>
      <c r="N566">
        <v>11</v>
      </c>
      <c r="O566">
        <v>0</v>
      </c>
      <c r="P566">
        <v>9</v>
      </c>
      <c r="Q566">
        <v>14</v>
      </c>
      <c r="R566">
        <v>15</v>
      </c>
      <c r="S566">
        <v>10</v>
      </c>
      <c r="T566">
        <v>0</v>
      </c>
      <c r="U566">
        <v>84</v>
      </c>
      <c r="V566">
        <v>2287.4825356299998</v>
      </c>
      <c r="AH566">
        <f t="shared" si="77"/>
        <v>8</v>
      </c>
      <c r="AI566">
        <f t="shared" si="78"/>
        <v>11</v>
      </c>
      <c r="AJ566" t="str">
        <f t="shared" si="79"/>
        <v/>
      </c>
      <c r="AK566">
        <f t="shared" si="80"/>
        <v>9</v>
      </c>
      <c r="AL566">
        <f t="shared" si="73"/>
        <v>14</v>
      </c>
      <c r="AM566">
        <f t="shared" si="74"/>
        <v>15</v>
      </c>
      <c r="AN566">
        <f t="shared" si="75"/>
        <v>10</v>
      </c>
      <c r="AO566" t="str">
        <f t="shared" si="76"/>
        <v/>
      </c>
    </row>
    <row r="567" spans="1:41">
      <c r="A567">
        <f t="shared" si="81"/>
        <v>563</v>
      </c>
      <c r="B567" t="s">
        <v>278</v>
      </c>
      <c r="C567">
        <v>5</v>
      </c>
      <c r="D567">
        <v>5</v>
      </c>
      <c r="E567" t="s">
        <v>387</v>
      </c>
      <c r="F567">
        <v>412</v>
      </c>
      <c r="G567">
        <v>1</v>
      </c>
      <c r="H567">
        <v>62</v>
      </c>
      <c r="I567" t="s">
        <v>386</v>
      </c>
      <c r="J567" t="s">
        <v>386</v>
      </c>
      <c r="K567">
        <v>100000</v>
      </c>
      <c r="L567">
        <v>8</v>
      </c>
      <c r="M567">
        <v>8</v>
      </c>
      <c r="N567">
        <v>11</v>
      </c>
      <c r="O567">
        <v>0</v>
      </c>
      <c r="P567">
        <v>10</v>
      </c>
      <c r="Q567">
        <v>15</v>
      </c>
      <c r="R567">
        <v>15</v>
      </c>
      <c r="S567">
        <v>10</v>
      </c>
      <c r="T567">
        <v>0</v>
      </c>
      <c r="U567">
        <v>87</v>
      </c>
      <c r="V567">
        <v>2353.6309594200002</v>
      </c>
      <c r="AH567">
        <f t="shared" si="77"/>
        <v>8</v>
      </c>
      <c r="AI567">
        <f t="shared" si="78"/>
        <v>11</v>
      </c>
      <c r="AJ567" t="str">
        <f t="shared" si="79"/>
        <v/>
      </c>
      <c r="AK567">
        <f t="shared" si="80"/>
        <v>10</v>
      </c>
      <c r="AL567">
        <f t="shared" si="73"/>
        <v>15</v>
      </c>
      <c r="AM567">
        <f t="shared" si="74"/>
        <v>15</v>
      </c>
      <c r="AN567">
        <f t="shared" si="75"/>
        <v>10</v>
      </c>
      <c r="AO567" t="str">
        <f t="shared" si="76"/>
        <v/>
      </c>
    </row>
    <row r="568" spans="1:41">
      <c r="A568">
        <f t="shared" si="81"/>
        <v>564</v>
      </c>
      <c r="B568" t="s">
        <v>278</v>
      </c>
      <c r="C568">
        <v>5</v>
      </c>
      <c r="D568">
        <v>5</v>
      </c>
      <c r="E568" t="s">
        <v>387</v>
      </c>
      <c r="F568">
        <v>412</v>
      </c>
      <c r="G568">
        <v>1</v>
      </c>
      <c r="H568">
        <v>63</v>
      </c>
      <c r="I568" t="s">
        <v>386</v>
      </c>
      <c r="J568" t="s">
        <v>386</v>
      </c>
      <c r="K568">
        <v>100000</v>
      </c>
      <c r="L568">
        <v>8</v>
      </c>
      <c r="M568">
        <v>8</v>
      </c>
      <c r="N568">
        <v>12</v>
      </c>
      <c r="O568">
        <v>0</v>
      </c>
      <c r="P568">
        <v>10</v>
      </c>
      <c r="Q568">
        <v>15</v>
      </c>
      <c r="R568">
        <v>15</v>
      </c>
      <c r="S568">
        <v>10</v>
      </c>
      <c r="T568">
        <v>0</v>
      </c>
      <c r="U568">
        <v>90</v>
      </c>
      <c r="V568">
        <v>2434.8220236100001</v>
      </c>
      <c r="AH568">
        <f t="shared" si="77"/>
        <v>8</v>
      </c>
      <c r="AI568">
        <f t="shared" si="78"/>
        <v>12</v>
      </c>
      <c r="AJ568" t="str">
        <f t="shared" si="79"/>
        <v/>
      </c>
      <c r="AK568">
        <f t="shared" si="80"/>
        <v>10</v>
      </c>
      <c r="AL568">
        <f t="shared" si="73"/>
        <v>15</v>
      </c>
      <c r="AM568">
        <f t="shared" si="74"/>
        <v>15</v>
      </c>
      <c r="AN568">
        <f t="shared" si="75"/>
        <v>10</v>
      </c>
      <c r="AO568" t="str">
        <f t="shared" si="76"/>
        <v/>
      </c>
    </row>
    <row r="569" spans="1:41">
      <c r="A569">
        <f t="shared" si="81"/>
        <v>565</v>
      </c>
      <c r="B569" t="s">
        <v>278</v>
      </c>
      <c r="C569">
        <v>5</v>
      </c>
      <c r="D569">
        <v>5</v>
      </c>
      <c r="E569" t="s">
        <v>387</v>
      </c>
      <c r="F569">
        <v>412</v>
      </c>
      <c r="G569">
        <v>1</v>
      </c>
      <c r="H569">
        <v>64</v>
      </c>
      <c r="I569" t="s">
        <v>386</v>
      </c>
      <c r="J569" t="s">
        <v>386</v>
      </c>
      <c r="K569">
        <v>100000</v>
      </c>
      <c r="L569">
        <v>9</v>
      </c>
      <c r="M569">
        <v>9</v>
      </c>
      <c r="N569">
        <v>13</v>
      </c>
      <c r="O569">
        <v>0</v>
      </c>
      <c r="P569">
        <v>10</v>
      </c>
      <c r="Q569">
        <v>15</v>
      </c>
      <c r="R569">
        <v>16</v>
      </c>
      <c r="S569">
        <v>11</v>
      </c>
      <c r="T569">
        <v>0</v>
      </c>
      <c r="U569">
        <v>93</v>
      </c>
      <c r="V569">
        <v>2537.6753714000001</v>
      </c>
      <c r="AH569">
        <f t="shared" si="77"/>
        <v>9</v>
      </c>
      <c r="AI569">
        <f t="shared" si="78"/>
        <v>13</v>
      </c>
      <c r="AJ569" t="str">
        <f t="shared" si="79"/>
        <v/>
      </c>
      <c r="AK569">
        <f t="shared" si="80"/>
        <v>10</v>
      </c>
      <c r="AL569">
        <f t="shared" si="73"/>
        <v>15</v>
      </c>
      <c r="AM569">
        <f t="shared" si="74"/>
        <v>16</v>
      </c>
      <c r="AN569">
        <f t="shared" si="75"/>
        <v>11</v>
      </c>
      <c r="AO569" t="str">
        <f t="shared" si="76"/>
        <v/>
      </c>
    </row>
    <row r="570" spans="1:41">
      <c r="A570">
        <f t="shared" si="81"/>
        <v>566</v>
      </c>
      <c r="B570" t="s">
        <v>278</v>
      </c>
      <c r="C570">
        <v>5</v>
      </c>
      <c r="D570">
        <v>5</v>
      </c>
      <c r="E570" t="s">
        <v>387</v>
      </c>
      <c r="F570">
        <v>412</v>
      </c>
      <c r="G570">
        <v>1</v>
      </c>
      <c r="H570">
        <v>65</v>
      </c>
      <c r="I570" t="s">
        <v>386</v>
      </c>
      <c r="J570" t="s">
        <v>386</v>
      </c>
      <c r="K570">
        <v>100000</v>
      </c>
      <c r="L570">
        <v>9</v>
      </c>
      <c r="M570">
        <v>9</v>
      </c>
      <c r="N570">
        <v>13</v>
      </c>
      <c r="O570">
        <v>0</v>
      </c>
      <c r="P570">
        <v>10</v>
      </c>
      <c r="Q570">
        <v>16</v>
      </c>
      <c r="R570">
        <v>17</v>
      </c>
      <c r="S570">
        <v>11</v>
      </c>
      <c r="T570">
        <v>0</v>
      </c>
      <c r="U570">
        <v>96</v>
      </c>
      <c r="V570">
        <v>2669.9489742599999</v>
      </c>
      <c r="AH570">
        <f t="shared" si="77"/>
        <v>9</v>
      </c>
      <c r="AI570">
        <f t="shared" si="78"/>
        <v>13</v>
      </c>
      <c r="AJ570" t="str">
        <f t="shared" si="79"/>
        <v/>
      </c>
      <c r="AK570">
        <f t="shared" si="80"/>
        <v>10</v>
      </c>
      <c r="AL570">
        <f t="shared" si="73"/>
        <v>16</v>
      </c>
      <c r="AM570">
        <f t="shared" si="74"/>
        <v>17</v>
      </c>
      <c r="AN570">
        <f t="shared" si="75"/>
        <v>11</v>
      </c>
      <c r="AO570" t="str">
        <f t="shared" si="76"/>
        <v/>
      </c>
    </row>
    <row r="571" spans="1:41">
      <c r="A571">
        <f t="shared" si="81"/>
        <v>567</v>
      </c>
      <c r="B571" t="s">
        <v>278</v>
      </c>
      <c r="C571">
        <v>5</v>
      </c>
      <c r="D571">
        <v>5</v>
      </c>
      <c r="E571" t="s">
        <v>387</v>
      </c>
      <c r="F571">
        <v>412</v>
      </c>
      <c r="G571">
        <v>1</v>
      </c>
      <c r="H571">
        <v>66</v>
      </c>
      <c r="I571" t="s">
        <v>386</v>
      </c>
      <c r="J571" t="s">
        <v>386</v>
      </c>
      <c r="K571">
        <v>100000</v>
      </c>
      <c r="L571">
        <v>10</v>
      </c>
      <c r="M571">
        <v>10</v>
      </c>
      <c r="N571">
        <v>14</v>
      </c>
      <c r="O571">
        <v>0</v>
      </c>
      <c r="P571">
        <v>11</v>
      </c>
      <c r="Q571">
        <v>17</v>
      </c>
      <c r="R571">
        <v>17</v>
      </c>
      <c r="S571">
        <v>12</v>
      </c>
      <c r="T571">
        <v>0</v>
      </c>
      <c r="U571">
        <v>99</v>
      </c>
      <c r="V571">
        <v>2837.3298652499998</v>
      </c>
      <c r="AH571">
        <f t="shared" si="77"/>
        <v>10</v>
      </c>
      <c r="AI571">
        <f t="shared" si="78"/>
        <v>14</v>
      </c>
      <c r="AJ571" t="str">
        <f t="shared" si="79"/>
        <v/>
      </c>
      <c r="AK571">
        <f t="shared" si="80"/>
        <v>11</v>
      </c>
      <c r="AL571">
        <f t="shared" si="73"/>
        <v>17</v>
      </c>
      <c r="AM571">
        <f t="shared" si="74"/>
        <v>17</v>
      </c>
      <c r="AN571">
        <f t="shared" si="75"/>
        <v>12</v>
      </c>
      <c r="AO571" t="str">
        <f t="shared" si="76"/>
        <v/>
      </c>
    </row>
    <row r="572" spans="1:41">
      <c r="A572">
        <f t="shared" si="81"/>
        <v>568</v>
      </c>
      <c r="B572" t="s">
        <v>278</v>
      </c>
      <c r="C572">
        <v>5</v>
      </c>
      <c r="D572">
        <v>5</v>
      </c>
      <c r="E572" t="s">
        <v>387</v>
      </c>
      <c r="F572">
        <v>412</v>
      </c>
      <c r="G572">
        <v>1</v>
      </c>
      <c r="H572">
        <v>67</v>
      </c>
      <c r="I572" t="s">
        <v>386</v>
      </c>
      <c r="J572" t="s">
        <v>386</v>
      </c>
      <c r="K572">
        <v>100000</v>
      </c>
      <c r="L572">
        <v>10</v>
      </c>
      <c r="M572">
        <v>10</v>
      </c>
      <c r="N572">
        <v>14</v>
      </c>
      <c r="O572">
        <v>0</v>
      </c>
      <c r="P572">
        <v>12</v>
      </c>
      <c r="Q572">
        <v>18</v>
      </c>
      <c r="R572">
        <v>18</v>
      </c>
      <c r="S572">
        <v>12</v>
      </c>
      <c r="T572">
        <v>0</v>
      </c>
      <c r="U572">
        <v>102</v>
      </c>
      <c r="V572">
        <v>3039.6713993100002</v>
      </c>
      <c r="AH572">
        <f t="shared" si="77"/>
        <v>10</v>
      </c>
      <c r="AI572">
        <f t="shared" si="78"/>
        <v>14</v>
      </c>
      <c r="AJ572" t="str">
        <f t="shared" si="79"/>
        <v/>
      </c>
      <c r="AK572">
        <f t="shared" si="80"/>
        <v>12</v>
      </c>
      <c r="AL572">
        <f t="shared" si="73"/>
        <v>18</v>
      </c>
      <c r="AM572">
        <f t="shared" si="74"/>
        <v>18</v>
      </c>
      <c r="AN572">
        <f t="shared" si="75"/>
        <v>12</v>
      </c>
      <c r="AO572" t="str">
        <f t="shared" si="76"/>
        <v/>
      </c>
    </row>
    <row r="573" spans="1:41">
      <c r="A573">
        <f t="shared" si="81"/>
        <v>569</v>
      </c>
      <c r="B573" t="s">
        <v>278</v>
      </c>
      <c r="C573">
        <v>5</v>
      </c>
      <c r="D573">
        <v>5</v>
      </c>
      <c r="E573" t="s">
        <v>387</v>
      </c>
      <c r="F573">
        <v>412</v>
      </c>
      <c r="G573">
        <v>1</v>
      </c>
      <c r="H573">
        <v>68</v>
      </c>
      <c r="I573" t="s">
        <v>386</v>
      </c>
      <c r="J573" t="s">
        <v>386</v>
      </c>
      <c r="K573">
        <v>100000</v>
      </c>
      <c r="L573">
        <v>11</v>
      </c>
      <c r="M573">
        <v>11</v>
      </c>
      <c r="N573">
        <v>15</v>
      </c>
      <c r="O573">
        <v>0</v>
      </c>
      <c r="P573">
        <v>12</v>
      </c>
      <c r="Q573">
        <v>18</v>
      </c>
      <c r="R573">
        <v>19</v>
      </c>
      <c r="S573">
        <v>13</v>
      </c>
      <c r="T573">
        <v>0</v>
      </c>
      <c r="U573">
        <v>106</v>
      </c>
      <c r="V573">
        <v>3273.1222373199998</v>
      </c>
      <c r="AH573">
        <f t="shared" si="77"/>
        <v>11</v>
      </c>
      <c r="AI573">
        <f t="shared" si="78"/>
        <v>15</v>
      </c>
      <c r="AJ573" t="str">
        <f t="shared" si="79"/>
        <v/>
      </c>
      <c r="AK573">
        <f t="shared" si="80"/>
        <v>12</v>
      </c>
      <c r="AL573">
        <f t="shared" si="73"/>
        <v>18</v>
      </c>
      <c r="AM573">
        <f t="shared" si="74"/>
        <v>19</v>
      </c>
      <c r="AN573">
        <f t="shared" si="75"/>
        <v>13</v>
      </c>
      <c r="AO573" t="str">
        <f t="shared" si="76"/>
        <v/>
      </c>
    </row>
    <row r="574" spans="1:41">
      <c r="A574">
        <f t="shared" si="81"/>
        <v>570</v>
      </c>
      <c r="B574" t="s">
        <v>278</v>
      </c>
      <c r="C574">
        <v>5</v>
      </c>
      <c r="D574">
        <v>5</v>
      </c>
      <c r="E574" t="s">
        <v>387</v>
      </c>
      <c r="F574">
        <v>412</v>
      </c>
      <c r="G574">
        <v>1</v>
      </c>
      <c r="H574">
        <v>69</v>
      </c>
      <c r="I574" t="s">
        <v>386</v>
      </c>
      <c r="J574" t="s">
        <v>386</v>
      </c>
      <c r="K574">
        <v>100000</v>
      </c>
      <c r="L574">
        <v>11</v>
      </c>
      <c r="M574">
        <v>11</v>
      </c>
      <c r="N574">
        <v>16</v>
      </c>
      <c r="O574">
        <v>0</v>
      </c>
      <c r="P574">
        <v>12</v>
      </c>
      <c r="Q574">
        <v>18</v>
      </c>
      <c r="R574">
        <v>19</v>
      </c>
      <c r="S574">
        <v>12</v>
      </c>
      <c r="T574">
        <v>0</v>
      </c>
      <c r="U574">
        <v>109</v>
      </c>
      <c r="V574">
        <v>3529.6050572099998</v>
      </c>
      <c r="AH574">
        <f t="shared" si="77"/>
        <v>11</v>
      </c>
      <c r="AI574">
        <f t="shared" si="78"/>
        <v>16</v>
      </c>
      <c r="AJ574" t="str">
        <f t="shared" si="79"/>
        <v/>
      </c>
      <c r="AK574">
        <f t="shared" si="80"/>
        <v>12</v>
      </c>
      <c r="AL574">
        <f t="shared" si="73"/>
        <v>18</v>
      </c>
      <c r="AM574">
        <f t="shared" si="74"/>
        <v>19</v>
      </c>
      <c r="AN574">
        <f t="shared" si="75"/>
        <v>12</v>
      </c>
      <c r="AO574" t="str">
        <f t="shared" si="76"/>
        <v/>
      </c>
    </row>
    <row r="575" spans="1:41">
      <c r="A575">
        <f t="shared" si="81"/>
        <v>571</v>
      </c>
      <c r="B575" t="s">
        <v>278</v>
      </c>
      <c r="C575">
        <v>5</v>
      </c>
      <c r="D575">
        <v>5</v>
      </c>
      <c r="E575" t="s">
        <v>387</v>
      </c>
      <c r="F575">
        <v>412</v>
      </c>
      <c r="G575">
        <v>1</v>
      </c>
      <c r="H575">
        <v>70</v>
      </c>
      <c r="I575" t="s">
        <v>386</v>
      </c>
      <c r="J575" t="s">
        <v>386</v>
      </c>
      <c r="K575">
        <v>100000</v>
      </c>
      <c r="L575">
        <v>12</v>
      </c>
      <c r="M575">
        <v>12</v>
      </c>
      <c r="N575">
        <v>16</v>
      </c>
      <c r="O575">
        <v>0</v>
      </c>
      <c r="P575">
        <v>12</v>
      </c>
      <c r="Q575">
        <v>18</v>
      </c>
      <c r="R575">
        <v>18</v>
      </c>
      <c r="S575">
        <v>12</v>
      </c>
      <c r="T575">
        <v>0</v>
      </c>
      <c r="U575">
        <v>112</v>
      </c>
      <c r="V575">
        <v>3805.8772002699998</v>
      </c>
      <c r="AH575">
        <f t="shared" si="77"/>
        <v>12</v>
      </c>
      <c r="AI575">
        <f t="shared" si="78"/>
        <v>16</v>
      </c>
      <c r="AJ575" t="str">
        <f t="shared" si="79"/>
        <v/>
      </c>
      <c r="AK575">
        <f t="shared" si="80"/>
        <v>12</v>
      </c>
      <c r="AL575">
        <f t="shared" si="73"/>
        <v>18</v>
      </c>
      <c r="AM575">
        <f t="shared" si="74"/>
        <v>18</v>
      </c>
      <c r="AN575">
        <f t="shared" si="75"/>
        <v>12</v>
      </c>
      <c r="AO575" t="str">
        <f t="shared" si="76"/>
        <v/>
      </c>
    </row>
    <row r="576" spans="1:41">
      <c r="A576">
        <f t="shared" si="81"/>
        <v>572</v>
      </c>
      <c r="B576" t="s">
        <v>278</v>
      </c>
      <c r="C576">
        <v>5</v>
      </c>
      <c r="D576">
        <v>5</v>
      </c>
      <c r="E576" t="s">
        <v>387</v>
      </c>
      <c r="F576">
        <v>412</v>
      </c>
      <c r="G576">
        <v>1</v>
      </c>
      <c r="H576">
        <v>71</v>
      </c>
      <c r="I576" t="s">
        <v>386</v>
      </c>
      <c r="J576" t="s">
        <v>386</v>
      </c>
      <c r="K576">
        <v>100000</v>
      </c>
      <c r="L576">
        <v>12</v>
      </c>
      <c r="M576">
        <v>12</v>
      </c>
      <c r="N576">
        <v>17</v>
      </c>
      <c r="O576">
        <v>0</v>
      </c>
      <c r="P576">
        <v>12</v>
      </c>
      <c r="Q576">
        <v>18</v>
      </c>
      <c r="R576">
        <v>18</v>
      </c>
      <c r="S576">
        <v>12</v>
      </c>
      <c r="T576">
        <v>0</v>
      </c>
      <c r="U576">
        <v>116</v>
      </c>
      <c r="V576">
        <v>4104.9676719299996</v>
      </c>
      <c r="AH576">
        <f t="shared" si="77"/>
        <v>12</v>
      </c>
      <c r="AI576">
        <f t="shared" si="78"/>
        <v>17</v>
      </c>
      <c r="AJ576" t="str">
        <f t="shared" si="79"/>
        <v/>
      </c>
      <c r="AK576">
        <f t="shared" si="80"/>
        <v>12</v>
      </c>
      <c r="AL576">
        <f t="shared" si="73"/>
        <v>18</v>
      </c>
      <c r="AM576">
        <f t="shared" si="74"/>
        <v>18</v>
      </c>
      <c r="AN576">
        <f t="shared" si="75"/>
        <v>12</v>
      </c>
      <c r="AO576" t="str">
        <f t="shared" si="76"/>
        <v/>
      </c>
    </row>
    <row r="577" spans="1:41">
      <c r="A577">
        <f t="shared" si="81"/>
        <v>573</v>
      </c>
      <c r="B577" t="s">
        <v>278</v>
      </c>
      <c r="C577">
        <v>5</v>
      </c>
      <c r="D577">
        <v>5</v>
      </c>
      <c r="E577" t="s">
        <v>387</v>
      </c>
      <c r="F577">
        <v>412</v>
      </c>
      <c r="G577">
        <v>1</v>
      </c>
      <c r="H577">
        <v>72</v>
      </c>
      <c r="I577" t="s">
        <v>386</v>
      </c>
      <c r="J577" t="s">
        <v>386</v>
      </c>
      <c r="K577">
        <v>100000</v>
      </c>
      <c r="L577">
        <v>13</v>
      </c>
      <c r="M577">
        <v>13</v>
      </c>
      <c r="N577">
        <v>18</v>
      </c>
      <c r="O577">
        <v>0</v>
      </c>
      <c r="P577">
        <v>11</v>
      </c>
      <c r="Q577">
        <v>16</v>
      </c>
      <c r="R577">
        <v>15</v>
      </c>
      <c r="S577">
        <v>9</v>
      </c>
      <c r="T577">
        <v>0</v>
      </c>
      <c r="U577">
        <v>119</v>
      </c>
      <c r="V577">
        <v>4438.1064502899999</v>
      </c>
      <c r="AH577">
        <f t="shared" si="77"/>
        <v>13</v>
      </c>
      <c r="AI577">
        <f t="shared" si="78"/>
        <v>18</v>
      </c>
      <c r="AJ577" t="str">
        <f t="shared" si="79"/>
        <v/>
      </c>
      <c r="AK577">
        <f t="shared" si="80"/>
        <v>11</v>
      </c>
      <c r="AL577">
        <f t="shared" si="73"/>
        <v>16</v>
      </c>
      <c r="AM577">
        <f t="shared" si="74"/>
        <v>15</v>
      </c>
      <c r="AN577">
        <f t="shared" si="75"/>
        <v>9</v>
      </c>
      <c r="AO577" t="str">
        <f t="shared" si="76"/>
        <v/>
      </c>
    </row>
    <row r="578" spans="1:41">
      <c r="A578">
        <f t="shared" si="81"/>
        <v>574</v>
      </c>
      <c r="B578" t="s">
        <v>278</v>
      </c>
      <c r="C578">
        <v>5</v>
      </c>
      <c r="D578">
        <v>5</v>
      </c>
      <c r="E578" t="s">
        <v>387</v>
      </c>
      <c r="F578">
        <v>412</v>
      </c>
      <c r="G578">
        <v>1</v>
      </c>
      <c r="H578">
        <v>73</v>
      </c>
      <c r="I578" t="s">
        <v>386</v>
      </c>
      <c r="J578" t="s">
        <v>386</v>
      </c>
      <c r="K578">
        <v>100000</v>
      </c>
      <c r="L578">
        <v>13</v>
      </c>
      <c r="M578">
        <v>13</v>
      </c>
      <c r="N578">
        <v>18</v>
      </c>
      <c r="O578">
        <v>0</v>
      </c>
      <c r="P578">
        <v>9</v>
      </c>
      <c r="Q578">
        <v>13</v>
      </c>
      <c r="R578">
        <v>11</v>
      </c>
      <c r="S578">
        <v>6</v>
      </c>
      <c r="T578">
        <v>0</v>
      </c>
      <c r="U578">
        <v>121</v>
      </c>
      <c r="V578">
        <v>4827.6473207500003</v>
      </c>
      <c r="AH578">
        <f t="shared" si="77"/>
        <v>13</v>
      </c>
      <c r="AI578">
        <f t="shared" si="78"/>
        <v>18</v>
      </c>
      <c r="AJ578" t="str">
        <f t="shared" si="79"/>
        <v/>
      </c>
      <c r="AK578">
        <f t="shared" si="80"/>
        <v>9</v>
      </c>
      <c r="AL578">
        <f t="shared" si="73"/>
        <v>13</v>
      </c>
      <c r="AM578">
        <f t="shared" si="74"/>
        <v>11</v>
      </c>
      <c r="AN578">
        <f t="shared" si="75"/>
        <v>6</v>
      </c>
      <c r="AO578" t="str">
        <f t="shared" si="76"/>
        <v/>
      </c>
    </row>
    <row r="579" spans="1:41">
      <c r="A579">
        <f t="shared" si="81"/>
        <v>575</v>
      </c>
      <c r="B579" t="s">
        <v>278</v>
      </c>
      <c r="C579">
        <v>5</v>
      </c>
      <c r="D579">
        <v>5</v>
      </c>
      <c r="E579" t="s">
        <v>387</v>
      </c>
      <c r="F579">
        <v>412</v>
      </c>
      <c r="G579">
        <v>1</v>
      </c>
      <c r="H579">
        <v>74</v>
      </c>
      <c r="I579" t="s">
        <v>386</v>
      </c>
      <c r="J579" t="s">
        <v>386</v>
      </c>
      <c r="K579">
        <v>100000</v>
      </c>
      <c r="L579">
        <v>13</v>
      </c>
      <c r="M579">
        <v>13</v>
      </c>
      <c r="N579">
        <v>19</v>
      </c>
      <c r="O579">
        <v>0</v>
      </c>
      <c r="P579">
        <v>7</v>
      </c>
      <c r="Q579">
        <v>8</v>
      </c>
      <c r="R579">
        <v>8</v>
      </c>
      <c r="S579">
        <v>5</v>
      </c>
      <c r="T579">
        <v>0</v>
      </c>
      <c r="U579">
        <v>123</v>
      </c>
      <c r="V579">
        <v>5296.0900485299999</v>
      </c>
      <c r="AH579">
        <f t="shared" si="77"/>
        <v>13</v>
      </c>
      <c r="AI579">
        <f t="shared" si="78"/>
        <v>19</v>
      </c>
      <c r="AJ579" t="str">
        <f t="shared" si="79"/>
        <v/>
      </c>
      <c r="AK579">
        <f t="shared" si="80"/>
        <v>7</v>
      </c>
      <c r="AL579">
        <f t="shared" si="73"/>
        <v>8</v>
      </c>
      <c r="AM579">
        <f t="shared" si="74"/>
        <v>8</v>
      </c>
      <c r="AN579">
        <f t="shared" si="75"/>
        <v>5</v>
      </c>
      <c r="AO579" t="str">
        <f t="shared" si="76"/>
        <v/>
      </c>
    </row>
    <row r="580" spans="1:41">
      <c r="A580">
        <f t="shared" si="81"/>
        <v>576</v>
      </c>
      <c r="B580" t="s">
        <v>278</v>
      </c>
      <c r="C580">
        <v>5</v>
      </c>
      <c r="D580">
        <v>5</v>
      </c>
      <c r="E580" t="s">
        <v>387</v>
      </c>
      <c r="F580">
        <v>412</v>
      </c>
      <c r="G580">
        <v>1</v>
      </c>
      <c r="H580">
        <v>75</v>
      </c>
      <c r="I580" t="s">
        <v>386</v>
      </c>
      <c r="J580" t="s">
        <v>386</v>
      </c>
      <c r="K580">
        <v>100000</v>
      </c>
      <c r="L580">
        <v>14</v>
      </c>
      <c r="M580">
        <v>14</v>
      </c>
      <c r="N580">
        <v>19</v>
      </c>
      <c r="O580">
        <v>0</v>
      </c>
      <c r="P580">
        <v>4</v>
      </c>
      <c r="Q580">
        <v>6</v>
      </c>
      <c r="R580">
        <v>6</v>
      </c>
      <c r="S580">
        <v>4</v>
      </c>
      <c r="T580">
        <v>0</v>
      </c>
      <c r="U580">
        <v>125</v>
      </c>
      <c r="V580">
        <v>5849.8675551099996</v>
      </c>
      <c r="AH580">
        <f t="shared" si="77"/>
        <v>14</v>
      </c>
      <c r="AI580">
        <f t="shared" si="78"/>
        <v>19</v>
      </c>
      <c r="AJ580" t="str">
        <f t="shared" si="79"/>
        <v/>
      </c>
      <c r="AK580">
        <f t="shared" si="80"/>
        <v>4</v>
      </c>
      <c r="AL580">
        <f t="shared" si="73"/>
        <v>6</v>
      </c>
      <c r="AM580">
        <f t="shared" si="74"/>
        <v>6</v>
      </c>
      <c r="AN580">
        <f t="shared" si="75"/>
        <v>4</v>
      </c>
      <c r="AO580" t="str">
        <f t="shared" si="76"/>
        <v/>
      </c>
    </row>
    <row r="581" spans="1:41">
      <c r="A581">
        <f t="shared" si="81"/>
        <v>577</v>
      </c>
      <c r="B581" t="s">
        <v>278</v>
      </c>
      <c r="C581">
        <v>5</v>
      </c>
      <c r="D581">
        <v>5</v>
      </c>
      <c r="E581" t="s">
        <v>387</v>
      </c>
      <c r="F581">
        <v>412</v>
      </c>
      <c r="G581">
        <v>1</v>
      </c>
      <c r="H581">
        <v>76</v>
      </c>
      <c r="I581" t="s">
        <v>386</v>
      </c>
      <c r="J581" t="s">
        <v>386</v>
      </c>
      <c r="K581">
        <v>100000</v>
      </c>
      <c r="L581">
        <v>14</v>
      </c>
      <c r="M581">
        <v>14</v>
      </c>
      <c r="N581">
        <v>19</v>
      </c>
      <c r="O581">
        <v>0</v>
      </c>
      <c r="P581">
        <v>4</v>
      </c>
      <c r="Q581">
        <v>6</v>
      </c>
      <c r="R581">
        <v>7</v>
      </c>
      <c r="S581">
        <v>4</v>
      </c>
      <c r="T581">
        <v>0</v>
      </c>
      <c r="U581">
        <v>126</v>
      </c>
      <c r="V581">
        <v>6476.4256440500003</v>
      </c>
      <c r="AH581">
        <f t="shared" si="77"/>
        <v>14</v>
      </c>
      <c r="AI581">
        <f t="shared" si="78"/>
        <v>19</v>
      </c>
      <c r="AJ581" t="str">
        <f t="shared" si="79"/>
        <v/>
      </c>
      <c r="AK581">
        <f t="shared" si="80"/>
        <v>4</v>
      </c>
      <c r="AL581">
        <f t="shared" ref="AL581:AL644" si="82">IF(Q581=AC581, "", Q581-AC581)</f>
        <v>6</v>
      </c>
      <c r="AM581">
        <f t="shared" ref="AM581:AM644" si="83">IF(R581=AD581, "", R581-AD581)</f>
        <v>7</v>
      </c>
      <c r="AN581">
        <f t="shared" ref="AN581:AN644" si="84">IF(S581=AE581, "", S581-AE581)</f>
        <v>4</v>
      </c>
      <c r="AO581" t="str">
        <f t="shared" ref="AO581:AO644" si="85">IF(T581=AF581, "", T581-AF581)</f>
        <v/>
      </c>
    </row>
    <row r="582" spans="1:41">
      <c r="A582">
        <f t="shared" si="81"/>
        <v>578</v>
      </c>
      <c r="B582" t="s">
        <v>278</v>
      </c>
      <c r="C582">
        <v>5</v>
      </c>
      <c r="D582">
        <v>5</v>
      </c>
      <c r="E582" t="s">
        <v>387</v>
      </c>
      <c r="F582">
        <v>412</v>
      </c>
      <c r="G582">
        <v>1</v>
      </c>
      <c r="H582">
        <v>77</v>
      </c>
      <c r="I582" t="s">
        <v>386</v>
      </c>
      <c r="J582" t="s">
        <v>386</v>
      </c>
      <c r="K582">
        <v>100000</v>
      </c>
      <c r="L582">
        <v>14</v>
      </c>
      <c r="M582">
        <v>14</v>
      </c>
      <c r="N582">
        <v>19</v>
      </c>
      <c r="O582">
        <v>0</v>
      </c>
      <c r="P582">
        <v>4</v>
      </c>
      <c r="Q582">
        <v>6</v>
      </c>
      <c r="R582">
        <v>5</v>
      </c>
      <c r="S582">
        <v>2</v>
      </c>
      <c r="T582">
        <v>0</v>
      </c>
      <c r="U582">
        <v>127</v>
      </c>
      <c r="V582">
        <v>7146.53855174</v>
      </c>
      <c r="AH582">
        <f t="shared" ref="AH582:AH645" si="86">IF(L582=Y582, "",L582-Y582)</f>
        <v>14</v>
      </c>
      <c r="AI582">
        <f t="shared" ref="AI582:AI645" si="87">IF(N582=Z582, "", N582-Z582)</f>
        <v>19</v>
      </c>
      <c r="AJ582" t="str">
        <f t="shared" ref="AJ582:AJ645" si="88">IF(O582=AA582, "", O582-AA582)</f>
        <v/>
      </c>
      <c r="AK582">
        <f t="shared" ref="AK582:AK645" si="89">IF(P582=AB582, "", P582-AB582)</f>
        <v>4</v>
      </c>
      <c r="AL582">
        <f t="shared" si="82"/>
        <v>6</v>
      </c>
      <c r="AM582">
        <f t="shared" si="83"/>
        <v>5</v>
      </c>
      <c r="AN582">
        <f t="shared" si="84"/>
        <v>2</v>
      </c>
      <c r="AO582" t="str">
        <f t="shared" si="85"/>
        <v/>
      </c>
    </row>
    <row r="583" spans="1:41">
      <c r="A583">
        <f t="shared" ref="A583:A646" si="90">A582+1</f>
        <v>579</v>
      </c>
      <c r="B583" t="s">
        <v>278</v>
      </c>
      <c r="C583">
        <v>5</v>
      </c>
      <c r="D583">
        <v>5</v>
      </c>
      <c r="E583" t="s">
        <v>387</v>
      </c>
      <c r="F583">
        <v>412</v>
      </c>
      <c r="G583">
        <v>1</v>
      </c>
      <c r="H583">
        <v>78</v>
      </c>
      <c r="I583" t="s">
        <v>386</v>
      </c>
      <c r="J583" t="s">
        <v>386</v>
      </c>
      <c r="K583">
        <v>100000</v>
      </c>
      <c r="L583">
        <v>14</v>
      </c>
      <c r="M583">
        <v>14</v>
      </c>
      <c r="N583">
        <v>20</v>
      </c>
      <c r="O583">
        <v>0</v>
      </c>
      <c r="P583">
        <v>3</v>
      </c>
      <c r="Q583">
        <v>3</v>
      </c>
      <c r="R583">
        <v>2</v>
      </c>
      <c r="S583">
        <v>1</v>
      </c>
      <c r="T583">
        <v>0</v>
      </c>
      <c r="U583">
        <v>127</v>
      </c>
      <c r="V583">
        <v>7826.0679339400003</v>
      </c>
      <c r="AH583">
        <f t="shared" si="86"/>
        <v>14</v>
      </c>
      <c r="AI583">
        <f t="shared" si="87"/>
        <v>20</v>
      </c>
      <c r="AJ583" t="str">
        <f t="shared" si="88"/>
        <v/>
      </c>
      <c r="AK583">
        <f t="shared" si="89"/>
        <v>3</v>
      </c>
      <c r="AL583">
        <f t="shared" si="82"/>
        <v>3</v>
      </c>
      <c r="AM583">
        <f t="shared" si="83"/>
        <v>2</v>
      </c>
      <c r="AN583">
        <f t="shared" si="84"/>
        <v>1</v>
      </c>
      <c r="AO583" t="str">
        <f t="shared" si="85"/>
        <v/>
      </c>
    </row>
    <row r="584" spans="1:41">
      <c r="A584">
        <f t="shared" si="90"/>
        <v>580</v>
      </c>
      <c r="B584" t="s">
        <v>278</v>
      </c>
      <c r="C584">
        <v>5</v>
      </c>
      <c r="D584">
        <v>5</v>
      </c>
      <c r="E584" t="s">
        <v>387</v>
      </c>
      <c r="F584">
        <v>412</v>
      </c>
      <c r="G584">
        <v>1</v>
      </c>
      <c r="H584">
        <v>79</v>
      </c>
      <c r="I584" t="s">
        <v>386</v>
      </c>
      <c r="J584" t="s">
        <v>386</v>
      </c>
      <c r="K584">
        <v>100000</v>
      </c>
      <c r="L584">
        <v>14</v>
      </c>
      <c r="M584">
        <v>14</v>
      </c>
      <c r="N584">
        <v>20</v>
      </c>
      <c r="O584">
        <v>0</v>
      </c>
      <c r="P584">
        <v>1</v>
      </c>
      <c r="Q584">
        <v>0</v>
      </c>
      <c r="R584">
        <v>-1</v>
      </c>
      <c r="S584">
        <v>-1</v>
      </c>
      <c r="T584">
        <v>0</v>
      </c>
      <c r="U584">
        <v>128</v>
      </c>
      <c r="V584">
        <v>8491.9197972099992</v>
      </c>
      <c r="AH584">
        <f t="shared" si="86"/>
        <v>14</v>
      </c>
      <c r="AI584">
        <f t="shared" si="87"/>
        <v>20</v>
      </c>
      <c r="AJ584" t="str">
        <f t="shared" si="88"/>
        <v/>
      </c>
      <c r="AK584">
        <f t="shared" si="89"/>
        <v>1</v>
      </c>
      <c r="AL584" t="str">
        <f t="shared" si="82"/>
        <v/>
      </c>
      <c r="AM584">
        <f t="shared" si="83"/>
        <v>-1</v>
      </c>
      <c r="AN584">
        <f t="shared" si="84"/>
        <v>-1</v>
      </c>
      <c r="AO584" t="str">
        <f t="shared" si="85"/>
        <v/>
      </c>
    </row>
    <row r="585" spans="1:41">
      <c r="A585">
        <f t="shared" si="90"/>
        <v>581</v>
      </c>
      <c r="B585" t="s">
        <v>278</v>
      </c>
      <c r="C585">
        <v>5</v>
      </c>
      <c r="D585">
        <v>5</v>
      </c>
      <c r="E585" t="s">
        <v>387</v>
      </c>
      <c r="F585">
        <v>412</v>
      </c>
      <c r="G585">
        <v>1</v>
      </c>
      <c r="H585">
        <v>80</v>
      </c>
      <c r="I585" t="s">
        <v>386</v>
      </c>
      <c r="J585" t="s">
        <v>386</v>
      </c>
      <c r="K585">
        <v>100000</v>
      </c>
      <c r="L585">
        <v>14</v>
      </c>
      <c r="M585">
        <v>14</v>
      </c>
      <c r="N585">
        <v>20</v>
      </c>
      <c r="O585">
        <v>0</v>
      </c>
      <c r="P585">
        <v>-1</v>
      </c>
      <c r="Q585">
        <v>-2</v>
      </c>
      <c r="R585">
        <v>-2</v>
      </c>
      <c r="S585">
        <v>-1</v>
      </c>
      <c r="T585">
        <v>0</v>
      </c>
      <c r="U585">
        <v>128</v>
      </c>
      <c r="V585">
        <v>9143.3747472499999</v>
      </c>
      <c r="AH585">
        <f t="shared" si="86"/>
        <v>14</v>
      </c>
      <c r="AI585">
        <f t="shared" si="87"/>
        <v>20</v>
      </c>
      <c r="AJ585" t="str">
        <f t="shared" si="88"/>
        <v/>
      </c>
      <c r="AK585">
        <f t="shared" si="89"/>
        <v>-1</v>
      </c>
      <c r="AL585">
        <f t="shared" si="82"/>
        <v>-2</v>
      </c>
      <c r="AM585">
        <f t="shared" si="83"/>
        <v>-2</v>
      </c>
      <c r="AN585">
        <f t="shared" si="84"/>
        <v>-1</v>
      </c>
      <c r="AO585" t="str">
        <f t="shared" si="85"/>
        <v/>
      </c>
    </row>
    <row r="586" spans="1:41">
      <c r="A586">
        <f t="shared" si="90"/>
        <v>582</v>
      </c>
      <c r="B586" t="s">
        <v>278</v>
      </c>
      <c r="C586">
        <v>5</v>
      </c>
      <c r="D586">
        <v>5</v>
      </c>
      <c r="E586" t="s">
        <v>387</v>
      </c>
      <c r="F586">
        <v>412</v>
      </c>
      <c r="G586">
        <v>1</v>
      </c>
      <c r="H586">
        <v>81</v>
      </c>
      <c r="I586" t="s">
        <v>386</v>
      </c>
      <c r="J586" t="s">
        <v>386</v>
      </c>
      <c r="K586">
        <v>100000</v>
      </c>
      <c r="L586">
        <v>14</v>
      </c>
      <c r="M586">
        <v>14</v>
      </c>
      <c r="N586">
        <v>20</v>
      </c>
      <c r="O586">
        <v>0</v>
      </c>
      <c r="P586">
        <v>-1</v>
      </c>
      <c r="Q586">
        <v>-2</v>
      </c>
      <c r="R586">
        <v>-2</v>
      </c>
      <c r="S586">
        <v>-1</v>
      </c>
      <c r="T586">
        <v>0</v>
      </c>
      <c r="U586">
        <v>128</v>
      </c>
      <c r="V586">
        <v>9790.8624628399994</v>
      </c>
      <c r="AH586">
        <f t="shared" si="86"/>
        <v>14</v>
      </c>
      <c r="AI586">
        <f t="shared" si="87"/>
        <v>20</v>
      </c>
      <c r="AJ586" t="str">
        <f t="shared" si="88"/>
        <v/>
      </c>
      <c r="AK586">
        <f t="shared" si="89"/>
        <v>-1</v>
      </c>
      <c r="AL586">
        <f t="shared" si="82"/>
        <v>-2</v>
      </c>
      <c r="AM586">
        <f t="shared" si="83"/>
        <v>-2</v>
      </c>
      <c r="AN586">
        <f t="shared" si="84"/>
        <v>-1</v>
      </c>
      <c r="AO586" t="str">
        <f t="shared" si="85"/>
        <v/>
      </c>
    </row>
    <row r="587" spans="1:41">
      <c r="A587">
        <f t="shared" si="90"/>
        <v>583</v>
      </c>
      <c r="B587" t="s">
        <v>278</v>
      </c>
      <c r="C587">
        <v>5</v>
      </c>
      <c r="D587">
        <v>5</v>
      </c>
      <c r="E587" t="s">
        <v>387</v>
      </c>
      <c r="F587">
        <v>412</v>
      </c>
      <c r="G587">
        <v>1</v>
      </c>
      <c r="H587">
        <v>82</v>
      </c>
      <c r="I587" t="s">
        <v>386</v>
      </c>
      <c r="J587" t="s">
        <v>386</v>
      </c>
      <c r="K587">
        <v>100000</v>
      </c>
      <c r="L587">
        <v>14</v>
      </c>
      <c r="M587">
        <v>14</v>
      </c>
      <c r="N587">
        <v>19</v>
      </c>
      <c r="O587">
        <v>0</v>
      </c>
      <c r="P587">
        <v>-1</v>
      </c>
      <c r="Q587">
        <v>-2</v>
      </c>
      <c r="R587">
        <v>-2</v>
      </c>
      <c r="S587">
        <v>-1</v>
      </c>
      <c r="T587">
        <v>0</v>
      </c>
      <c r="U587">
        <v>127</v>
      </c>
      <c r="V587">
        <v>10451.76064328</v>
      </c>
      <c r="AH587">
        <f t="shared" si="86"/>
        <v>14</v>
      </c>
      <c r="AI587">
        <f t="shared" si="87"/>
        <v>19</v>
      </c>
      <c r="AJ587" t="str">
        <f t="shared" si="88"/>
        <v/>
      </c>
      <c r="AK587">
        <f t="shared" si="89"/>
        <v>-1</v>
      </c>
      <c r="AL587">
        <f t="shared" si="82"/>
        <v>-2</v>
      </c>
      <c r="AM587">
        <f t="shared" si="83"/>
        <v>-2</v>
      </c>
      <c r="AN587">
        <f t="shared" si="84"/>
        <v>-1</v>
      </c>
      <c r="AO587" t="str">
        <f t="shared" si="85"/>
        <v/>
      </c>
    </row>
    <row r="588" spans="1:41">
      <c r="A588">
        <f t="shared" si="90"/>
        <v>584</v>
      </c>
      <c r="B588" t="s">
        <v>278</v>
      </c>
      <c r="C588">
        <v>5</v>
      </c>
      <c r="D588">
        <v>5</v>
      </c>
      <c r="E588" t="s">
        <v>387</v>
      </c>
      <c r="F588">
        <v>412</v>
      </c>
      <c r="G588">
        <v>1</v>
      </c>
      <c r="H588">
        <v>83</v>
      </c>
      <c r="I588" t="s">
        <v>386</v>
      </c>
      <c r="J588" t="s">
        <v>386</v>
      </c>
      <c r="K588">
        <v>100000</v>
      </c>
      <c r="L588">
        <v>14</v>
      </c>
      <c r="M588">
        <v>14</v>
      </c>
      <c r="N588">
        <v>19</v>
      </c>
      <c r="O588">
        <v>0</v>
      </c>
      <c r="P588">
        <v>-1</v>
      </c>
      <c r="Q588">
        <v>-1</v>
      </c>
      <c r="R588">
        <v>-1</v>
      </c>
      <c r="S588">
        <v>-1</v>
      </c>
      <c r="T588">
        <v>0</v>
      </c>
      <c r="U588">
        <v>127</v>
      </c>
      <c r="V588">
        <v>11138.44417836</v>
      </c>
      <c r="AH588">
        <f t="shared" si="86"/>
        <v>14</v>
      </c>
      <c r="AI588">
        <f t="shared" si="87"/>
        <v>19</v>
      </c>
      <c r="AJ588" t="str">
        <f t="shared" si="88"/>
        <v/>
      </c>
      <c r="AK588">
        <f t="shared" si="89"/>
        <v>-1</v>
      </c>
      <c r="AL588">
        <f t="shared" si="82"/>
        <v>-1</v>
      </c>
      <c r="AM588">
        <f t="shared" si="83"/>
        <v>-1</v>
      </c>
      <c r="AN588">
        <f t="shared" si="84"/>
        <v>-1</v>
      </c>
      <c r="AO588" t="str">
        <f t="shared" si="85"/>
        <v/>
      </c>
    </row>
    <row r="589" spans="1:41">
      <c r="A589">
        <f t="shared" si="90"/>
        <v>585</v>
      </c>
      <c r="B589" t="s">
        <v>278</v>
      </c>
      <c r="C589">
        <v>5</v>
      </c>
      <c r="D589">
        <v>5</v>
      </c>
      <c r="E589" t="s">
        <v>387</v>
      </c>
      <c r="F589">
        <v>412</v>
      </c>
      <c r="G589">
        <v>1</v>
      </c>
      <c r="H589">
        <v>84</v>
      </c>
      <c r="I589" t="s">
        <v>386</v>
      </c>
      <c r="J589" t="s">
        <v>386</v>
      </c>
      <c r="K589">
        <v>100000</v>
      </c>
      <c r="L589">
        <v>14</v>
      </c>
      <c r="M589">
        <v>14</v>
      </c>
      <c r="N589">
        <v>19</v>
      </c>
      <c r="O589">
        <v>0</v>
      </c>
      <c r="P589">
        <v>-1</v>
      </c>
      <c r="Q589">
        <v>-1</v>
      </c>
      <c r="R589">
        <v>-1</v>
      </c>
      <c r="S589">
        <v>0</v>
      </c>
      <c r="T589">
        <v>0</v>
      </c>
      <c r="U589">
        <v>127</v>
      </c>
      <c r="V589">
        <v>11852.69918467</v>
      </c>
      <c r="AH589">
        <f t="shared" si="86"/>
        <v>14</v>
      </c>
      <c r="AI589">
        <f t="shared" si="87"/>
        <v>19</v>
      </c>
      <c r="AJ589" t="str">
        <f t="shared" si="88"/>
        <v/>
      </c>
      <c r="AK589">
        <f t="shared" si="89"/>
        <v>-1</v>
      </c>
      <c r="AL589">
        <f t="shared" si="82"/>
        <v>-1</v>
      </c>
      <c r="AM589">
        <f t="shared" si="83"/>
        <v>-1</v>
      </c>
      <c r="AN589" t="str">
        <f t="shared" si="84"/>
        <v/>
      </c>
      <c r="AO589" t="str">
        <f t="shared" si="85"/>
        <v/>
      </c>
    </row>
    <row r="590" spans="1:41">
      <c r="A590">
        <f t="shared" si="90"/>
        <v>586</v>
      </c>
      <c r="B590" t="s">
        <v>278</v>
      </c>
      <c r="C590">
        <v>5</v>
      </c>
      <c r="D590">
        <v>5</v>
      </c>
      <c r="E590" t="s">
        <v>387</v>
      </c>
      <c r="F590">
        <v>412</v>
      </c>
      <c r="G590">
        <v>1</v>
      </c>
      <c r="H590">
        <v>85</v>
      </c>
      <c r="I590" t="s">
        <v>386</v>
      </c>
      <c r="J590" t="s">
        <v>386</v>
      </c>
      <c r="K590">
        <v>100000</v>
      </c>
      <c r="L590">
        <v>14</v>
      </c>
      <c r="M590">
        <v>14</v>
      </c>
      <c r="N590">
        <v>19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127</v>
      </c>
      <c r="V590">
        <v>12583.49619552</v>
      </c>
      <c r="AH590">
        <f t="shared" si="86"/>
        <v>14</v>
      </c>
      <c r="AI590">
        <f t="shared" si="87"/>
        <v>19</v>
      </c>
      <c r="AJ590" t="str">
        <f t="shared" si="88"/>
        <v/>
      </c>
      <c r="AK590" t="str">
        <f t="shared" si="89"/>
        <v/>
      </c>
      <c r="AL590" t="str">
        <f t="shared" si="82"/>
        <v/>
      </c>
      <c r="AM590" t="str">
        <f t="shared" si="83"/>
        <v/>
      </c>
      <c r="AN590" t="str">
        <f t="shared" si="84"/>
        <v/>
      </c>
      <c r="AO590" t="str">
        <f t="shared" si="85"/>
        <v/>
      </c>
    </row>
    <row r="591" spans="1:41">
      <c r="A591">
        <f t="shared" si="90"/>
        <v>587</v>
      </c>
      <c r="B591" t="s">
        <v>278</v>
      </c>
      <c r="C591">
        <v>5</v>
      </c>
      <c r="D591">
        <v>5</v>
      </c>
      <c r="E591" t="s">
        <v>387</v>
      </c>
      <c r="F591">
        <v>412</v>
      </c>
      <c r="G591">
        <v>1</v>
      </c>
      <c r="H591">
        <v>86</v>
      </c>
      <c r="I591" t="s">
        <v>386</v>
      </c>
      <c r="J591" t="s">
        <v>386</v>
      </c>
      <c r="K591">
        <v>100000</v>
      </c>
      <c r="L591">
        <v>14</v>
      </c>
      <c r="M591">
        <v>14</v>
      </c>
      <c r="N591">
        <v>19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127</v>
      </c>
      <c r="V591">
        <v>13324.23172129</v>
      </c>
      <c r="AH591">
        <f t="shared" si="86"/>
        <v>14</v>
      </c>
      <c r="AI591">
        <f t="shared" si="87"/>
        <v>19</v>
      </c>
      <c r="AJ591" t="str">
        <f t="shared" si="88"/>
        <v/>
      </c>
      <c r="AK591" t="str">
        <f t="shared" si="89"/>
        <v/>
      </c>
      <c r="AL591" t="str">
        <f t="shared" si="82"/>
        <v/>
      </c>
      <c r="AM591" t="str">
        <f t="shared" si="83"/>
        <v/>
      </c>
      <c r="AN591" t="str">
        <f t="shared" si="84"/>
        <v/>
      </c>
      <c r="AO591" t="str">
        <f t="shared" si="85"/>
        <v/>
      </c>
    </row>
    <row r="592" spans="1:41">
      <c r="A592">
        <f t="shared" si="90"/>
        <v>588</v>
      </c>
      <c r="B592" t="s">
        <v>278</v>
      </c>
      <c r="C592">
        <v>5</v>
      </c>
      <c r="D592">
        <v>5</v>
      </c>
      <c r="E592" t="s">
        <v>387</v>
      </c>
      <c r="F592">
        <v>412</v>
      </c>
      <c r="G592">
        <v>1</v>
      </c>
      <c r="H592">
        <v>87</v>
      </c>
      <c r="I592" t="s">
        <v>386</v>
      </c>
      <c r="J592" t="s">
        <v>386</v>
      </c>
      <c r="K592">
        <v>100000</v>
      </c>
      <c r="L592">
        <v>14</v>
      </c>
      <c r="M592">
        <v>14</v>
      </c>
      <c r="N592">
        <v>19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127</v>
      </c>
      <c r="V592">
        <v>14069.9828674</v>
      </c>
      <c r="AH592">
        <f t="shared" si="86"/>
        <v>14</v>
      </c>
      <c r="AI592">
        <f t="shared" si="87"/>
        <v>19</v>
      </c>
      <c r="AJ592" t="str">
        <f t="shared" si="88"/>
        <v/>
      </c>
      <c r="AK592" t="str">
        <f t="shared" si="89"/>
        <v/>
      </c>
      <c r="AL592" t="str">
        <f t="shared" si="82"/>
        <v/>
      </c>
      <c r="AM592" t="str">
        <f t="shared" si="83"/>
        <v/>
      </c>
      <c r="AN592" t="str">
        <f t="shared" si="84"/>
        <v/>
      </c>
      <c r="AO592" t="str">
        <f t="shared" si="85"/>
        <v/>
      </c>
    </row>
    <row r="593" spans="1:41">
      <c r="A593">
        <f t="shared" si="90"/>
        <v>589</v>
      </c>
      <c r="B593" t="s">
        <v>278</v>
      </c>
      <c r="C593">
        <v>5</v>
      </c>
      <c r="D593">
        <v>5</v>
      </c>
      <c r="E593" t="s">
        <v>387</v>
      </c>
      <c r="F593">
        <v>412</v>
      </c>
      <c r="G593">
        <v>1</v>
      </c>
      <c r="H593">
        <v>88</v>
      </c>
      <c r="I593" t="s">
        <v>386</v>
      </c>
      <c r="J593" t="s">
        <v>386</v>
      </c>
      <c r="K593">
        <v>100000</v>
      </c>
      <c r="L593">
        <v>14</v>
      </c>
      <c r="M593">
        <v>14</v>
      </c>
      <c r="N593">
        <v>19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127</v>
      </c>
      <c r="V593">
        <v>14802.603251250001</v>
      </c>
      <c r="AH593">
        <f t="shared" si="86"/>
        <v>14</v>
      </c>
      <c r="AI593">
        <f t="shared" si="87"/>
        <v>19</v>
      </c>
      <c r="AJ593" t="str">
        <f t="shared" si="88"/>
        <v/>
      </c>
      <c r="AK593" t="str">
        <f t="shared" si="89"/>
        <v/>
      </c>
      <c r="AL593" t="str">
        <f t="shared" si="82"/>
        <v/>
      </c>
      <c r="AM593" t="str">
        <f t="shared" si="83"/>
        <v/>
      </c>
      <c r="AN593" t="str">
        <f t="shared" si="84"/>
        <v/>
      </c>
      <c r="AO593" t="str">
        <f t="shared" si="85"/>
        <v/>
      </c>
    </row>
    <row r="594" spans="1:41">
      <c r="A594">
        <f t="shared" si="90"/>
        <v>590</v>
      </c>
      <c r="B594" t="s">
        <v>278</v>
      </c>
      <c r="C594">
        <v>5</v>
      </c>
      <c r="D594">
        <v>5</v>
      </c>
      <c r="E594" t="s">
        <v>387</v>
      </c>
      <c r="F594">
        <v>412</v>
      </c>
      <c r="G594">
        <v>1</v>
      </c>
      <c r="H594">
        <v>89</v>
      </c>
      <c r="I594" t="s">
        <v>386</v>
      </c>
      <c r="J594" t="s">
        <v>386</v>
      </c>
      <c r="K594">
        <v>100000</v>
      </c>
      <c r="L594">
        <v>14</v>
      </c>
      <c r="M594">
        <v>14</v>
      </c>
      <c r="N594">
        <v>19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127</v>
      </c>
      <c r="V594">
        <v>15487.80997534</v>
      </c>
      <c r="AH594">
        <f t="shared" si="86"/>
        <v>14</v>
      </c>
      <c r="AI594">
        <f t="shared" si="87"/>
        <v>19</v>
      </c>
      <c r="AJ594" t="str">
        <f t="shared" si="88"/>
        <v/>
      </c>
      <c r="AK594" t="str">
        <f t="shared" si="89"/>
        <v/>
      </c>
      <c r="AL594" t="str">
        <f t="shared" si="82"/>
        <v/>
      </c>
      <c r="AM594" t="str">
        <f t="shared" si="83"/>
        <v/>
      </c>
      <c r="AN594" t="str">
        <f t="shared" si="84"/>
        <v/>
      </c>
      <c r="AO594" t="str">
        <f t="shared" si="85"/>
        <v/>
      </c>
    </row>
    <row r="595" spans="1:41">
      <c r="A595">
        <f t="shared" si="90"/>
        <v>591</v>
      </c>
      <c r="B595" t="s">
        <v>278</v>
      </c>
      <c r="C595">
        <v>5</v>
      </c>
      <c r="D595">
        <v>5</v>
      </c>
      <c r="E595" t="s">
        <v>387</v>
      </c>
      <c r="F595">
        <v>412</v>
      </c>
      <c r="G595">
        <v>1</v>
      </c>
      <c r="H595">
        <v>90</v>
      </c>
      <c r="I595" t="s">
        <v>386</v>
      </c>
      <c r="J595" t="s">
        <v>386</v>
      </c>
      <c r="K595">
        <v>100000</v>
      </c>
      <c r="L595">
        <v>14</v>
      </c>
      <c r="M595">
        <v>14</v>
      </c>
      <c r="N595">
        <v>19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127</v>
      </c>
      <c r="V595">
        <v>16120.584622349999</v>
      </c>
      <c r="AH595">
        <f t="shared" si="86"/>
        <v>14</v>
      </c>
      <c r="AI595">
        <f t="shared" si="87"/>
        <v>19</v>
      </c>
      <c r="AJ595" t="str">
        <f t="shared" si="88"/>
        <v/>
      </c>
      <c r="AK595" t="str">
        <f t="shared" si="89"/>
        <v/>
      </c>
      <c r="AL595" t="str">
        <f t="shared" si="82"/>
        <v/>
      </c>
      <c r="AM595" t="str">
        <f t="shared" si="83"/>
        <v/>
      </c>
      <c r="AN595" t="str">
        <f t="shared" si="84"/>
        <v/>
      </c>
      <c r="AO595" t="str">
        <f t="shared" si="85"/>
        <v/>
      </c>
    </row>
    <row r="596" spans="1:41">
      <c r="A596">
        <f t="shared" si="90"/>
        <v>592</v>
      </c>
      <c r="B596" t="s">
        <v>278</v>
      </c>
      <c r="C596">
        <v>5</v>
      </c>
      <c r="D596">
        <v>5</v>
      </c>
      <c r="E596" t="s">
        <v>387</v>
      </c>
      <c r="F596">
        <v>412</v>
      </c>
      <c r="G596">
        <v>1</v>
      </c>
      <c r="H596">
        <v>91</v>
      </c>
      <c r="I596" t="s">
        <v>386</v>
      </c>
      <c r="J596" t="s">
        <v>386</v>
      </c>
      <c r="K596">
        <v>100000</v>
      </c>
      <c r="L596">
        <v>14</v>
      </c>
      <c r="M596">
        <v>14</v>
      </c>
      <c r="N596">
        <v>19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127</v>
      </c>
      <c r="V596">
        <v>16740.27986518</v>
      </c>
      <c r="AH596">
        <f t="shared" si="86"/>
        <v>14</v>
      </c>
      <c r="AI596">
        <f t="shared" si="87"/>
        <v>19</v>
      </c>
      <c r="AJ596" t="str">
        <f t="shared" si="88"/>
        <v/>
      </c>
      <c r="AK596" t="str">
        <f t="shared" si="89"/>
        <v/>
      </c>
      <c r="AL596" t="str">
        <f t="shared" si="82"/>
        <v/>
      </c>
      <c r="AM596" t="str">
        <f t="shared" si="83"/>
        <v/>
      </c>
      <c r="AN596" t="str">
        <f t="shared" si="84"/>
        <v/>
      </c>
      <c r="AO596" t="str">
        <f t="shared" si="85"/>
        <v/>
      </c>
    </row>
    <row r="597" spans="1:41">
      <c r="A597">
        <f t="shared" si="90"/>
        <v>593</v>
      </c>
      <c r="B597" t="s">
        <v>278</v>
      </c>
      <c r="C597">
        <v>5</v>
      </c>
      <c r="D597">
        <v>5</v>
      </c>
      <c r="E597" t="s">
        <v>387</v>
      </c>
      <c r="F597">
        <v>412</v>
      </c>
      <c r="G597">
        <v>1</v>
      </c>
      <c r="H597">
        <v>92</v>
      </c>
      <c r="I597" t="s">
        <v>386</v>
      </c>
      <c r="J597" t="s">
        <v>386</v>
      </c>
      <c r="K597">
        <v>100000</v>
      </c>
      <c r="L597">
        <v>14</v>
      </c>
      <c r="M597">
        <v>14</v>
      </c>
      <c r="N597">
        <v>19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127</v>
      </c>
      <c r="V597">
        <v>17409.261301400002</v>
      </c>
      <c r="AH597">
        <f t="shared" si="86"/>
        <v>14</v>
      </c>
      <c r="AI597">
        <f t="shared" si="87"/>
        <v>19</v>
      </c>
      <c r="AJ597" t="str">
        <f t="shared" si="88"/>
        <v/>
      </c>
      <c r="AK597" t="str">
        <f t="shared" si="89"/>
        <v/>
      </c>
      <c r="AL597" t="str">
        <f t="shared" si="82"/>
        <v/>
      </c>
      <c r="AM597" t="str">
        <f t="shared" si="83"/>
        <v/>
      </c>
      <c r="AN597" t="str">
        <f t="shared" si="84"/>
        <v/>
      </c>
      <c r="AO597" t="str">
        <f t="shared" si="85"/>
        <v/>
      </c>
    </row>
    <row r="598" spans="1:41">
      <c r="A598">
        <f t="shared" si="90"/>
        <v>594</v>
      </c>
      <c r="B598" t="s">
        <v>278</v>
      </c>
      <c r="C598">
        <v>5</v>
      </c>
      <c r="D598">
        <v>5</v>
      </c>
      <c r="E598" t="s">
        <v>387</v>
      </c>
      <c r="F598">
        <v>412</v>
      </c>
      <c r="G598">
        <v>1</v>
      </c>
      <c r="H598">
        <v>93</v>
      </c>
      <c r="I598" t="s">
        <v>386</v>
      </c>
      <c r="J598" t="s">
        <v>386</v>
      </c>
      <c r="K598">
        <v>100000</v>
      </c>
      <c r="L598">
        <v>14</v>
      </c>
      <c r="M598">
        <v>14</v>
      </c>
      <c r="N598">
        <v>19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127</v>
      </c>
      <c r="V598">
        <v>18187.89008483</v>
      </c>
      <c r="AH598">
        <f t="shared" si="86"/>
        <v>14</v>
      </c>
      <c r="AI598">
        <f t="shared" si="87"/>
        <v>19</v>
      </c>
      <c r="AJ598" t="str">
        <f t="shared" si="88"/>
        <v/>
      </c>
      <c r="AK598" t="str">
        <f t="shared" si="89"/>
        <v/>
      </c>
      <c r="AL598" t="str">
        <f t="shared" si="82"/>
        <v/>
      </c>
      <c r="AM598" t="str">
        <f t="shared" si="83"/>
        <v/>
      </c>
      <c r="AN598" t="str">
        <f t="shared" si="84"/>
        <v/>
      </c>
      <c r="AO598" t="str">
        <f t="shared" si="85"/>
        <v/>
      </c>
    </row>
    <row r="599" spans="1:41">
      <c r="A599">
        <f t="shared" si="90"/>
        <v>595</v>
      </c>
      <c r="B599" t="s">
        <v>278</v>
      </c>
      <c r="C599">
        <v>5</v>
      </c>
      <c r="D599">
        <v>5</v>
      </c>
      <c r="E599" t="s">
        <v>387</v>
      </c>
      <c r="F599">
        <v>412</v>
      </c>
      <c r="G599">
        <v>1</v>
      </c>
      <c r="H599">
        <v>94</v>
      </c>
      <c r="I599" t="s">
        <v>386</v>
      </c>
      <c r="J599" t="s">
        <v>386</v>
      </c>
      <c r="K599">
        <v>100000</v>
      </c>
      <c r="L599">
        <v>14</v>
      </c>
      <c r="M599">
        <v>14</v>
      </c>
      <c r="N599">
        <v>19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127</v>
      </c>
      <c r="V599">
        <v>19118.359016549999</v>
      </c>
      <c r="AH599">
        <f t="shared" si="86"/>
        <v>14</v>
      </c>
      <c r="AI599">
        <f t="shared" si="87"/>
        <v>19</v>
      </c>
      <c r="AJ599" t="str">
        <f t="shared" si="88"/>
        <v/>
      </c>
      <c r="AK599" t="str">
        <f t="shared" si="89"/>
        <v/>
      </c>
      <c r="AL599" t="str">
        <f t="shared" si="82"/>
        <v/>
      </c>
      <c r="AM599" t="str">
        <f t="shared" si="83"/>
        <v/>
      </c>
      <c r="AN599" t="str">
        <f t="shared" si="84"/>
        <v/>
      </c>
      <c r="AO599" t="str">
        <f t="shared" si="85"/>
        <v/>
      </c>
    </row>
    <row r="600" spans="1:41">
      <c r="A600">
        <f t="shared" si="90"/>
        <v>596</v>
      </c>
      <c r="B600" t="s">
        <v>278</v>
      </c>
      <c r="C600">
        <v>5</v>
      </c>
      <c r="D600">
        <v>5</v>
      </c>
      <c r="E600" t="s">
        <v>387</v>
      </c>
      <c r="F600">
        <v>412</v>
      </c>
      <c r="G600">
        <v>1</v>
      </c>
      <c r="H600">
        <v>95</v>
      </c>
      <c r="I600" t="s">
        <v>386</v>
      </c>
      <c r="J600" t="s">
        <v>386</v>
      </c>
      <c r="K600">
        <v>100000</v>
      </c>
      <c r="L600">
        <v>14</v>
      </c>
      <c r="M600">
        <v>14</v>
      </c>
      <c r="N600">
        <v>19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127</v>
      </c>
      <c r="V600">
        <v>20176.59990551</v>
      </c>
      <c r="AH600">
        <f t="shared" si="86"/>
        <v>14</v>
      </c>
      <c r="AI600">
        <f t="shared" si="87"/>
        <v>19</v>
      </c>
      <c r="AJ600" t="str">
        <f t="shared" si="88"/>
        <v/>
      </c>
      <c r="AK600" t="str">
        <f t="shared" si="89"/>
        <v/>
      </c>
      <c r="AL600" t="str">
        <f t="shared" si="82"/>
        <v/>
      </c>
      <c r="AM600" t="str">
        <f t="shared" si="83"/>
        <v/>
      </c>
      <c r="AN600" t="str">
        <f t="shared" si="84"/>
        <v/>
      </c>
      <c r="AO600" t="str">
        <f t="shared" si="85"/>
        <v/>
      </c>
    </row>
    <row r="601" spans="1:41">
      <c r="A601">
        <f t="shared" si="90"/>
        <v>597</v>
      </c>
      <c r="B601" t="s">
        <v>278</v>
      </c>
      <c r="C601">
        <v>4</v>
      </c>
      <c r="D601">
        <v>4</v>
      </c>
      <c r="E601" t="s">
        <v>387</v>
      </c>
      <c r="F601">
        <v>412</v>
      </c>
      <c r="G601">
        <v>1</v>
      </c>
      <c r="H601">
        <v>96</v>
      </c>
      <c r="I601" t="s">
        <v>386</v>
      </c>
      <c r="J601" t="s">
        <v>386</v>
      </c>
      <c r="K601">
        <v>100000</v>
      </c>
      <c r="L601">
        <v>14</v>
      </c>
      <c r="M601">
        <v>14</v>
      </c>
      <c r="N601">
        <v>20</v>
      </c>
      <c r="O601">
        <v>0</v>
      </c>
      <c r="P601">
        <v>0</v>
      </c>
      <c r="Q601">
        <v>0</v>
      </c>
      <c r="R601">
        <v>0</v>
      </c>
      <c r="S601">
        <v>0</v>
      </c>
      <c r="T601" t="s">
        <v>386</v>
      </c>
      <c r="U601">
        <v>131</v>
      </c>
      <c r="V601">
        <v>16970.254328200001</v>
      </c>
      <c r="AH601">
        <f t="shared" si="86"/>
        <v>14</v>
      </c>
      <c r="AI601">
        <f t="shared" si="87"/>
        <v>20</v>
      </c>
      <c r="AJ601" t="str">
        <f t="shared" si="88"/>
        <v/>
      </c>
      <c r="AK601" t="str">
        <f t="shared" si="89"/>
        <v/>
      </c>
      <c r="AL601" t="str">
        <f t="shared" si="82"/>
        <v/>
      </c>
      <c r="AM601" t="str">
        <f t="shared" si="83"/>
        <v/>
      </c>
      <c r="AN601" t="str">
        <f t="shared" si="84"/>
        <v/>
      </c>
      <c r="AO601" t="e">
        <f t="shared" si="85"/>
        <v>#VALUE!</v>
      </c>
    </row>
    <row r="602" spans="1:41">
      <c r="A602">
        <f t="shared" si="90"/>
        <v>598</v>
      </c>
      <c r="B602" t="s">
        <v>278</v>
      </c>
      <c r="C602">
        <v>3</v>
      </c>
      <c r="D602">
        <v>3</v>
      </c>
      <c r="E602" t="s">
        <v>387</v>
      </c>
      <c r="F602">
        <v>412</v>
      </c>
      <c r="G602">
        <v>1</v>
      </c>
      <c r="H602">
        <v>97</v>
      </c>
      <c r="I602" t="s">
        <v>386</v>
      </c>
      <c r="J602" t="s">
        <v>386</v>
      </c>
      <c r="K602">
        <v>100000</v>
      </c>
      <c r="L602">
        <v>14</v>
      </c>
      <c r="M602">
        <v>14</v>
      </c>
      <c r="N602">
        <v>21</v>
      </c>
      <c r="O602">
        <v>0</v>
      </c>
      <c r="P602">
        <v>0</v>
      </c>
      <c r="Q602">
        <v>0</v>
      </c>
      <c r="R602">
        <v>0</v>
      </c>
      <c r="S602" t="s">
        <v>386</v>
      </c>
      <c r="T602" t="s">
        <v>386</v>
      </c>
      <c r="U602">
        <v>137</v>
      </c>
      <c r="V602">
        <v>13551.45550815</v>
      </c>
      <c r="AH602">
        <f t="shared" si="86"/>
        <v>14</v>
      </c>
      <c r="AI602">
        <f t="shared" si="87"/>
        <v>21</v>
      </c>
      <c r="AJ602" t="str">
        <f t="shared" si="88"/>
        <v/>
      </c>
      <c r="AK602" t="str">
        <f t="shared" si="89"/>
        <v/>
      </c>
      <c r="AL602" t="str">
        <f t="shared" si="82"/>
        <v/>
      </c>
      <c r="AM602" t="str">
        <f t="shared" si="83"/>
        <v/>
      </c>
      <c r="AN602" t="e">
        <f t="shared" si="84"/>
        <v>#VALUE!</v>
      </c>
      <c r="AO602" t="e">
        <f t="shared" si="85"/>
        <v>#VALUE!</v>
      </c>
    </row>
    <row r="603" spans="1:41">
      <c r="A603">
        <f t="shared" si="90"/>
        <v>599</v>
      </c>
      <c r="B603" t="s">
        <v>278</v>
      </c>
      <c r="C603">
        <v>2</v>
      </c>
      <c r="D603">
        <v>2</v>
      </c>
      <c r="E603" t="s">
        <v>387</v>
      </c>
      <c r="F603">
        <v>412</v>
      </c>
      <c r="G603">
        <v>1</v>
      </c>
      <c r="H603">
        <v>98</v>
      </c>
      <c r="I603" t="s">
        <v>386</v>
      </c>
      <c r="J603" t="s">
        <v>386</v>
      </c>
      <c r="K603">
        <v>100000</v>
      </c>
      <c r="L603">
        <v>14</v>
      </c>
      <c r="M603">
        <v>14</v>
      </c>
      <c r="N603">
        <v>25</v>
      </c>
      <c r="O603">
        <v>0</v>
      </c>
      <c r="P603">
        <v>0</v>
      </c>
      <c r="Q603">
        <v>0</v>
      </c>
      <c r="R603" t="s">
        <v>386</v>
      </c>
      <c r="S603" t="s">
        <v>386</v>
      </c>
      <c r="T603" t="s">
        <v>386</v>
      </c>
      <c r="U603">
        <v>153</v>
      </c>
      <c r="V603">
        <v>9878.7823166100006</v>
      </c>
      <c r="AH603">
        <f t="shared" si="86"/>
        <v>14</v>
      </c>
      <c r="AI603">
        <f t="shared" si="87"/>
        <v>25</v>
      </c>
      <c r="AJ603" t="str">
        <f t="shared" si="88"/>
        <v/>
      </c>
      <c r="AK603" t="str">
        <f t="shared" si="89"/>
        <v/>
      </c>
      <c r="AL603" t="str">
        <f t="shared" si="82"/>
        <v/>
      </c>
      <c r="AM603" t="e">
        <f t="shared" si="83"/>
        <v>#VALUE!</v>
      </c>
      <c r="AN603" t="e">
        <f t="shared" si="84"/>
        <v>#VALUE!</v>
      </c>
      <c r="AO603" t="e">
        <f t="shared" si="85"/>
        <v>#VALUE!</v>
      </c>
    </row>
    <row r="604" spans="1:41">
      <c r="A604">
        <f t="shared" si="90"/>
        <v>600</v>
      </c>
      <c r="B604" t="s">
        <v>278</v>
      </c>
      <c r="C604">
        <v>1</v>
      </c>
      <c r="D604">
        <v>1</v>
      </c>
      <c r="E604" t="s">
        <v>387</v>
      </c>
      <c r="F604">
        <v>412</v>
      </c>
      <c r="G604">
        <v>1</v>
      </c>
      <c r="H604">
        <v>99</v>
      </c>
      <c r="I604" t="s">
        <v>386</v>
      </c>
      <c r="J604" t="s">
        <v>386</v>
      </c>
      <c r="K604">
        <v>100000</v>
      </c>
      <c r="L604">
        <v>14</v>
      </c>
      <c r="M604">
        <v>14</v>
      </c>
      <c r="N604">
        <v>36</v>
      </c>
      <c r="O604">
        <v>0</v>
      </c>
      <c r="P604">
        <v>0</v>
      </c>
      <c r="Q604" t="s">
        <v>386</v>
      </c>
      <c r="R604" t="s">
        <v>386</v>
      </c>
      <c r="S604" t="s">
        <v>386</v>
      </c>
      <c r="T604" t="s">
        <v>386</v>
      </c>
      <c r="U604">
        <v>184</v>
      </c>
      <c r="V604">
        <v>5948.8263567100003</v>
      </c>
      <c r="AH604">
        <f t="shared" si="86"/>
        <v>14</v>
      </c>
      <c r="AI604">
        <f t="shared" si="87"/>
        <v>36</v>
      </c>
      <c r="AJ604" t="str">
        <f t="shared" si="88"/>
        <v/>
      </c>
      <c r="AK604" t="str">
        <f t="shared" si="89"/>
        <v/>
      </c>
      <c r="AL604" t="e">
        <f t="shared" si="82"/>
        <v>#VALUE!</v>
      </c>
      <c r="AM604" t="e">
        <f t="shared" si="83"/>
        <v>#VALUE!</v>
      </c>
      <c r="AN604" t="e">
        <f t="shared" si="84"/>
        <v>#VALUE!</v>
      </c>
      <c r="AO604" t="e">
        <f t="shared" si="85"/>
        <v>#VALUE!</v>
      </c>
    </row>
    <row r="605" spans="1:41">
      <c r="A605">
        <f t="shared" si="90"/>
        <v>601</v>
      </c>
      <c r="B605" t="s">
        <v>278</v>
      </c>
      <c r="C605">
        <v>5</v>
      </c>
      <c r="D605">
        <v>5</v>
      </c>
      <c r="E605" t="s">
        <v>385</v>
      </c>
      <c r="F605">
        <v>412</v>
      </c>
      <c r="G605">
        <v>2</v>
      </c>
      <c r="H605">
        <v>30</v>
      </c>
      <c r="I605" t="s">
        <v>386</v>
      </c>
      <c r="J605" t="s">
        <v>386</v>
      </c>
      <c r="K605">
        <v>100000</v>
      </c>
      <c r="L605">
        <v>15</v>
      </c>
      <c r="M605">
        <v>15</v>
      </c>
      <c r="N605">
        <v>21</v>
      </c>
      <c r="O605">
        <v>0</v>
      </c>
      <c r="P605">
        <v>14</v>
      </c>
      <c r="Q605">
        <v>22</v>
      </c>
      <c r="R605">
        <v>24</v>
      </c>
      <c r="S605">
        <v>17</v>
      </c>
      <c r="T605">
        <v>0</v>
      </c>
      <c r="U605">
        <v>136</v>
      </c>
      <c r="V605">
        <v>1805.2928305099999</v>
      </c>
      <c r="AH605">
        <f t="shared" si="86"/>
        <v>15</v>
      </c>
      <c r="AI605">
        <f t="shared" si="87"/>
        <v>21</v>
      </c>
      <c r="AJ605" t="str">
        <f t="shared" si="88"/>
        <v/>
      </c>
      <c r="AK605">
        <f t="shared" si="89"/>
        <v>14</v>
      </c>
      <c r="AL605">
        <f t="shared" si="82"/>
        <v>22</v>
      </c>
      <c r="AM605">
        <f t="shared" si="83"/>
        <v>24</v>
      </c>
      <c r="AN605">
        <f t="shared" si="84"/>
        <v>17</v>
      </c>
      <c r="AO605" t="str">
        <f t="shared" si="85"/>
        <v/>
      </c>
    </row>
    <row r="606" spans="1:41">
      <c r="A606">
        <f t="shared" si="90"/>
        <v>602</v>
      </c>
      <c r="B606" t="s">
        <v>278</v>
      </c>
      <c r="C606">
        <v>5</v>
      </c>
      <c r="D606">
        <v>5</v>
      </c>
      <c r="E606" t="s">
        <v>385</v>
      </c>
      <c r="F606">
        <v>412</v>
      </c>
      <c r="G606">
        <v>2</v>
      </c>
      <c r="H606">
        <v>31</v>
      </c>
      <c r="I606" t="s">
        <v>386</v>
      </c>
      <c r="J606" t="s">
        <v>386</v>
      </c>
      <c r="K606">
        <v>100000</v>
      </c>
      <c r="L606">
        <v>16</v>
      </c>
      <c r="M606">
        <v>16</v>
      </c>
      <c r="N606">
        <v>22</v>
      </c>
      <c r="O606">
        <v>0</v>
      </c>
      <c r="P606">
        <v>16</v>
      </c>
      <c r="Q606">
        <v>25</v>
      </c>
      <c r="R606">
        <v>26</v>
      </c>
      <c r="S606">
        <v>18</v>
      </c>
      <c r="T606">
        <v>0</v>
      </c>
      <c r="U606">
        <v>141</v>
      </c>
      <c r="V606">
        <v>1806.66111146</v>
      </c>
      <c r="AH606">
        <f t="shared" si="86"/>
        <v>16</v>
      </c>
      <c r="AI606">
        <f t="shared" si="87"/>
        <v>22</v>
      </c>
      <c r="AJ606" t="str">
        <f t="shared" si="88"/>
        <v/>
      </c>
      <c r="AK606">
        <f t="shared" si="89"/>
        <v>16</v>
      </c>
      <c r="AL606">
        <f t="shared" si="82"/>
        <v>25</v>
      </c>
      <c r="AM606">
        <f t="shared" si="83"/>
        <v>26</v>
      </c>
      <c r="AN606">
        <f t="shared" si="84"/>
        <v>18</v>
      </c>
      <c r="AO606" t="str">
        <f t="shared" si="85"/>
        <v/>
      </c>
    </row>
    <row r="607" spans="1:41">
      <c r="A607">
        <f t="shared" si="90"/>
        <v>603</v>
      </c>
      <c r="B607" t="s">
        <v>278</v>
      </c>
      <c r="C607">
        <v>5</v>
      </c>
      <c r="D607">
        <v>5</v>
      </c>
      <c r="E607" t="s">
        <v>385</v>
      </c>
      <c r="F607">
        <v>412</v>
      </c>
      <c r="G607">
        <v>2</v>
      </c>
      <c r="H607">
        <v>32</v>
      </c>
      <c r="I607" t="s">
        <v>386</v>
      </c>
      <c r="J607" t="s">
        <v>386</v>
      </c>
      <c r="K607">
        <v>100000</v>
      </c>
      <c r="L607">
        <v>17</v>
      </c>
      <c r="M607">
        <v>17</v>
      </c>
      <c r="N607">
        <v>23</v>
      </c>
      <c r="O607">
        <v>0</v>
      </c>
      <c r="P607">
        <v>18</v>
      </c>
      <c r="Q607">
        <v>27</v>
      </c>
      <c r="R607">
        <v>28</v>
      </c>
      <c r="S607">
        <v>19</v>
      </c>
      <c r="T607">
        <v>0</v>
      </c>
      <c r="U607">
        <v>146</v>
      </c>
      <c r="V607">
        <v>1808.1798405300001</v>
      </c>
      <c r="AH607">
        <f t="shared" si="86"/>
        <v>17</v>
      </c>
      <c r="AI607">
        <f t="shared" si="87"/>
        <v>23</v>
      </c>
      <c r="AJ607" t="str">
        <f t="shared" si="88"/>
        <v/>
      </c>
      <c r="AK607">
        <f t="shared" si="89"/>
        <v>18</v>
      </c>
      <c r="AL607">
        <f t="shared" si="82"/>
        <v>27</v>
      </c>
      <c r="AM607">
        <f t="shared" si="83"/>
        <v>28</v>
      </c>
      <c r="AN607">
        <f t="shared" si="84"/>
        <v>19</v>
      </c>
      <c r="AO607" t="str">
        <f t="shared" si="85"/>
        <v/>
      </c>
    </row>
    <row r="608" spans="1:41">
      <c r="A608">
        <f t="shared" si="90"/>
        <v>604</v>
      </c>
      <c r="B608" t="s">
        <v>278</v>
      </c>
      <c r="C608">
        <v>5</v>
      </c>
      <c r="D608">
        <v>5</v>
      </c>
      <c r="E608" t="s">
        <v>385</v>
      </c>
      <c r="F608">
        <v>412</v>
      </c>
      <c r="G608">
        <v>2</v>
      </c>
      <c r="H608">
        <v>33</v>
      </c>
      <c r="I608" t="s">
        <v>386</v>
      </c>
      <c r="J608" t="s">
        <v>386</v>
      </c>
      <c r="K608">
        <v>100000</v>
      </c>
      <c r="L608">
        <v>17</v>
      </c>
      <c r="M608">
        <v>17</v>
      </c>
      <c r="N608">
        <v>24</v>
      </c>
      <c r="O608">
        <v>0</v>
      </c>
      <c r="P608">
        <v>18</v>
      </c>
      <c r="Q608">
        <v>28</v>
      </c>
      <c r="R608">
        <v>28</v>
      </c>
      <c r="S608">
        <v>18</v>
      </c>
      <c r="T608">
        <v>0</v>
      </c>
      <c r="U608">
        <v>151</v>
      </c>
      <c r="V608">
        <v>1809.9529084599999</v>
      </c>
      <c r="AH608">
        <f t="shared" si="86"/>
        <v>17</v>
      </c>
      <c r="AI608">
        <f t="shared" si="87"/>
        <v>24</v>
      </c>
      <c r="AJ608" t="str">
        <f t="shared" si="88"/>
        <v/>
      </c>
      <c r="AK608">
        <f t="shared" si="89"/>
        <v>18</v>
      </c>
      <c r="AL608">
        <f t="shared" si="82"/>
        <v>28</v>
      </c>
      <c r="AM608">
        <f t="shared" si="83"/>
        <v>28</v>
      </c>
      <c r="AN608">
        <f t="shared" si="84"/>
        <v>18</v>
      </c>
      <c r="AO608" t="str">
        <f t="shared" si="85"/>
        <v/>
      </c>
    </row>
    <row r="609" spans="1:41">
      <c r="A609">
        <f t="shared" si="90"/>
        <v>605</v>
      </c>
      <c r="B609" t="s">
        <v>278</v>
      </c>
      <c r="C609">
        <v>5</v>
      </c>
      <c r="D609">
        <v>5</v>
      </c>
      <c r="E609" t="s">
        <v>385</v>
      </c>
      <c r="F609">
        <v>412</v>
      </c>
      <c r="G609">
        <v>2</v>
      </c>
      <c r="H609">
        <v>34</v>
      </c>
      <c r="I609" t="s">
        <v>386</v>
      </c>
      <c r="J609" t="s">
        <v>386</v>
      </c>
      <c r="K609">
        <v>100000</v>
      </c>
      <c r="L609">
        <v>18</v>
      </c>
      <c r="M609">
        <v>18</v>
      </c>
      <c r="N609">
        <v>25</v>
      </c>
      <c r="O609">
        <v>0</v>
      </c>
      <c r="P609">
        <v>18</v>
      </c>
      <c r="Q609">
        <v>26</v>
      </c>
      <c r="R609">
        <v>25</v>
      </c>
      <c r="S609">
        <v>16</v>
      </c>
      <c r="T609">
        <v>0</v>
      </c>
      <c r="U609">
        <v>156</v>
      </c>
      <c r="V609">
        <v>1811.8618509600001</v>
      </c>
      <c r="AH609">
        <f t="shared" si="86"/>
        <v>18</v>
      </c>
      <c r="AI609">
        <f t="shared" si="87"/>
        <v>25</v>
      </c>
      <c r="AJ609" t="str">
        <f t="shared" si="88"/>
        <v/>
      </c>
      <c r="AK609">
        <f t="shared" si="89"/>
        <v>18</v>
      </c>
      <c r="AL609">
        <f t="shared" si="82"/>
        <v>26</v>
      </c>
      <c r="AM609">
        <f t="shared" si="83"/>
        <v>25</v>
      </c>
      <c r="AN609">
        <f t="shared" si="84"/>
        <v>16</v>
      </c>
      <c r="AO609" t="str">
        <f t="shared" si="85"/>
        <v/>
      </c>
    </row>
    <row r="610" spans="1:41">
      <c r="A610">
        <f t="shared" si="90"/>
        <v>606</v>
      </c>
      <c r="B610" t="s">
        <v>278</v>
      </c>
      <c r="C610">
        <v>5</v>
      </c>
      <c r="D610">
        <v>5</v>
      </c>
      <c r="E610" t="s">
        <v>385</v>
      </c>
      <c r="F610">
        <v>412</v>
      </c>
      <c r="G610">
        <v>2</v>
      </c>
      <c r="H610">
        <v>35</v>
      </c>
      <c r="I610" t="s">
        <v>386</v>
      </c>
      <c r="J610" t="s">
        <v>386</v>
      </c>
      <c r="K610">
        <v>100000</v>
      </c>
      <c r="L610">
        <v>19</v>
      </c>
      <c r="M610">
        <v>19</v>
      </c>
      <c r="N610">
        <v>26</v>
      </c>
      <c r="O610">
        <v>0</v>
      </c>
      <c r="P610">
        <v>16</v>
      </c>
      <c r="Q610">
        <v>23</v>
      </c>
      <c r="R610">
        <v>22</v>
      </c>
      <c r="S610">
        <v>14</v>
      </c>
      <c r="T610">
        <v>0</v>
      </c>
      <c r="U610">
        <v>160</v>
      </c>
      <c r="V610">
        <v>1814.31675634</v>
      </c>
      <c r="AH610">
        <f t="shared" si="86"/>
        <v>19</v>
      </c>
      <c r="AI610">
        <f t="shared" si="87"/>
        <v>26</v>
      </c>
      <c r="AJ610" t="str">
        <f t="shared" si="88"/>
        <v/>
      </c>
      <c r="AK610">
        <f t="shared" si="89"/>
        <v>16</v>
      </c>
      <c r="AL610">
        <f t="shared" si="82"/>
        <v>23</v>
      </c>
      <c r="AM610">
        <f t="shared" si="83"/>
        <v>22</v>
      </c>
      <c r="AN610">
        <f t="shared" si="84"/>
        <v>14</v>
      </c>
      <c r="AO610" t="str">
        <f t="shared" si="85"/>
        <v/>
      </c>
    </row>
    <row r="611" spans="1:41">
      <c r="A611">
        <f t="shared" si="90"/>
        <v>607</v>
      </c>
      <c r="B611" t="s">
        <v>278</v>
      </c>
      <c r="C611">
        <v>5</v>
      </c>
      <c r="D611">
        <v>5</v>
      </c>
      <c r="E611" t="s">
        <v>385</v>
      </c>
      <c r="F611">
        <v>412</v>
      </c>
      <c r="G611">
        <v>2</v>
      </c>
      <c r="H611">
        <v>36</v>
      </c>
      <c r="I611" t="s">
        <v>386</v>
      </c>
      <c r="J611" t="s">
        <v>386</v>
      </c>
      <c r="K611">
        <v>100000</v>
      </c>
      <c r="L611">
        <v>19</v>
      </c>
      <c r="M611">
        <v>19</v>
      </c>
      <c r="N611">
        <v>27</v>
      </c>
      <c r="O611">
        <v>0</v>
      </c>
      <c r="P611">
        <v>13</v>
      </c>
      <c r="Q611">
        <v>19</v>
      </c>
      <c r="R611">
        <v>18</v>
      </c>
      <c r="S611">
        <v>11</v>
      </c>
      <c r="T611">
        <v>0</v>
      </c>
      <c r="U611">
        <v>164</v>
      </c>
      <c r="V611">
        <v>1817.24108239</v>
      </c>
      <c r="AH611">
        <f t="shared" si="86"/>
        <v>19</v>
      </c>
      <c r="AI611">
        <f t="shared" si="87"/>
        <v>27</v>
      </c>
      <c r="AJ611" t="str">
        <f t="shared" si="88"/>
        <v/>
      </c>
      <c r="AK611">
        <f t="shared" si="89"/>
        <v>13</v>
      </c>
      <c r="AL611">
        <f t="shared" si="82"/>
        <v>19</v>
      </c>
      <c r="AM611">
        <f t="shared" si="83"/>
        <v>18</v>
      </c>
      <c r="AN611">
        <f t="shared" si="84"/>
        <v>11</v>
      </c>
      <c r="AO611" t="str">
        <f t="shared" si="85"/>
        <v/>
      </c>
    </row>
    <row r="612" spans="1:41">
      <c r="A612">
        <f t="shared" si="90"/>
        <v>608</v>
      </c>
      <c r="B612" t="s">
        <v>278</v>
      </c>
      <c r="C612">
        <v>5</v>
      </c>
      <c r="D612">
        <v>5</v>
      </c>
      <c r="E612" t="s">
        <v>385</v>
      </c>
      <c r="F612">
        <v>412</v>
      </c>
      <c r="G612">
        <v>2</v>
      </c>
      <c r="H612">
        <v>37</v>
      </c>
      <c r="I612" t="s">
        <v>386</v>
      </c>
      <c r="J612" t="s">
        <v>386</v>
      </c>
      <c r="K612">
        <v>100000</v>
      </c>
      <c r="L612">
        <v>20</v>
      </c>
      <c r="M612">
        <v>20</v>
      </c>
      <c r="N612">
        <v>27</v>
      </c>
      <c r="O612">
        <v>0</v>
      </c>
      <c r="P612">
        <v>11</v>
      </c>
      <c r="Q612">
        <v>15</v>
      </c>
      <c r="R612">
        <v>14</v>
      </c>
      <c r="S612">
        <v>8</v>
      </c>
      <c r="T612">
        <v>0</v>
      </c>
      <c r="U612">
        <v>168</v>
      </c>
      <c r="V612">
        <v>1820.7590408000001</v>
      </c>
      <c r="AH612">
        <f t="shared" si="86"/>
        <v>20</v>
      </c>
      <c r="AI612">
        <f t="shared" si="87"/>
        <v>27</v>
      </c>
      <c r="AJ612" t="str">
        <f t="shared" si="88"/>
        <v/>
      </c>
      <c r="AK612">
        <f t="shared" si="89"/>
        <v>11</v>
      </c>
      <c r="AL612">
        <f t="shared" si="82"/>
        <v>15</v>
      </c>
      <c r="AM612">
        <f t="shared" si="83"/>
        <v>14</v>
      </c>
      <c r="AN612">
        <f t="shared" si="84"/>
        <v>8</v>
      </c>
      <c r="AO612" t="str">
        <f t="shared" si="85"/>
        <v/>
      </c>
    </row>
    <row r="613" spans="1:41">
      <c r="A613">
        <f t="shared" si="90"/>
        <v>609</v>
      </c>
      <c r="B613" t="s">
        <v>278</v>
      </c>
      <c r="C613">
        <v>5</v>
      </c>
      <c r="D613">
        <v>5</v>
      </c>
      <c r="E613" t="s">
        <v>385</v>
      </c>
      <c r="F613">
        <v>412</v>
      </c>
      <c r="G613">
        <v>2</v>
      </c>
      <c r="H613">
        <v>38</v>
      </c>
      <c r="I613" t="s">
        <v>386</v>
      </c>
      <c r="J613" t="s">
        <v>386</v>
      </c>
      <c r="K613">
        <v>100000</v>
      </c>
      <c r="L613">
        <v>20</v>
      </c>
      <c r="M613">
        <v>20</v>
      </c>
      <c r="N613">
        <v>28</v>
      </c>
      <c r="O613">
        <v>0</v>
      </c>
      <c r="P613">
        <v>8</v>
      </c>
      <c r="Q613">
        <v>11</v>
      </c>
      <c r="R613">
        <v>10</v>
      </c>
      <c r="S613">
        <v>6</v>
      </c>
      <c r="T613">
        <v>0</v>
      </c>
      <c r="U613">
        <v>170</v>
      </c>
      <c r="V613">
        <v>1825.11418961</v>
      </c>
      <c r="AH613">
        <f t="shared" si="86"/>
        <v>20</v>
      </c>
      <c r="AI613">
        <f t="shared" si="87"/>
        <v>28</v>
      </c>
      <c r="AJ613" t="str">
        <f t="shared" si="88"/>
        <v/>
      </c>
      <c r="AK613">
        <f t="shared" si="89"/>
        <v>8</v>
      </c>
      <c r="AL613">
        <f t="shared" si="82"/>
        <v>11</v>
      </c>
      <c r="AM613">
        <f t="shared" si="83"/>
        <v>10</v>
      </c>
      <c r="AN613">
        <f t="shared" si="84"/>
        <v>6</v>
      </c>
      <c r="AO613" t="str">
        <f t="shared" si="85"/>
        <v/>
      </c>
    </row>
    <row r="614" spans="1:41">
      <c r="A614">
        <f t="shared" si="90"/>
        <v>610</v>
      </c>
      <c r="B614" t="s">
        <v>278</v>
      </c>
      <c r="C614">
        <v>5</v>
      </c>
      <c r="D614">
        <v>5</v>
      </c>
      <c r="E614" t="s">
        <v>385</v>
      </c>
      <c r="F614">
        <v>412</v>
      </c>
      <c r="G614">
        <v>2</v>
      </c>
      <c r="H614">
        <v>39</v>
      </c>
      <c r="I614" t="s">
        <v>386</v>
      </c>
      <c r="J614" t="s">
        <v>386</v>
      </c>
      <c r="K614">
        <v>100000</v>
      </c>
      <c r="L614">
        <v>21</v>
      </c>
      <c r="M614">
        <v>21</v>
      </c>
      <c r="N614">
        <v>28</v>
      </c>
      <c r="O614">
        <v>0</v>
      </c>
      <c r="P614">
        <v>6</v>
      </c>
      <c r="Q614">
        <v>8</v>
      </c>
      <c r="R614">
        <v>8</v>
      </c>
      <c r="S614">
        <v>5</v>
      </c>
      <c r="T614">
        <v>0</v>
      </c>
      <c r="U614">
        <v>172</v>
      </c>
      <c r="V614">
        <v>1830.02706999</v>
      </c>
      <c r="AH614">
        <f t="shared" si="86"/>
        <v>21</v>
      </c>
      <c r="AI614">
        <f t="shared" si="87"/>
        <v>28</v>
      </c>
      <c r="AJ614" t="str">
        <f t="shared" si="88"/>
        <v/>
      </c>
      <c r="AK614">
        <f t="shared" si="89"/>
        <v>6</v>
      </c>
      <c r="AL614">
        <f t="shared" si="82"/>
        <v>8</v>
      </c>
      <c r="AM614">
        <f t="shared" si="83"/>
        <v>8</v>
      </c>
      <c r="AN614">
        <f t="shared" si="84"/>
        <v>5</v>
      </c>
      <c r="AO614" t="str">
        <f t="shared" si="85"/>
        <v/>
      </c>
    </row>
    <row r="615" spans="1:41">
      <c r="A615">
        <f t="shared" si="90"/>
        <v>611</v>
      </c>
      <c r="B615" t="s">
        <v>278</v>
      </c>
      <c r="C615">
        <v>5</v>
      </c>
      <c r="D615">
        <v>5</v>
      </c>
      <c r="E615" t="s">
        <v>385</v>
      </c>
      <c r="F615">
        <v>412</v>
      </c>
      <c r="G615">
        <v>2</v>
      </c>
      <c r="H615">
        <v>40</v>
      </c>
      <c r="I615" t="s">
        <v>386</v>
      </c>
      <c r="J615" t="s">
        <v>386</v>
      </c>
      <c r="K615">
        <v>100000</v>
      </c>
      <c r="L615">
        <v>21</v>
      </c>
      <c r="M615">
        <v>21</v>
      </c>
      <c r="N615">
        <v>29</v>
      </c>
      <c r="O615">
        <v>0</v>
      </c>
      <c r="P615">
        <v>5</v>
      </c>
      <c r="Q615">
        <v>6</v>
      </c>
      <c r="R615">
        <v>6</v>
      </c>
      <c r="S615">
        <v>3</v>
      </c>
      <c r="T615">
        <v>0</v>
      </c>
      <c r="U615">
        <v>173</v>
      </c>
      <c r="V615">
        <v>1835.3051928299999</v>
      </c>
      <c r="AH615">
        <f t="shared" si="86"/>
        <v>21</v>
      </c>
      <c r="AI615">
        <f t="shared" si="87"/>
        <v>29</v>
      </c>
      <c r="AJ615" t="str">
        <f t="shared" si="88"/>
        <v/>
      </c>
      <c r="AK615">
        <f t="shared" si="89"/>
        <v>5</v>
      </c>
      <c r="AL615">
        <f t="shared" si="82"/>
        <v>6</v>
      </c>
      <c r="AM615">
        <f t="shared" si="83"/>
        <v>6</v>
      </c>
      <c r="AN615">
        <f t="shared" si="84"/>
        <v>3</v>
      </c>
      <c r="AO615" t="str">
        <f t="shared" si="85"/>
        <v/>
      </c>
    </row>
    <row r="616" spans="1:41">
      <c r="A616">
        <f t="shared" si="90"/>
        <v>612</v>
      </c>
      <c r="B616" t="s">
        <v>278</v>
      </c>
      <c r="C616">
        <v>5</v>
      </c>
      <c r="D616">
        <v>5</v>
      </c>
      <c r="E616" t="s">
        <v>385</v>
      </c>
      <c r="F616">
        <v>412</v>
      </c>
      <c r="G616">
        <v>2</v>
      </c>
      <c r="H616">
        <v>41</v>
      </c>
      <c r="I616" t="s">
        <v>386</v>
      </c>
      <c r="J616" t="s">
        <v>386</v>
      </c>
      <c r="K616">
        <v>100000</v>
      </c>
      <c r="L616">
        <v>21</v>
      </c>
      <c r="M616">
        <v>21</v>
      </c>
      <c r="N616">
        <v>29</v>
      </c>
      <c r="O616">
        <v>0</v>
      </c>
      <c r="P616">
        <v>3</v>
      </c>
      <c r="Q616">
        <v>5</v>
      </c>
      <c r="R616">
        <v>4</v>
      </c>
      <c r="S616">
        <v>2</v>
      </c>
      <c r="T616">
        <v>0</v>
      </c>
      <c r="U616">
        <v>175</v>
      </c>
      <c r="V616">
        <v>1841.0615836899999</v>
      </c>
      <c r="AH616">
        <f t="shared" si="86"/>
        <v>21</v>
      </c>
      <c r="AI616">
        <f t="shared" si="87"/>
        <v>29</v>
      </c>
      <c r="AJ616" t="str">
        <f t="shared" si="88"/>
        <v/>
      </c>
      <c r="AK616">
        <f t="shared" si="89"/>
        <v>3</v>
      </c>
      <c r="AL616">
        <f t="shared" si="82"/>
        <v>5</v>
      </c>
      <c r="AM616">
        <f t="shared" si="83"/>
        <v>4</v>
      </c>
      <c r="AN616">
        <f t="shared" si="84"/>
        <v>2</v>
      </c>
      <c r="AO616" t="str">
        <f t="shared" si="85"/>
        <v/>
      </c>
    </row>
    <row r="617" spans="1:41">
      <c r="A617">
        <f t="shared" si="90"/>
        <v>613</v>
      </c>
      <c r="B617" t="s">
        <v>278</v>
      </c>
      <c r="C617">
        <v>5</v>
      </c>
      <c r="D617">
        <v>5</v>
      </c>
      <c r="E617" t="s">
        <v>385</v>
      </c>
      <c r="F617">
        <v>412</v>
      </c>
      <c r="G617">
        <v>2</v>
      </c>
      <c r="H617">
        <v>42</v>
      </c>
      <c r="I617" t="s">
        <v>386</v>
      </c>
      <c r="J617" t="s">
        <v>386</v>
      </c>
      <c r="K617">
        <v>100000</v>
      </c>
      <c r="L617">
        <v>21</v>
      </c>
      <c r="M617">
        <v>21</v>
      </c>
      <c r="N617">
        <v>29</v>
      </c>
      <c r="O617">
        <v>0</v>
      </c>
      <c r="P617">
        <v>2</v>
      </c>
      <c r="Q617">
        <v>3</v>
      </c>
      <c r="R617">
        <v>2</v>
      </c>
      <c r="S617">
        <v>1</v>
      </c>
      <c r="T617">
        <v>0</v>
      </c>
      <c r="U617">
        <v>175</v>
      </c>
      <c r="V617">
        <v>1847.17343822</v>
      </c>
      <c r="AH617">
        <f t="shared" si="86"/>
        <v>21</v>
      </c>
      <c r="AI617">
        <f t="shared" si="87"/>
        <v>29</v>
      </c>
      <c r="AJ617" t="str">
        <f t="shared" si="88"/>
        <v/>
      </c>
      <c r="AK617">
        <f t="shared" si="89"/>
        <v>2</v>
      </c>
      <c r="AL617">
        <f t="shared" si="82"/>
        <v>3</v>
      </c>
      <c r="AM617">
        <f t="shared" si="83"/>
        <v>2</v>
      </c>
      <c r="AN617">
        <f t="shared" si="84"/>
        <v>1</v>
      </c>
      <c r="AO617" t="str">
        <f t="shared" si="85"/>
        <v/>
      </c>
    </row>
    <row r="618" spans="1:41">
      <c r="A618">
        <f t="shared" si="90"/>
        <v>614</v>
      </c>
      <c r="B618" t="s">
        <v>278</v>
      </c>
      <c r="C618">
        <v>5</v>
      </c>
      <c r="D618">
        <v>5</v>
      </c>
      <c r="E618" t="s">
        <v>385</v>
      </c>
      <c r="F618">
        <v>412</v>
      </c>
      <c r="G618">
        <v>2</v>
      </c>
      <c r="H618">
        <v>43</v>
      </c>
      <c r="I618" t="s">
        <v>386</v>
      </c>
      <c r="J618" t="s">
        <v>386</v>
      </c>
      <c r="K618">
        <v>100000</v>
      </c>
      <c r="L618">
        <v>21</v>
      </c>
      <c r="M618">
        <v>21</v>
      </c>
      <c r="N618">
        <v>29</v>
      </c>
      <c r="O618">
        <v>0</v>
      </c>
      <c r="P618">
        <v>1</v>
      </c>
      <c r="Q618">
        <v>1</v>
      </c>
      <c r="R618">
        <v>0</v>
      </c>
      <c r="S618">
        <v>0</v>
      </c>
      <c r="T618">
        <v>0</v>
      </c>
      <c r="U618">
        <v>176</v>
      </c>
      <c r="V618">
        <v>1853.5186469299999</v>
      </c>
      <c r="AH618">
        <f t="shared" si="86"/>
        <v>21</v>
      </c>
      <c r="AI618">
        <f t="shared" si="87"/>
        <v>29</v>
      </c>
      <c r="AJ618" t="str">
        <f t="shared" si="88"/>
        <v/>
      </c>
      <c r="AK618">
        <f t="shared" si="89"/>
        <v>1</v>
      </c>
      <c r="AL618">
        <f t="shared" si="82"/>
        <v>1</v>
      </c>
      <c r="AM618" t="str">
        <f t="shared" si="83"/>
        <v/>
      </c>
      <c r="AN618" t="str">
        <f t="shared" si="84"/>
        <v/>
      </c>
      <c r="AO618" t="str">
        <f t="shared" si="85"/>
        <v/>
      </c>
    </row>
    <row r="619" spans="1:41">
      <c r="A619">
        <f t="shared" si="90"/>
        <v>615</v>
      </c>
      <c r="B619" t="s">
        <v>278</v>
      </c>
      <c r="C619">
        <v>5</v>
      </c>
      <c r="D619">
        <v>5</v>
      </c>
      <c r="E619" t="s">
        <v>385</v>
      </c>
      <c r="F619">
        <v>412</v>
      </c>
      <c r="G619">
        <v>2</v>
      </c>
      <c r="H619">
        <v>44</v>
      </c>
      <c r="I619" t="s">
        <v>386</v>
      </c>
      <c r="J619" t="s">
        <v>386</v>
      </c>
      <c r="K619">
        <v>100000</v>
      </c>
      <c r="L619">
        <v>21</v>
      </c>
      <c r="M619">
        <v>21</v>
      </c>
      <c r="N619">
        <v>29</v>
      </c>
      <c r="O619">
        <v>0</v>
      </c>
      <c r="P619">
        <v>0</v>
      </c>
      <c r="Q619">
        <v>-1</v>
      </c>
      <c r="R619">
        <v>-1</v>
      </c>
      <c r="S619">
        <v>-1</v>
      </c>
      <c r="T619">
        <v>0</v>
      </c>
      <c r="U619">
        <v>176</v>
      </c>
      <c r="V619">
        <v>1860.3564541799999</v>
      </c>
      <c r="AH619">
        <f t="shared" si="86"/>
        <v>21</v>
      </c>
      <c r="AI619">
        <f t="shared" si="87"/>
        <v>29</v>
      </c>
      <c r="AJ619" t="str">
        <f t="shared" si="88"/>
        <v/>
      </c>
      <c r="AK619" t="str">
        <f t="shared" si="89"/>
        <v/>
      </c>
      <c r="AL619">
        <f t="shared" si="82"/>
        <v>-1</v>
      </c>
      <c r="AM619">
        <f t="shared" si="83"/>
        <v>-1</v>
      </c>
      <c r="AN619">
        <f t="shared" si="84"/>
        <v>-1</v>
      </c>
      <c r="AO619" t="str">
        <f t="shared" si="85"/>
        <v/>
      </c>
    </row>
    <row r="620" spans="1:41">
      <c r="A620">
        <f t="shared" si="90"/>
        <v>616</v>
      </c>
      <c r="B620" t="s">
        <v>278</v>
      </c>
      <c r="C620">
        <v>5</v>
      </c>
      <c r="D620">
        <v>5</v>
      </c>
      <c r="E620" t="s">
        <v>385</v>
      </c>
      <c r="F620">
        <v>412</v>
      </c>
      <c r="G620">
        <v>2</v>
      </c>
      <c r="H620">
        <v>45</v>
      </c>
      <c r="I620" t="s">
        <v>386</v>
      </c>
      <c r="J620" t="s">
        <v>386</v>
      </c>
      <c r="K620">
        <v>100000</v>
      </c>
      <c r="L620">
        <v>21</v>
      </c>
      <c r="M620">
        <v>21</v>
      </c>
      <c r="N620">
        <v>29</v>
      </c>
      <c r="O620">
        <v>0</v>
      </c>
      <c r="P620">
        <v>-1</v>
      </c>
      <c r="Q620">
        <v>-1</v>
      </c>
      <c r="R620">
        <v>-1</v>
      </c>
      <c r="S620">
        <v>-1</v>
      </c>
      <c r="T620">
        <v>0</v>
      </c>
      <c r="U620">
        <v>176</v>
      </c>
      <c r="V620">
        <v>1867.18858899</v>
      </c>
      <c r="AH620">
        <f t="shared" si="86"/>
        <v>21</v>
      </c>
      <c r="AI620">
        <f t="shared" si="87"/>
        <v>29</v>
      </c>
      <c r="AJ620" t="str">
        <f t="shared" si="88"/>
        <v/>
      </c>
      <c r="AK620">
        <f t="shared" si="89"/>
        <v>-1</v>
      </c>
      <c r="AL620">
        <f t="shared" si="82"/>
        <v>-1</v>
      </c>
      <c r="AM620">
        <f t="shared" si="83"/>
        <v>-1</v>
      </c>
      <c r="AN620">
        <f t="shared" si="84"/>
        <v>-1</v>
      </c>
      <c r="AO620" t="str">
        <f t="shared" si="85"/>
        <v/>
      </c>
    </row>
    <row r="621" spans="1:41">
      <c r="A621">
        <f t="shared" si="90"/>
        <v>617</v>
      </c>
      <c r="B621" t="s">
        <v>278</v>
      </c>
      <c r="C621">
        <v>5</v>
      </c>
      <c r="D621">
        <v>5</v>
      </c>
      <c r="E621" t="s">
        <v>385</v>
      </c>
      <c r="F621">
        <v>412</v>
      </c>
      <c r="G621">
        <v>2</v>
      </c>
      <c r="H621">
        <v>46</v>
      </c>
      <c r="I621" t="s">
        <v>386</v>
      </c>
      <c r="J621" t="s">
        <v>386</v>
      </c>
      <c r="K621">
        <v>100000</v>
      </c>
      <c r="L621">
        <v>21</v>
      </c>
      <c r="M621">
        <v>21</v>
      </c>
      <c r="N621">
        <v>29</v>
      </c>
      <c r="O621">
        <v>0</v>
      </c>
      <c r="P621">
        <v>-1</v>
      </c>
      <c r="Q621">
        <v>-1</v>
      </c>
      <c r="R621">
        <v>-1</v>
      </c>
      <c r="S621">
        <v>-1</v>
      </c>
      <c r="T621">
        <v>0</v>
      </c>
      <c r="U621">
        <v>176</v>
      </c>
      <c r="V621">
        <v>1873.58352485</v>
      </c>
      <c r="AH621">
        <f t="shared" si="86"/>
        <v>21</v>
      </c>
      <c r="AI621">
        <f t="shared" si="87"/>
        <v>29</v>
      </c>
      <c r="AJ621" t="str">
        <f t="shared" si="88"/>
        <v/>
      </c>
      <c r="AK621">
        <f t="shared" si="89"/>
        <v>-1</v>
      </c>
      <c r="AL621">
        <f t="shared" si="82"/>
        <v>-1</v>
      </c>
      <c r="AM621">
        <f t="shared" si="83"/>
        <v>-1</v>
      </c>
      <c r="AN621">
        <f t="shared" si="84"/>
        <v>-1</v>
      </c>
      <c r="AO621" t="str">
        <f t="shared" si="85"/>
        <v/>
      </c>
    </row>
    <row r="622" spans="1:41">
      <c r="A622">
        <f t="shared" si="90"/>
        <v>618</v>
      </c>
      <c r="B622" t="s">
        <v>278</v>
      </c>
      <c r="C622">
        <v>5</v>
      </c>
      <c r="D622">
        <v>5</v>
      </c>
      <c r="E622" t="s">
        <v>385</v>
      </c>
      <c r="F622">
        <v>412</v>
      </c>
      <c r="G622">
        <v>2</v>
      </c>
      <c r="H622">
        <v>47</v>
      </c>
      <c r="I622" t="s">
        <v>386</v>
      </c>
      <c r="J622" t="s">
        <v>386</v>
      </c>
      <c r="K622">
        <v>100000</v>
      </c>
      <c r="L622">
        <v>21</v>
      </c>
      <c r="M622">
        <v>21</v>
      </c>
      <c r="N622">
        <v>29</v>
      </c>
      <c r="O622">
        <v>0</v>
      </c>
      <c r="P622">
        <v>-1</v>
      </c>
      <c r="Q622">
        <v>-1</v>
      </c>
      <c r="R622">
        <v>-2</v>
      </c>
      <c r="S622">
        <v>-1</v>
      </c>
      <c r="T622">
        <v>0</v>
      </c>
      <c r="U622">
        <v>176</v>
      </c>
      <c r="V622">
        <v>1879.7899155800001</v>
      </c>
      <c r="AH622">
        <f t="shared" si="86"/>
        <v>21</v>
      </c>
      <c r="AI622">
        <f t="shared" si="87"/>
        <v>29</v>
      </c>
      <c r="AJ622" t="str">
        <f t="shared" si="88"/>
        <v/>
      </c>
      <c r="AK622">
        <f t="shared" si="89"/>
        <v>-1</v>
      </c>
      <c r="AL622">
        <f t="shared" si="82"/>
        <v>-1</v>
      </c>
      <c r="AM622">
        <f t="shared" si="83"/>
        <v>-2</v>
      </c>
      <c r="AN622">
        <f t="shared" si="84"/>
        <v>-1</v>
      </c>
      <c r="AO622" t="str">
        <f t="shared" si="85"/>
        <v/>
      </c>
    </row>
    <row r="623" spans="1:41">
      <c r="A623">
        <f t="shared" si="90"/>
        <v>619</v>
      </c>
      <c r="B623" t="s">
        <v>278</v>
      </c>
      <c r="C623">
        <v>5</v>
      </c>
      <c r="D623">
        <v>5</v>
      </c>
      <c r="E623" t="s">
        <v>385</v>
      </c>
      <c r="F623">
        <v>412</v>
      </c>
      <c r="G623">
        <v>2</v>
      </c>
      <c r="H623">
        <v>48</v>
      </c>
      <c r="I623" t="s">
        <v>386</v>
      </c>
      <c r="J623" t="s">
        <v>386</v>
      </c>
      <c r="K623">
        <v>100000</v>
      </c>
      <c r="L623">
        <v>21</v>
      </c>
      <c r="M623">
        <v>21</v>
      </c>
      <c r="N623">
        <v>29</v>
      </c>
      <c r="O623">
        <v>0</v>
      </c>
      <c r="P623">
        <v>-1</v>
      </c>
      <c r="Q623">
        <v>-3</v>
      </c>
      <c r="R623">
        <v>-4</v>
      </c>
      <c r="S623">
        <v>-4</v>
      </c>
      <c r="T623">
        <v>0</v>
      </c>
      <c r="U623">
        <v>176</v>
      </c>
      <c r="V623">
        <v>1886.06022302</v>
      </c>
      <c r="AH623">
        <f t="shared" si="86"/>
        <v>21</v>
      </c>
      <c r="AI623">
        <f t="shared" si="87"/>
        <v>29</v>
      </c>
      <c r="AJ623" t="str">
        <f t="shared" si="88"/>
        <v/>
      </c>
      <c r="AK623">
        <f t="shared" si="89"/>
        <v>-1</v>
      </c>
      <c r="AL623">
        <f t="shared" si="82"/>
        <v>-3</v>
      </c>
      <c r="AM623">
        <f t="shared" si="83"/>
        <v>-4</v>
      </c>
      <c r="AN623">
        <f t="shared" si="84"/>
        <v>-4</v>
      </c>
      <c r="AO623" t="str">
        <f t="shared" si="85"/>
        <v/>
      </c>
    </row>
    <row r="624" spans="1:41">
      <c r="A624">
        <f t="shared" si="90"/>
        <v>620</v>
      </c>
      <c r="B624" t="s">
        <v>278</v>
      </c>
      <c r="C624">
        <v>5</v>
      </c>
      <c r="D624">
        <v>5</v>
      </c>
      <c r="E624" t="s">
        <v>385</v>
      </c>
      <c r="F624">
        <v>412</v>
      </c>
      <c r="G624">
        <v>2</v>
      </c>
      <c r="H624">
        <v>49</v>
      </c>
      <c r="I624" t="s">
        <v>386</v>
      </c>
      <c r="J624" t="s">
        <v>386</v>
      </c>
      <c r="K624">
        <v>100000</v>
      </c>
      <c r="L624">
        <v>21</v>
      </c>
      <c r="M624">
        <v>21</v>
      </c>
      <c r="N624">
        <v>29</v>
      </c>
      <c r="O624">
        <v>0</v>
      </c>
      <c r="P624">
        <v>-3</v>
      </c>
      <c r="Q624">
        <v>-6</v>
      </c>
      <c r="R624">
        <v>-8</v>
      </c>
      <c r="S624">
        <v>-6</v>
      </c>
      <c r="T624">
        <v>0</v>
      </c>
      <c r="U624">
        <v>175</v>
      </c>
      <c r="V624">
        <v>1892.8534795800001</v>
      </c>
      <c r="AH624">
        <f t="shared" si="86"/>
        <v>21</v>
      </c>
      <c r="AI624">
        <f t="shared" si="87"/>
        <v>29</v>
      </c>
      <c r="AJ624" t="str">
        <f t="shared" si="88"/>
        <v/>
      </c>
      <c r="AK624">
        <f t="shared" si="89"/>
        <v>-3</v>
      </c>
      <c r="AL624">
        <f t="shared" si="82"/>
        <v>-6</v>
      </c>
      <c r="AM624">
        <f t="shared" si="83"/>
        <v>-8</v>
      </c>
      <c r="AN624">
        <f t="shared" si="84"/>
        <v>-6</v>
      </c>
      <c r="AO624" t="str">
        <f t="shared" si="85"/>
        <v/>
      </c>
    </row>
    <row r="625" spans="1:41">
      <c r="A625">
        <f t="shared" si="90"/>
        <v>621</v>
      </c>
      <c r="B625" t="s">
        <v>278</v>
      </c>
      <c r="C625">
        <v>5</v>
      </c>
      <c r="D625">
        <v>5</v>
      </c>
      <c r="E625" t="s">
        <v>385</v>
      </c>
      <c r="F625">
        <v>412</v>
      </c>
      <c r="G625">
        <v>2</v>
      </c>
      <c r="H625">
        <v>50</v>
      </c>
      <c r="I625" t="s">
        <v>386</v>
      </c>
      <c r="J625" t="s">
        <v>386</v>
      </c>
      <c r="K625">
        <v>100000</v>
      </c>
      <c r="L625">
        <v>21</v>
      </c>
      <c r="M625">
        <v>21</v>
      </c>
      <c r="N625">
        <v>29</v>
      </c>
      <c r="O625">
        <v>0</v>
      </c>
      <c r="P625">
        <v>-6</v>
      </c>
      <c r="Q625">
        <v>-10</v>
      </c>
      <c r="R625">
        <v>-12</v>
      </c>
      <c r="S625">
        <v>-9</v>
      </c>
      <c r="T625">
        <v>0</v>
      </c>
      <c r="U625">
        <v>173</v>
      </c>
      <c r="V625">
        <v>1901.2903572299999</v>
      </c>
      <c r="AH625">
        <f t="shared" si="86"/>
        <v>21</v>
      </c>
      <c r="AI625">
        <f t="shared" si="87"/>
        <v>29</v>
      </c>
      <c r="AJ625" t="str">
        <f t="shared" si="88"/>
        <v/>
      </c>
      <c r="AK625">
        <f t="shared" si="89"/>
        <v>-6</v>
      </c>
      <c r="AL625">
        <f t="shared" si="82"/>
        <v>-10</v>
      </c>
      <c r="AM625">
        <f t="shared" si="83"/>
        <v>-12</v>
      </c>
      <c r="AN625">
        <f t="shared" si="84"/>
        <v>-9</v>
      </c>
      <c r="AO625" t="str">
        <f t="shared" si="85"/>
        <v/>
      </c>
    </row>
    <row r="626" spans="1:41">
      <c r="A626">
        <f t="shared" si="90"/>
        <v>622</v>
      </c>
      <c r="B626" t="s">
        <v>278</v>
      </c>
      <c r="C626">
        <v>5</v>
      </c>
      <c r="D626">
        <v>5</v>
      </c>
      <c r="E626" t="s">
        <v>385</v>
      </c>
      <c r="F626">
        <v>412</v>
      </c>
      <c r="G626">
        <v>2</v>
      </c>
      <c r="H626">
        <v>51</v>
      </c>
      <c r="I626" t="s">
        <v>386</v>
      </c>
      <c r="J626" t="s">
        <v>386</v>
      </c>
      <c r="K626">
        <v>100000</v>
      </c>
      <c r="L626">
        <v>20</v>
      </c>
      <c r="M626">
        <v>20</v>
      </c>
      <c r="N626">
        <v>28</v>
      </c>
      <c r="O626">
        <v>0</v>
      </c>
      <c r="P626">
        <v>-9</v>
      </c>
      <c r="Q626">
        <v>-14</v>
      </c>
      <c r="R626">
        <v>-15</v>
      </c>
      <c r="S626">
        <v>-11</v>
      </c>
      <c r="T626">
        <v>0</v>
      </c>
      <c r="U626">
        <v>171</v>
      </c>
      <c r="V626">
        <v>1911.7346199799999</v>
      </c>
      <c r="AH626">
        <f t="shared" si="86"/>
        <v>20</v>
      </c>
      <c r="AI626">
        <f t="shared" si="87"/>
        <v>28</v>
      </c>
      <c r="AJ626" t="str">
        <f t="shared" si="88"/>
        <v/>
      </c>
      <c r="AK626">
        <f t="shared" si="89"/>
        <v>-9</v>
      </c>
      <c r="AL626">
        <f t="shared" si="82"/>
        <v>-14</v>
      </c>
      <c r="AM626">
        <f t="shared" si="83"/>
        <v>-15</v>
      </c>
      <c r="AN626">
        <f t="shared" si="84"/>
        <v>-11</v>
      </c>
      <c r="AO626" t="str">
        <f t="shared" si="85"/>
        <v/>
      </c>
    </row>
    <row r="627" spans="1:41">
      <c r="A627">
        <f t="shared" si="90"/>
        <v>623</v>
      </c>
      <c r="B627" t="s">
        <v>278</v>
      </c>
      <c r="C627">
        <v>5</v>
      </c>
      <c r="D627">
        <v>5</v>
      </c>
      <c r="E627" t="s">
        <v>385</v>
      </c>
      <c r="F627">
        <v>412</v>
      </c>
      <c r="G627">
        <v>2</v>
      </c>
      <c r="H627">
        <v>52</v>
      </c>
      <c r="I627" t="s">
        <v>386</v>
      </c>
      <c r="J627" t="s">
        <v>386</v>
      </c>
      <c r="K627">
        <v>100000</v>
      </c>
      <c r="L627">
        <v>20</v>
      </c>
      <c r="M627">
        <v>20</v>
      </c>
      <c r="N627">
        <v>28</v>
      </c>
      <c r="O627">
        <v>0</v>
      </c>
      <c r="P627">
        <v>-10</v>
      </c>
      <c r="Q627">
        <v>-16</v>
      </c>
      <c r="R627">
        <v>-17</v>
      </c>
      <c r="S627">
        <v>-11</v>
      </c>
      <c r="T627">
        <v>0</v>
      </c>
      <c r="U627">
        <v>168</v>
      </c>
      <c r="V627">
        <v>1925.2168195300001</v>
      </c>
      <c r="AH627">
        <f t="shared" si="86"/>
        <v>20</v>
      </c>
      <c r="AI627">
        <f t="shared" si="87"/>
        <v>28</v>
      </c>
      <c r="AJ627" t="str">
        <f t="shared" si="88"/>
        <v/>
      </c>
      <c r="AK627">
        <f t="shared" si="89"/>
        <v>-10</v>
      </c>
      <c r="AL627">
        <f t="shared" si="82"/>
        <v>-16</v>
      </c>
      <c r="AM627">
        <f t="shared" si="83"/>
        <v>-17</v>
      </c>
      <c r="AN627">
        <f t="shared" si="84"/>
        <v>-11</v>
      </c>
      <c r="AO627" t="str">
        <f t="shared" si="85"/>
        <v/>
      </c>
    </row>
    <row r="628" spans="1:41">
      <c r="A628">
        <f t="shared" si="90"/>
        <v>624</v>
      </c>
      <c r="B628" t="s">
        <v>278</v>
      </c>
      <c r="C628">
        <v>5</v>
      </c>
      <c r="D628">
        <v>5</v>
      </c>
      <c r="E628" t="s">
        <v>385</v>
      </c>
      <c r="F628">
        <v>412</v>
      </c>
      <c r="G628">
        <v>2</v>
      </c>
      <c r="H628">
        <v>53</v>
      </c>
      <c r="I628" t="s">
        <v>386</v>
      </c>
      <c r="J628" t="s">
        <v>386</v>
      </c>
      <c r="K628">
        <v>100000</v>
      </c>
      <c r="L628">
        <v>20</v>
      </c>
      <c r="M628">
        <v>20</v>
      </c>
      <c r="N628">
        <v>27</v>
      </c>
      <c r="O628">
        <v>0</v>
      </c>
      <c r="P628">
        <v>-11</v>
      </c>
      <c r="Q628">
        <v>-17</v>
      </c>
      <c r="R628">
        <v>-17</v>
      </c>
      <c r="S628">
        <v>-11</v>
      </c>
      <c r="T628">
        <v>0</v>
      </c>
      <c r="U628">
        <v>165</v>
      </c>
      <c r="V628">
        <v>1941.46930253</v>
      </c>
      <c r="AH628">
        <f t="shared" si="86"/>
        <v>20</v>
      </c>
      <c r="AI628">
        <f t="shared" si="87"/>
        <v>27</v>
      </c>
      <c r="AJ628" t="str">
        <f t="shared" si="88"/>
        <v/>
      </c>
      <c r="AK628">
        <f t="shared" si="89"/>
        <v>-11</v>
      </c>
      <c r="AL628">
        <f t="shared" si="82"/>
        <v>-17</v>
      </c>
      <c r="AM628">
        <f t="shared" si="83"/>
        <v>-17</v>
      </c>
      <c r="AN628">
        <f t="shared" si="84"/>
        <v>-11</v>
      </c>
      <c r="AO628" t="str">
        <f t="shared" si="85"/>
        <v/>
      </c>
    </row>
    <row r="629" spans="1:41">
      <c r="A629">
        <f t="shared" si="90"/>
        <v>625</v>
      </c>
      <c r="B629" t="s">
        <v>278</v>
      </c>
      <c r="C629">
        <v>5</v>
      </c>
      <c r="D629">
        <v>5</v>
      </c>
      <c r="E629" t="s">
        <v>385</v>
      </c>
      <c r="F629">
        <v>412</v>
      </c>
      <c r="G629">
        <v>2</v>
      </c>
      <c r="H629">
        <v>54</v>
      </c>
      <c r="I629" t="s">
        <v>386</v>
      </c>
      <c r="J629" t="s">
        <v>386</v>
      </c>
      <c r="K629">
        <v>100000</v>
      </c>
      <c r="L629">
        <v>19</v>
      </c>
      <c r="M629">
        <v>19</v>
      </c>
      <c r="N629">
        <v>27</v>
      </c>
      <c r="O629">
        <v>0</v>
      </c>
      <c r="P629">
        <v>-11</v>
      </c>
      <c r="Q629">
        <v>-16</v>
      </c>
      <c r="R629">
        <v>-16</v>
      </c>
      <c r="S629">
        <v>-10</v>
      </c>
      <c r="T629">
        <v>0</v>
      </c>
      <c r="U629">
        <v>163</v>
      </c>
      <c r="V629">
        <v>1960.4872463300001</v>
      </c>
      <c r="AH629">
        <f t="shared" si="86"/>
        <v>19</v>
      </c>
      <c r="AI629">
        <f t="shared" si="87"/>
        <v>27</v>
      </c>
      <c r="AJ629" t="str">
        <f t="shared" si="88"/>
        <v/>
      </c>
      <c r="AK629">
        <f t="shared" si="89"/>
        <v>-11</v>
      </c>
      <c r="AL629">
        <f t="shared" si="82"/>
        <v>-16</v>
      </c>
      <c r="AM629">
        <f t="shared" si="83"/>
        <v>-16</v>
      </c>
      <c r="AN629">
        <f t="shared" si="84"/>
        <v>-10</v>
      </c>
      <c r="AO629" t="str">
        <f t="shared" si="85"/>
        <v/>
      </c>
    </row>
    <row r="630" spans="1:41">
      <c r="A630">
        <f t="shared" si="90"/>
        <v>626</v>
      </c>
      <c r="B630" t="s">
        <v>278</v>
      </c>
      <c r="C630">
        <v>5</v>
      </c>
      <c r="D630">
        <v>5</v>
      </c>
      <c r="E630" t="s">
        <v>385</v>
      </c>
      <c r="F630">
        <v>412</v>
      </c>
      <c r="G630">
        <v>2</v>
      </c>
      <c r="H630">
        <v>55</v>
      </c>
      <c r="I630" t="s">
        <v>386</v>
      </c>
      <c r="J630" t="s">
        <v>386</v>
      </c>
      <c r="K630">
        <v>100000</v>
      </c>
      <c r="L630">
        <v>19</v>
      </c>
      <c r="M630">
        <v>19</v>
      </c>
      <c r="N630">
        <v>26</v>
      </c>
      <c r="O630">
        <v>0</v>
      </c>
      <c r="P630">
        <v>-10</v>
      </c>
      <c r="Q630">
        <v>-14</v>
      </c>
      <c r="R630">
        <v>-13</v>
      </c>
      <c r="S630">
        <v>-8</v>
      </c>
      <c r="T630">
        <v>0</v>
      </c>
      <c r="U630">
        <v>160</v>
      </c>
      <c r="V630">
        <v>1981.80827322</v>
      </c>
      <c r="AH630">
        <f t="shared" si="86"/>
        <v>19</v>
      </c>
      <c r="AI630">
        <f t="shared" si="87"/>
        <v>26</v>
      </c>
      <c r="AJ630" t="str">
        <f t="shared" si="88"/>
        <v/>
      </c>
      <c r="AK630">
        <f t="shared" si="89"/>
        <v>-10</v>
      </c>
      <c r="AL630">
        <f t="shared" si="82"/>
        <v>-14</v>
      </c>
      <c r="AM630">
        <f t="shared" si="83"/>
        <v>-13</v>
      </c>
      <c r="AN630">
        <f t="shared" si="84"/>
        <v>-8</v>
      </c>
      <c r="AO630" t="str">
        <f t="shared" si="85"/>
        <v/>
      </c>
    </row>
    <row r="631" spans="1:41">
      <c r="A631">
        <f t="shared" si="90"/>
        <v>627</v>
      </c>
      <c r="B631" t="s">
        <v>278</v>
      </c>
      <c r="C631">
        <v>5</v>
      </c>
      <c r="D631">
        <v>5</v>
      </c>
      <c r="E631" t="s">
        <v>385</v>
      </c>
      <c r="F631">
        <v>412</v>
      </c>
      <c r="G631">
        <v>2</v>
      </c>
      <c r="H631">
        <v>56</v>
      </c>
      <c r="I631" t="s">
        <v>386</v>
      </c>
      <c r="J631" t="s">
        <v>386</v>
      </c>
      <c r="K631">
        <v>100000</v>
      </c>
      <c r="L631">
        <v>19</v>
      </c>
      <c r="M631">
        <v>19</v>
      </c>
      <c r="N631">
        <v>26</v>
      </c>
      <c r="O631">
        <v>0</v>
      </c>
      <c r="P631">
        <v>-8</v>
      </c>
      <c r="Q631">
        <v>-10</v>
      </c>
      <c r="R631">
        <v>-9</v>
      </c>
      <c r="S631">
        <v>-5</v>
      </c>
      <c r="T631">
        <v>0</v>
      </c>
      <c r="U631">
        <v>158</v>
      </c>
      <c r="V631">
        <v>2005.72244249</v>
      </c>
      <c r="AH631">
        <f t="shared" si="86"/>
        <v>19</v>
      </c>
      <c r="AI631">
        <f t="shared" si="87"/>
        <v>26</v>
      </c>
      <c r="AJ631" t="str">
        <f t="shared" si="88"/>
        <v/>
      </c>
      <c r="AK631">
        <f t="shared" si="89"/>
        <v>-8</v>
      </c>
      <c r="AL631">
        <f t="shared" si="82"/>
        <v>-10</v>
      </c>
      <c r="AM631">
        <f t="shared" si="83"/>
        <v>-9</v>
      </c>
      <c r="AN631">
        <f t="shared" si="84"/>
        <v>-5</v>
      </c>
      <c r="AO631" t="str">
        <f t="shared" si="85"/>
        <v/>
      </c>
    </row>
    <row r="632" spans="1:41">
      <c r="A632">
        <f t="shared" si="90"/>
        <v>628</v>
      </c>
      <c r="B632" t="s">
        <v>278</v>
      </c>
      <c r="C632">
        <v>5</v>
      </c>
      <c r="D632">
        <v>5</v>
      </c>
      <c r="E632" t="s">
        <v>385</v>
      </c>
      <c r="F632">
        <v>412</v>
      </c>
      <c r="G632">
        <v>2</v>
      </c>
      <c r="H632">
        <v>57</v>
      </c>
      <c r="I632" t="s">
        <v>386</v>
      </c>
      <c r="J632" t="s">
        <v>386</v>
      </c>
      <c r="K632">
        <v>100000</v>
      </c>
      <c r="L632">
        <v>18</v>
      </c>
      <c r="M632">
        <v>18</v>
      </c>
      <c r="N632">
        <v>25</v>
      </c>
      <c r="O632">
        <v>0</v>
      </c>
      <c r="P632">
        <v>-5</v>
      </c>
      <c r="Q632">
        <v>-7</v>
      </c>
      <c r="R632">
        <v>-6</v>
      </c>
      <c r="S632">
        <v>-3</v>
      </c>
      <c r="T632">
        <v>0</v>
      </c>
      <c r="U632">
        <v>157</v>
      </c>
      <c r="V632">
        <v>2032.2527260899999</v>
      </c>
      <c r="AH632">
        <f t="shared" si="86"/>
        <v>18</v>
      </c>
      <c r="AI632">
        <f t="shared" si="87"/>
        <v>25</v>
      </c>
      <c r="AJ632" t="str">
        <f t="shared" si="88"/>
        <v/>
      </c>
      <c r="AK632">
        <f t="shared" si="89"/>
        <v>-5</v>
      </c>
      <c r="AL632">
        <f t="shared" si="82"/>
        <v>-7</v>
      </c>
      <c r="AM632">
        <f t="shared" si="83"/>
        <v>-6</v>
      </c>
      <c r="AN632">
        <f t="shared" si="84"/>
        <v>-3</v>
      </c>
      <c r="AO632" t="str">
        <f t="shared" si="85"/>
        <v/>
      </c>
    </row>
    <row r="633" spans="1:41">
      <c r="A633">
        <f t="shared" si="90"/>
        <v>629</v>
      </c>
      <c r="B633" t="s">
        <v>278</v>
      </c>
      <c r="C633">
        <v>5</v>
      </c>
      <c r="D633">
        <v>5</v>
      </c>
      <c r="E633" t="s">
        <v>385</v>
      </c>
      <c r="F633">
        <v>412</v>
      </c>
      <c r="G633">
        <v>2</v>
      </c>
      <c r="H633">
        <v>58</v>
      </c>
      <c r="I633" t="s">
        <v>386</v>
      </c>
      <c r="J633" t="s">
        <v>386</v>
      </c>
      <c r="K633">
        <v>100000</v>
      </c>
      <c r="L633">
        <v>18</v>
      </c>
      <c r="M633">
        <v>18</v>
      </c>
      <c r="N633">
        <v>25</v>
      </c>
      <c r="O633">
        <v>0</v>
      </c>
      <c r="P633">
        <v>-3</v>
      </c>
      <c r="Q633">
        <v>-4</v>
      </c>
      <c r="R633">
        <v>-3</v>
      </c>
      <c r="S633">
        <v>-1</v>
      </c>
      <c r="T633">
        <v>0</v>
      </c>
      <c r="U633">
        <v>156</v>
      </c>
      <c r="V633">
        <v>2062.5203302700002</v>
      </c>
      <c r="AH633">
        <f t="shared" si="86"/>
        <v>18</v>
      </c>
      <c r="AI633">
        <f t="shared" si="87"/>
        <v>25</v>
      </c>
      <c r="AJ633" t="str">
        <f t="shared" si="88"/>
        <v/>
      </c>
      <c r="AK633">
        <f t="shared" si="89"/>
        <v>-3</v>
      </c>
      <c r="AL633">
        <f t="shared" si="82"/>
        <v>-4</v>
      </c>
      <c r="AM633">
        <f t="shared" si="83"/>
        <v>-3</v>
      </c>
      <c r="AN633">
        <f t="shared" si="84"/>
        <v>-1</v>
      </c>
      <c r="AO633" t="str">
        <f t="shared" si="85"/>
        <v/>
      </c>
    </row>
    <row r="634" spans="1:41">
      <c r="A634">
        <f t="shared" si="90"/>
        <v>630</v>
      </c>
      <c r="B634" t="s">
        <v>278</v>
      </c>
      <c r="C634">
        <v>5</v>
      </c>
      <c r="D634">
        <v>5</v>
      </c>
      <c r="E634" t="s">
        <v>385</v>
      </c>
      <c r="F634">
        <v>412</v>
      </c>
      <c r="G634">
        <v>2</v>
      </c>
      <c r="H634">
        <v>59</v>
      </c>
      <c r="I634" t="s">
        <v>386</v>
      </c>
      <c r="J634" t="s">
        <v>386</v>
      </c>
      <c r="K634">
        <v>100000</v>
      </c>
      <c r="L634">
        <v>18</v>
      </c>
      <c r="M634">
        <v>18</v>
      </c>
      <c r="N634">
        <v>25</v>
      </c>
      <c r="O634">
        <v>0</v>
      </c>
      <c r="P634">
        <v>-1</v>
      </c>
      <c r="Q634">
        <v>-1</v>
      </c>
      <c r="R634">
        <v>-1</v>
      </c>
      <c r="S634">
        <v>0</v>
      </c>
      <c r="T634">
        <v>0</v>
      </c>
      <c r="U634">
        <v>155</v>
      </c>
      <c r="V634">
        <v>2097.7190611599999</v>
      </c>
      <c r="AH634">
        <f t="shared" si="86"/>
        <v>18</v>
      </c>
      <c r="AI634">
        <f t="shared" si="87"/>
        <v>25</v>
      </c>
      <c r="AJ634" t="str">
        <f t="shared" si="88"/>
        <v/>
      </c>
      <c r="AK634">
        <f t="shared" si="89"/>
        <v>-1</v>
      </c>
      <c r="AL634">
        <f t="shared" si="82"/>
        <v>-1</v>
      </c>
      <c r="AM634">
        <f t="shared" si="83"/>
        <v>-1</v>
      </c>
      <c r="AN634" t="str">
        <f t="shared" si="84"/>
        <v/>
      </c>
      <c r="AO634" t="str">
        <f t="shared" si="85"/>
        <v/>
      </c>
    </row>
    <row r="635" spans="1:41">
      <c r="A635">
        <f t="shared" si="90"/>
        <v>631</v>
      </c>
      <c r="B635" t="s">
        <v>278</v>
      </c>
      <c r="C635">
        <v>5</v>
      </c>
      <c r="D635">
        <v>5</v>
      </c>
      <c r="E635" t="s">
        <v>385</v>
      </c>
      <c r="F635">
        <v>412</v>
      </c>
      <c r="G635">
        <v>2</v>
      </c>
      <c r="H635">
        <v>60</v>
      </c>
      <c r="I635" t="s">
        <v>386</v>
      </c>
      <c r="J635" t="s">
        <v>386</v>
      </c>
      <c r="K635">
        <v>100000</v>
      </c>
      <c r="L635">
        <v>18</v>
      </c>
      <c r="M635">
        <v>18</v>
      </c>
      <c r="N635">
        <v>25</v>
      </c>
      <c r="O635">
        <v>0</v>
      </c>
      <c r="P635">
        <v>-1</v>
      </c>
      <c r="Q635">
        <v>0</v>
      </c>
      <c r="R635">
        <v>0</v>
      </c>
      <c r="S635">
        <v>0</v>
      </c>
      <c r="T635">
        <v>0</v>
      </c>
      <c r="U635">
        <v>155</v>
      </c>
      <c r="V635">
        <v>2139.5694527999999</v>
      </c>
      <c r="AH635">
        <f t="shared" si="86"/>
        <v>18</v>
      </c>
      <c r="AI635">
        <f t="shared" si="87"/>
        <v>25</v>
      </c>
      <c r="AJ635" t="str">
        <f t="shared" si="88"/>
        <v/>
      </c>
      <c r="AK635">
        <f t="shared" si="89"/>
        <v>-1</v>
      </c>
      <c r="AL635" t="str">
        <f t="shared" si="82"/>
        <v/>
      </c>
      <c r="AM635" t="str">
        <f t="shared" si="83"/>
        <v/>
      </c>
      <c r="AN635" t="str">
        <f t="shared" si="84"/>
        <v/>
      </c>
      <c r="AO635" t="str">
        <f t="shared" si="85"/>
        <v/>
      </c>
    </row>
    <row r="636" spans="1:41">
      <c r="A636">
        <f t="shared" si="90"/>
        <v>632</v>
      </c>
      <c r="B636" t="s">
        <v>278</v>
      </c>
      <c r="C636">
        <v>5</v>
      </c>
      <c r="D636">
        <v>5</v>
      </c>
      <c r="E636" t="s">
        <v>385</v>
      </c>
      <c r="F636">
        <v>412</v>
      </c>
      <c r="G636">
        <v>2</v>
      </c>
      <c r="H636">
        <v>61</v>
      </c>
      <c r="I636" t="s">
        <v>386</v>
      </c>
      <c r="J636" t="s">
        <v>386</v>
      </c>
      <c r="K636">
        <v>100000</v>
      </c>
      <c r="L636">
        <v>18</v>
      </c>
      <c r="M636">
        <v>18</v>
      </c>
      <c r="N636">
        <v>25</v>
      </c>
      <c r="O636">
        <v>0</v>
      </c>
      <c r="P636">
        <v>0</v>
      </c>
      <c r="Q636">
        <v>0</v>
      </c>
      <c r="R636">
        <v>-1</v>
      </c>
      <c r="S636">
        <v>-1</v>
      </c>
      <c r="T636">
        <v>0</v>
      </c>
      <c r="U636">
        <v>155</v>
      </c>
      <c r="V636">
        <v>2187.9164798000002</v>
      </c>
      <c r="AH636">
        <f t="shared" si="86"/>
        <v>18</v>
      </c>
      <c r="AI636">
        <f t="shared" si="87"/>
        <v>25</v>
      </c>
      <c r="AJ636" t="str">
        <f t="shared" si="88"/>
        <v/>
      </c>
      <c r="AK636" t="str">
        <f t="shared" si="89"/>
        <v/>
      </c>
      <c r="AL636" t="str">
        <f t="shared" si="82"/>
        <v/>
      </c>
      <c r="AM636">
        <f t="shared" si="83"/>
        <v>-1</v>
      </c>
      <c r="AN636">
        <f t="shared" si="84"/>
        <v>-1</v>
      </c>
      <c r="AO636" t="str">
        <f t="shared" si="85"/>
        <v/>
      </c>
    </row>
    <row r="637" spans="1:41">
      <c r="A637">
        <f t="shared" si="90"/>
        <v>633</v>
      </c>
      <c r="B637" t="s">
        <v>278</v>
      </c>
      <c r="C637">
        <v>5</v>
      </c>
      <c r="D637">
        <v>5</v>
      </c>
      <c r="E637" t="s">
        <v>385</v>
      </c>
      <c r="F637">
        <v>412</v>
      </c>
      <c r="G637">
        <v>2</v>
      </c>
      <c r="H637">
        <v>62</v>
      </c>
      <c r="I637" t="s">
        <v>386</v>
      </c>
      <c r="J637" t="s">
        <v>386</v>
      </c>
      <c r="K637">
        <v>100000</v>
      </c>
      <c r="L637">
        <v>18</v>
      </c>
      <c r="M637">
        <v>18</v>
      </c>
      <c r="N637">
        <v>25</v>
      </c>
      <c r="O637">
        <v>0</v>
      </c>
      <c r="P637">
        <v>-1</v>
      </c>
      <c r="Q637">
        <v>-1</v>
      </c>
      <c r="R637">
        <v>-2</v>
      </c>
      <c r="S637">
        <v>-2</v>
      </c>
      <c r="T637">
        <v>0</v>
      </c>
      <c r="U637">
        <v>155</v>
      </c>
      <c r="V637">
        <v>2243.1032454000001</v>
      </c>
      <c r="AH637">
        <f t="shared" si="86"/>
        <v>18</v>
      </c>
      <c r="AI637">
        <f t="shared" si="87"/>
        <v>25</v>
      </c>
      <c r="AJ637" t="str">
        <f t="shared" si="88"/>
        <v/>
      </c>
      <c r="AK637">
        <f t="shared" si="89"/>
        <v>-1</v>
      </c>
      <c r="AL637">
        <f t="shared" si="82"/>
        <v>-1</v>
      </c>
      <c r="AM637">
        <f t="shared" si="83"/>
        <v>-2</v>
      </c>
      <c r="AN637">
        <f t="shared" si="84"/>
        <v>-2</v>
      </c>
      <c r="AO637" t="str">
        <f t="shared" si="85"/>
        <v/>
      </c>
    </row>
    <row r="638" spans="1:41">
      <c r="A638">
        <f t="shared" si="90"/>
        <v>634</v>
      </c>
      <c r="B638" t="s">
        <v>278</v>
      </c>
      <c r="C638">
        <v>5</v>
      </c>
      <c r="D638">
        <v>5</v>
      </c>
      <c r="E638" t="s">
        <v>385</v>
      </c>
      <c r="F638">
        <v>412</v>
      </c>
      <c r="G638">
        <v>2</v>
      </c>
      <c r="H638">
        <v>63</v>
      </c>
      <c r="I638" t="s">
        <v>386</v>
      </c>
      <c r="J638" t="s">
        <v>386</v>
      </c>
      <c r="K638">
        <v>100000</v>
      </c>
      <c r="L638">
        <v>18</v>
      </c>
      <c r="M638">
        <v>18</v>
      </c>
      <c r="N638">
        <v>25</v>
      </c>
      <c r="O638">
        <v>0</v>
      </c>
      <c r="P638">
        <v>-1</v>
      </c>
      <c r="Q638">
        <v>-2</v>
      </c>
      <c r="R638">
        <v>-3</v>
      </c>
      <c r="S638">
        <v>-2</v>
      </c>
      <c r="T638">
        <v>0</v>
      </c>
      <c r="U638">
        <v>155</v>
      </c>
      <c r="V638">
        <v>2307.4359912800001</v>
      </c>
      <c r="AH638">
        <f t="shared" si="86"/>
        <v>18</v>
      </c>
      <c r="AI638">
        <f t="shared" si="87"/>
        <v>25</v>
      </c>
      <c r="AJ638" t="str">
        <f t="shared" si="88"/>
        <v/>
      </c>
      <c r="AK638">
        <f t="shared" si="89"/>
        <v>-1</v>
      </c>
      <c r="AL638">
        <f t="shared" si="82"/>
        <v>-2</v>
      </c>
      <c r="AM638">
        <f t="shared" si="83"/>
        <v>-3</v>
      </c>
      <c r="AN638">
        <f t="shared" si="84"/>
        <v>-2</v>
      </c>
      <c r="AO638" t="str">
        <f t="shared" si="85"/>
        <v/>
      </c>
    </row>
    <row r="639" spans="1:41">
      <c r="A639">
        <f t="shared" si="90"/>
        <v>635</v>
      </c>
      <c r="B639" t="s">
        <v>278</v>
      </c>
      <c r="C639">
        <v>5</v>
      </c>
      <c r="D639">
        <v>5</v>
      </c>
      <c r="E639" t="s">
        <v>385</v>
      </c>
      <c r="F639">
        <v>412</v>
      </c>
      <c r="G639">
        <v>2</v>
      </c>
      <c r="H639">
        <v>64</v>
      </c>
      <c r="I639" t="s">
        <v>386</v>
      </c>
      <c r="J639" t="s">
        <v>386</v>
      </c>
      <c r="K639">
        <v>100000</v>
      </c>
      <c r="L639">
        <v>18</v>
      </c>
      <c r="M639">
        <v>18</v>
      </c>
      <c r="N639">
        <v>25</v>
      </c>
      <c r="O639">
        <v>0</v>
      </c>
      <c r="P639">
        <v>-2</v>
      </c>
      <c r="Q639">
        <v>-3</v>
      </c>
      <c r="R639">
        <v>-3</v>
      </c>
      <c r="S639">
        <v>-2</v>
      </c>
      <c r="T639">
        <v>0</v>
      </c>
      <c r="U639">
        <v>154</v>
      </c>
      <c r="V639">
        <v>2389.3240368400002</v>
      </c>
      <c r="AH639">
        <f t="shared" si="86"/>
        <v>18</v>
      </c>
      <c r="AI639">
        <f t="shared" si="87"/>
        <v>25</v>
      </c>
      <c r="AJ639" t="str">
        <f t="shared" si="88"/>
        <v/>
      </c>
      <c r="AK639">
        <f t="shared" si="89"/>
        <v>-2</v>
      </c>
      <c r="AL639">
        <f t="shared" si="82"/>
        <v>-3</v>
      </c>
      <c r="AM639">
        <f t="shared" si="83"/>
        <v>-3</v>
      </c>
      <c r="AN639">
        <f t="shared" si="84"/>
        <v>-2</v>
      </c>
      <c r="AO639" t="str">
        <f t="shared" si="85"/>
        <v/>
      </c>
    </row>
    <row r="640" spans="1:41">
      <c r="A640">
        <f t="shared" si="90"/>
        <v>636</v>
      </c>
      <c r="B640" t="s">
        <v>278</v>
      </c>
      <c r="C640">
        <v>5</v>
      </c>
      <c r="D640">
        <v>5</v>
      </c>
      <c r="E640" t="s">
        <v>385</v>
      </c>
      <c r="F640">
        <v>412</v>
      </c>
      <c r="G640">
        <v>2</v>
      </c>
      <c r="H640">
        <v>65</v>
      </c>
      <c r="I640" t="s">
        <v>386</v>
      </c>
      <c r="J640" t="s">
        <v>386</v>
      </c>
      <c r="K640">
        <v>100000</v>
      </c>
      <c r="L640">
        <v>18</v>
      </c>
      <c r="M640">
        <v>18</v>
      </c>
      <c r="N640">
        <v>25</v>
      </c>
      <c r="O640">
        <v>0</v>
      </c>
      <c r="P640">
        <v>-2</v>
      </c>
      <c r="Q640">
        <v>-4</v>
      </c>
      <c r="R640">
        <v>-3</v>
      </c>
      <c r="S640">
        <v>-2</v>
      </c>
      <c r="T640">
        <v>0</v>
      </c>
      <c r="U640">
        <v>154</v>
      </c>
      <c r="V640">
        <v>2498.72084159</v>
      </c>
      <c r="AH640">
        <f t="shared" si="86"/>
        <v>18</v>
      </c>
      <c r="AI640">
        <f t="shared" si="87"/>
        <v>25</v>
      </c>
      <c r="AJ640" t="str">
        <f t="shared" si="88"/>
        <v/>
      </c>
      <c r="AK640">
        <f t="shared" si="89"/>
        <v>-2</v>
      </c>
      <c r="AL640">
        <f t="shared" si="82"/>
        <v>-4</v>
      </c>
      <c r="AM640">
        <f t="shared" si="83"/>
        <v>-3</v>
      </c>
      <c r="AN640">
        <f t="shared" si="84"/>
        <v>-2</v>
      </c>
      <c r="AO640" t="str">
        <f t="shared" si="85"/>
        <v/>
      </c>
    </row>
    <row r="641" spans="1:41">
      <c r="A641">
        <f t="shared" si="90"/>
        <v>637</v>
      </c>
      <c r="B641" t="s">
        <v>278</v>
      </c>
      <c r="C641">
        <v>5</v>
      </c>
      <c r="D641">
        <v>5</v>
      </c>
      <c r="E641" t="s">
        <v>385</v>
      </c>
      <c r="F641">
        <v>412</v>
      </c>
      <c r="G641">
        <v>2</v>
      </c>
      <c r="H641">
        <v>66</v>
      </c>
      <c r="I641" t="s">
        <v>386</v>
      </c>
      <c r="J641" t="s">
        <v>386</v>
      </c>
      <c r="K641">
        <v>100000</v>
      </c>
      <c r="L641">
        <v>18</v>
      </c>
      <c r="M641">
        <v>18</v>
      </c>
      <c r="N641">
        <v>25</v>
      </c>
      <c r="O641">
        <v>0</v>
      </c>
      <c r="P641">
        <v>-2</v>
      </c>
      <c r="Q641">
        <v>-3</v>
      </c>
      <c r="R641">
        <v>-3</v>
      </c>
      <c r="S641">
        <v>-2</v>
      </c>
      <c r="T641">
        <v>0</v>
      </c>
      <c r="U641">
        <v>153</v>
      </c>
      <c r="V641">
        <v>2646.4528154099999</v>
      </c>
      <c r="AH641">
        <f t="shared" si="86"/>
        <v>18</v>
      </c>
      <c r="AI641">
        <f t="shared" si="87"/>
        <v>25</v>
      </c>
      <c r="AJ641" t="str">
        <f t="shared" si="88"/>
        <v/>
      </c>
      <c r="AK641">
        <f t="shared" si="89"/>
        <v>-2</v>
      </c>
      <c r="AL641">
        <f t="shared" si="82"/>
        <v>-3</v>
      </c>
      <c r="AM641">
        <f t="shared" si="83"/>
        <v>-3</v>
      </c>
      <c r="AN641">
        <f t="shared" si="84"/>
        <v>-2</v>
      </c>
      <c r="AO641" t="str">
        <f t="shared" si="85"/>
        <v/>
      </c>
    </row>
    <row r="642" spans="1:41">
      <c r="A642">
        <f t="shared" si="90"/>
        <v>638</v>
      </c>
      <c r="B642" t="s">
        <v>278</v>
      </c>
      <c r="C642">
        <v>5</v>
      </c>
      <c r="D642">
        <v>5</v>
      </c>
      <c r="E642" t="s">
        <v>385</v>
      </c>
      <c r="F642">
        <v>412</v>
      </c>
      <c r="G642">
        <v>2</v>
      </c>
      <c r="H642">
        <v>67</v>
      </c>
      <c r="I642" t="s">
        <v>386</v>
      </c>
      <c r="J642" t="s">
        <v>386</v>
      </c>
      <c r="K642">
        <v>100000</v>
      </c>
      <c r="L642">
        <v>18</v>
      </c>
      <c r="M642">
        <v>18</v>
      </c>
      <c r="N642">
        <v>25</v>
      </c>
      <c r="O642">
        <v>0</v>
      </c>
      <c r="P642">
        <v>-2</v>
      </c>
      <c r="Q642">
        <v>-3</v>
      </c>
      <c r="R642">
        <v>-3</v>
      </c>
      <c r="S642">
        <v>-2</v>
      </c>
      <c r="T642">
        <v>0</v>
      </c>
      <c r="U642">
        <v>153</v>
      </c>
      <c r="V642">
        <v>2839.01829481</v>
      </c>
      <c r="AH642">
        <f t="shared" si="86"/>
        <v>18</v>
      </c>
      <c r="AI642">
        <f t="shared" si="87"/>
        <v>25</v>
      </c>
      <c r="AJ642" t="str">
        <f t="shared" si="88"/>
        <v/>
      </c>
      <c r="AK642">
        <f t="shared" si="89"/>
        <v>-2</v>
      </c>
      <c r="AL642">
        <f t="shared" si="82"/>
        <v>-3</v>
      </c>
      <c r="AM642">
        <f t="shared" si="83"/>
        <v>-3</v>
      </c>
      <c r="AN642">
        <f t="shared" si="84"/>
        <v>-2</v>
      </c>
      <c r="AO642" t="str">
        <f t="shared" si="85"/>
        <v/>
      </c>
    </row>
    <row r="643" spans="1:41">
      <c r="A643">
        <f t="shared" si="90"/>
        <v>639</v>
      </c>
      <c r="B643" t="s">
        <v>278</v>
      </c>
      <c r="C643">
        <v>5</v>
      </c>
      <c r="D643">
        <v>5</v>
      </c>
      <c r="E643" t="s">
        <v>385</v>
      </c>
      <c r="F643">
        <v>412</v>
      </c>
      <c r="G643">
        <v>2</v>
      </c>
      <c r="H643">
        <v>68</v>
      </c>
      <c r="I643" t="s">
        <v>386</v>
      </c>
      <c r="J643" t="s">
        <v>386</v>
      </c>
      <c r="K643">
        <v>100000</v>
      </c>
      <c r="L643">
        <v>18</v>
      </c>
      <c r="M643">
        <v>18</v>
      </c>
      <c r="N643">
        <v>24</v>
      </c>
      <c r="O643">
        <v>0</v>
      </c>
      <c r="P643">
        <v>-2</v>
      </c>
      <c r="Q643">
        <v>-2</v>
      </c>
      <c r="R643">
        <v>-2</v>
      </c>
      <c r="S643">
        <v>-1</v>
      </c>
      <c r="T643">
        <v>0</v>
      </c>
      <c r="U643">
        <v>152</v>
      </c>
      <c r="V643">
        <v>3080.07554514</v>
      </c>
      <c r="AH643">
        <f t="shared" si="86"/>
        <v>18</v>
      </c>
      <c r="AI643">
        <f t="shared" si="87"/>
        <v>24</v>
      </c>
      <c r="AJ643" t="str">
        <f t="shared" si="88"/>
        <v/>
      </c>
      <c r="AK643">
        <f t="shared" si="89"/>
        <v>-2</v>
      </c>
      <c r="AL643">
        <f t="shared" si="82"/>
        <v>-2</v>
      </c>
      <c r="AM643">
        <f t="shared" si="83"/>
        <v>-2</v>
      </c>
      <c r="AN643">
        <f t="shared" si="84"/>
        <v>-1</v>
      </c>
      <c r="AO643" t="str">
        <f t="shared" si="85"/>
        <v/>
      </c>
    </row>
    <row r="644" spans="1:41">
      <c r="A644">
        <f t="shared" si="90"/>
        <v>640</v>
      </c>
      <c r="B644" t="s">
        <v>278</v>
      </c>
      <c r="C644">
        <v>5</v>
      </c>
      <c r="D644">
        <v>5</v>
      </c>
      <c r="E644" t="s">
        <v>385</v>
      </c>
      <c r="F644">
        <v>412</v>
      </c>
      <c r="G644">
        <v>2</v>
      </c>
      <c r="H644">
        <v>69</v>
      </c>
      <c r="I644" t="s">
        <v>386</v>
      </c>
      <c r="J644" t="s">
        <v>386</v>
      </c>
      <c r="K644">
        <v>100000</v>
      </c>
      <c r="L644">
        <v>18</v>
      </c>
      <c r="M644">
        <v>18</v>
      </c>
      <c r="N644">
        <v>24</v>
      </c>
      <c r="O644">
        <v>0</v>
      </c>
      <c r="P644">
        <v>-1</v>
      </c>
      <c r="Q644">
        <v>-1</v>
      </c>
      <c r="R644">
        <v>0</v>
      </c>
      <c r="S644">
        <v>0</v>
      </c>
      <c r="T644">
        <v>0</v>
      </c>
      <c r="U644">
        <v>152</v>
      </c>
      <c r="V644">
        <v>3368.375951</v>
      </c>
      <c r="AH644">
        <f t="shared" si="86"/>
        <v>18</v>
      </c>
      <c r="AI644">
        <f t="shared" si="87"/>
        <v>24</v>
      </c>
      <c r="AJ644" t="str">
        <f t="shared" si="88"/>
        <v/>
      </c>
      <c r="AK644">
        <f t="shared" si="89"/>
        <v>-1</v>
      </c>
      <c r="AL644">
        <f t="shared" si="82"/>
        <v>-1</v>
      </c>
      <c r="AM644" t="str">
        <f t="shared" si="83"/>
        <v/>
      </c>
      <c r="AN644" t="str">
        <f t="shared" si="84"/>
        <v/>
      </c>
      <c r="AO644" t="str">
        <f t="shared" si="85"/>
        <v/>
      </c>
    </row>
    <row r="645" spans="1:41">
      <c r="A645">
        <f t="shared" si="90"/>
        <v>641</v>
      </c>
      <c r="B645" t="s">
        <v>278</v>
      </c>
      <c r="C645">
        <v>5</v>
      </c>
      <c r="D645">
        <v>5</v>
      </c>
      <c r="E645" t="s">
        <v>385</v>
      </c>
      <c r="F645">
        <v>412</v>
      </c>
      <c r="G645">
        <v>2</v>
      </c>
      <c r="H645">
        <v>70</v>
      </c>
      <c r="I645" t="s">
        <v>386</v>
      </c>
      <c r="J645" t="s">
        <v>386</v>
      </c>
      <c r="K645">
        <v>100000</v>
      </c>
      <c r="L645">
        <v>18</v>
      </c>
      <c r="M645">
        <v>18</v>
      </c>
      <c r="N645">
        <v>24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152</v>
      </c>
      <c r="V645">
        <v>3705.1161232099998</v>
      </c>
      <c r="AH645">
        <f t="shared" si="86"/>
        <v>18</v>
      </c>
      <c r="AI645">
        <f t="shared" si="87"/>
        <v>24</v>
      </c>
      <c r="AJ645" t="str">
        <f t="shared" si="88"/>
        <v/>
      </c>
      <c r="AK645" t="str">
        <f t="shared" si="89"/>
        <v/>
      </c>
      <c r="AL645" t="str">
        <f t="shared" ref="AL645:AL708" si="91">IF(Q645=AC645, "", Q645-AC645)</f>
        <v/>
      </c>
      <c r="AM645" t="str">
        <f t="shared" ref="AM645:AM708" si="92">IF(R645=AD645, "", R645-AD645)</f>
        <v/>
      </c>
      <c r="AN645" t="str">
        <f t="shared" ref="AN645:AN708" si="93">IF(S645=AE645, "", S645-AE645)</f>
        <v/>
      </c>
      <c r="AO645" t="str">
        <f t="shared" ref="AO645:AO708" si="94">IF(T645=AF645, "", T645-AF645)</f>
        <v/>
      </c>
    </row>
    <row r="646" spans="1:41">
      <c r="A646">
        <f t="shared" si="90"/>
        <v>642</v>
      </c>
      <c r="B646" t="s">
        <v>278</v>
      </c>
      <c r="C646">
        <v>5</v>
      </c>
      <c r="D646">
        <v>5</v>
      </c>
      <c r="E646" t="s">
        <v>385</v>
      </c>
      <c r="F646">
        <v>412</v>
      </c>
      <c r="G646">
        <v>2</v>
      </c>
      <c r="H646">
        <v>71</v>
      </c>
      <c r="I646" t="s">
        <v>386</v>
      </c>
      <c r="J646" t="s">
        <v>386</v>
      </c>
      <c r="K646">
        <v>100000</v>
      </c>
      <c r="L646">
        <v>18</v>
      </c>
      <c r="M646">
        <v>18</v>
      </c>
      <c r="N646">
        <v>24</v>
      </c>
      <c r="O646">
        <v>0</v>
      </c>
      <c r="P646">
        <v>0</v>
      </c>
      <c r="Q646">
        <v>0</v>
      </c>
      <c r="R646">
        <v>-1</v>
      </c>
      <c r="S646">
        <v>-1</v>
      </c>
      <c r="T646">
        <v>0</v>
      </c>
      <c r="U646">
        <v>152</v>
      </c>
      <c r="V646">
        <v>4096.9237143800001</v>
      </c>
      <c r="AH646">
        <f t="shared" ref="AH646:AH709" si="95">IF(L646=Y646, "",L646-Y646)</f>
        <v>18</v>
      </c>
      <c r="AI646">
        <f t="shared" ref="AI646:AI709" si="96">IF(N646=Z646, "", N646-Z646)</f>
        <v>24</v>
      </c>
      <c r="AJ646" t="str">
        <f t="shared" ref="AJ646:AJ709" si="97">IF(O646=AA646, "", O646-AA646)</f>
        <v/>
      </c>
      <c r="AK646" t="str">
        <f t="shared" ref="AK646:AK709" si="98">IF(P646=AB646, "", P646-AB646)</f>
        <v/>
      </c>
      <c r="AL646" t="str">
        <f t="shared" si="91"/>
        <v/>
      </c>
      <c r="AM646">
        <f t="shared" si="92"/>
        <v>-1</v>
      </c>
      <c r="AN646">
        <f t="shared" si="93"/>
        <v>-1</v>
      </c>
      <c r="AO646" t="str">
        <f t="shared" si="94"/>
        <v/>
      </c>
    </row>
    <row r="647" spans="1:41">
      <c r="A647">
        <f t="shared" ref="A647:A710" si="99">A646+1</f>
        <v>643</v>
      </c>
      <c r="B647" t="s">
        <v>278</v>
      </c>
      <c r="C647">
        <v>5</v>
      </c>
      <c r="D647">
        <v>5</v>
      </c>
      <c r="E647" t="s">
        <v>385</v>
      </c>
      <c r="F647">
        <v>412</v>
      </c>
      <c r="G647">
        <v>2</v>
      </c>
      <c r="H647">
        <v>72</v>
      </c>
      <c r="I647" t="s">
        <v>386</v>
      </c>
      <c r="J647" t="s">
        <v>386</v>
      </c>
      <c r="K647">
        <v>100000</v>
      </c>
      <c r="L647">
        <v>18</v>
      </c>
      <c r="M647">
        <v>18</v>
      </c>
      <c r="N647">
        <v>24</v>
      </c>
      <c r="O647">
        <v>0</v>
      </c>
      <c r="P647">
        <v>-1</v>
      </c>
      <c r="Q647">
        <v>-3</v>
      </c>
      <c r="R647">
        <v>-4</v>
      </c>
      <c r="S647">
        <v>-4</v>
      </c>
      <c r="T647">
        <v>0</v>
      </c>
      <c r="U647">
        <v>152</v>
      </c>
      <c r="V647">
        <v>4556.1163563299997</v>
      </c>
      <c r="AH647">
        <f t="shared" si="95"/>
        <v>18</v>
      </c>
      <c r="AI647">
        <f t="shared" si="96"/>
        <v>24</v>
      </c>
      <c r="AJ647" t="str">
        <f t="shared" si="97"/>
        <v/>
      </c>
      <c r="AK647">
        <f t="shared" si="98"/>
        <v>-1</v>
      </c>
      <c r="AL647">
        <f t="shared" si="91"/>
        <v>-3</v>
      </c>
      <c r="AM647">
        <f t="shared" si="92"/>
        <v>-4</v>
      </c>
      <c r="AN647">
        <f t="shared" si="93"/>
        <v>-4</v>
      </c>
      <c r="AO647" t="str">
        <f t="shared" si="94"/>
        <v/>
      </c>
    </row>
    <row r="648" spans="1:41">
      <c r="A648">
        <f t="shared" si="99"/>
        <v>644</v>
      </c>
      <c r="B648" t="s">
        <v>278</v>
      </c>
      <c r="C648">
        <v>5</v>
      </c>
      <c r="D648">
        <v>5</v>
      </c>
      <c r="E648" t="s">
        <v>385</v>
      </c>
      <c r="F648">
        <v>412</v>
      </c>
      <c r="G648">
        <v>2</v>
      </c>
      <c r="H648">
        <v>73</v>
      </c>
      <c r="I648" t="s">
        <v>386</v>
      </c>
      <c r="J648" t="s">
        <v>386</v>
      </c>
      <c r="K648">
        <v>100000</v>
      </c>
      <c r="L648">
        <v>17</v>
      </c>
      <c r="M648">
        <v>17</v>
      </c>
      <c r="N648">
        <v>24</v>
      </c>
      <c r="O648">
        <v>0</v>
      </c>
      <c r="P648">
        <v>-4</v>
      </c>
      <c r="Q648">
        <v>-7</v>
      </c>
      <c r="R648">
        <v>-9</v>
      </c>
      <c r="S648">
        <v>-7</v>
      </c>
      <c r="T648">
        <v>0</v>
      </c>
      <c r="U648">
        <v>151</v>
      </c>
      <c r="V648">
        <v>5110.01006813</v>
      </c>
      <c r="AH648">
        <f t="shared" si="95"/>
        <v>17</v>
      </c>
      <c r="AI648">
        <f t="shared" si="96"/>
        <v>24</v>
      </c>
      <c r="AJ648" t="str">
        <f t="shared" si="97"/>
        <v/>
      </c>
      <c r="AK648">
        <f t="shared" si="98"/>
        <v>-4</v>
      </c>
      <c r="AL648">
        <f t="shared" si="91"/>
        <v>-7</v>
      </c>
      <c r="AM648">
        <f t="shared" si="92"/>
        <v>-9</v>
      </c>
      <c r="AN648">
        <f t="shared" si="93"/>
        <v>-7</v>
      </c>
      <c r="AO648" t="str">
        <f t="shared" si="94"/>
        <v/>
      </c>
    </row>
    <row r="649" spans="1:41">
      <c r="A649">
        <f t="shared" si="99"/>
        <v>645</v>
      </c>
      <c r="B649" t="s">
        <v>278</v>
      </c>
      <c r="C649">
        <v>5</v>
      </c>
      <c r="D649">
        <v>5</v>
      </c>
      <c r="E649" t="s">
        <v>385</v>
      </c>
      <c r="F649">
        <v>412</v>
      </c>
      <c r="G649">
        <v>2</v>
      </c>
      <c r="H649">
        <v>74</v>
      </c>
      <c r="I649" t="s">
        <v>386</v>
      </c>
      <c r="J649" t="s">
        <v>386</v>
      </c>
      <c r="K649">
        <v>100000</v>
      </c>
      <c r="L649">
        <v>17</v>
      </c>
      <c r="M649">
        <v>17</v>
      </c>
      <c r="N649">
        <v>24</v>
      </c>
      <c r="O649">
        <v>0</v>
      </c>
      <c r="P649">
        <v>-6</v>
      </c>
      <c r="Q649">
        <v>-11</v>
      </c>
      <c r="R649">
        <v>-12</v>
      </c>
      <c r="S649">
        <v>-8</v>
      </c>
      <c r="T649">
        <v>0</v>
      </c>
      <c r="U649">
        <v>149</v>
      </c>
      <c r="V649">
        <v>5781.4440114700001</v>
      </c>
      <c r="AH649">
        <f t="shared" si="95"/>
        <v>17</v>
      </c>
      <c r="AI649">
        <f t="shared" si="96"/>
        <v>24</v>
      </c>
      <c r="AJ649" t="str">
        <f t="shared" si="97"/>
        <v/>
      </c>
      <c r="AK649">
        <f t="shared" si="98"/>
        <v>-6</v>
      </c>
      <c r="AL649">
        <f t="shared" si="91"/>
        <v>-11</v>
      </c>
      <c r="AM649">
        <f t="shared" si="92"/>
        <v>-12</v>
      </c>
      <c r="AN649">
        <f t="shared" si="93"/>
        <v>-8</v>
      </c>
      <c r="AO649" t="str">
        <f t="shared" si="94"/>
        <v/>
      </c>
    </row>
    <row r="650" spans="1:41">
      <c r="A650">
        <f t="shared" si="99"/>
        <v>646</v>
      </c>
      <c r="B650" t="s">
        <v>278</v>
      </c>
      <c r="C650">
        <v>5</v>
      </c>
      <c r="D650">
        <v>5</v>
      </c>
      <c r="E650" t="s">
        <v>385</v>
      </c>
      <c r="F650">
        <v>412</v>
      </c>
      <c r="G650">
        <v>2</v>
      </c>
      <c r="H650">
        <v>75</v>
      </c>
      <c r="I650" t="s">
        <v>386</v>
      </c>
      <c r="J650" t="s">
        <v>386</v>
      </c>
      <c r="K650">
        <v>100000</v>
      </c>
      <c r="L650">
        <v>17</v>
      </c>
      <c r="M650">
        <v>17</v>
      </c>
      <c r="N650">
        <v>23</v>
      </c>
      <c r="O650">
        <v>0</v>
      </c>
      <c r="P650">
        <v>-8</v>
      </c>
      <c r="Q650">
        <v>-13</v>
      </c>
      <c r="R650">
        <v>-12</v>
      </c>
      <c r="S650">
        <v>-8</v>
      </c>
      <c r="T650">
        <v>0</v>
      </c>
      <c r="U650">
        <v>147</v>
      </c>
      <c r="V650">
        <v>6580.9730450400002</v>
      </c>
      <c r="AH650">
        <f t="shared" si="95"/>
        <v>17</v>
      </c>
      <c r="AI650">
        <f t="shared" si="96"/>
        <v>23</v>
      </c>
      <c r="AJ650" t="str">
        <f t="shared" si="97"/>
        <v/>
      </c>
      <c r="AK650">
        <f t="shared" si="98"/>
        <v>-8</v>
      </c>
      <c r="AL650">
        <f t="shared" si="91"/>
        <v>-13</v>
      </c>
      <c r="AM650">
        <f t="shared" si="92"/>
        <v>-12</v>
      </c>
      <c r="AN650">
        <f t="shared" si="93"/>
        <v>-8</v>
      </c>
      <c r="AO650" t="str">
        <f t="shared" si="94"/>
        <v/>
      </c>
    </row>
    <row r="651" spans="1:41">
      <c r="A651">
        <f t="shared" si="99"/>
        <v>647</v>
      </c>
      <c r="B651" t="s">
        <v>278</v>
      </c>
      <c r="C651">
        <v>4</v>
      </c>
      <c r="D651">
        <v>4</v>
      </c>
      <c r="E651" t="s">
        <v>385</v>
      </c>
      <c r="F651">
        <v>412</v>
      </c>
      <c r="G651">
        <v>2</v>
      </c>
      <c r="H651">
        <v>76</v>
      </c>
      <c r="I651" t="s">
        <v>386</v>
      </c>
      <c r="J651" t="s">
        <v>386</v>
      </c>
      <c r="K651">
        <v>100000</v>
      </c>
      <c r="L651">
        <v>17</v>
      </c>
      <c r="M651">
        <v>17</v>
      </c>
      <c r="N651">
        <v>24</v>
      </c>
      <c r="O651">
        <v>0</v>
      </c>
      <c r="P651">
        <v>-6</v>
      </c>
      <c r="Q651">
        <v>-8</v>
      </c>
      <c r="R651">
        <v>-6</v>
      </c>
      <c r="S651">
        <v>0</v>
      </c>
      <c r="T651" t="s">
        <v>386</v>
      </c>
      <c r="U651">
        <v>150</v>
      </c>
      <c r="V651">
        <v>5954.2256287099999</v>
      </c>
      <c r="AH651">
        <f t="shared" si="95"/>
        <v>17</v>
      </c>
      <c r="AI651">
        <f t="shared" si="96"/>
        <v>24</v>
      </c>
      <c r="AJ651" t="str">
        <f t="shared" si="97"/>
        <v/>
      </c>
      <c r="AK651">
        <f t="shared" si="98"/>
        <v>-6</v>
      </c>
      <c r="AL651">
        <f t="shared" si="91"/>
        <v>-8</v>
      </c>
      <c r="AM651">
        <f t="shared" si="92"/>
        <v>-6</v>
      </c>
      <c r="AN651" t="str">
        <f t="shared" si="93"/>
        <v/>
      </c>
      <c r="AO651" t="e">
        <f t="shared" si="94"/>
        <v>#VALUE!</v>
      </c>
    </row>
    <row r="652" spans="1:41">
      <c r="A652">
        <f t="shared" si="99"/>
        <v>648</v>
      </c>
      <c r="B652" t="s">
        <v>278</v>
      </c>
      <c r="C652">
        <v>3</v>
      </c>
      <c r="D652">
        <v>3</v>
      </c>
      <c r="E652" t="s">
        <v>385</v>
      </c>
      <c r="F652">
        <v>412</v>
      </c>
      <c r="G652">
        <v>2</v>
      </c>
      <c r="H652">
        <v>77</v>
      </c>
      <c r="I652" t="s">
        <v>386</v>
      </c>
      <c r="J652" t="s">
        <v>386</v>
      </c>
      <c r="K652">
        <v>100000</v>
      </c>
      <c r="L652">
        <v>17</v>
      </c>
      <c r="M652">
        <v>17</v>
      </c>
      <c r="N652">
        <v>25</v>
      </c>
      <c r="O652">
        <v>0</v>
      </c>
      <c r="P652">
        <v>-4</v>
      </c>
      <c r="Q652">
        <v>-4</v>
      </c>
      <c r="R652">
        <v>0</v>
      </c>
      <c r="S652" t="s">
        <v>386</v>
      </c>
      <c r="T652" t="s">
        <v>386</v>
      </c>
      <c r="U652">
        <v>157</v>
      </c>
      <c r="V652">
        <v>5194.3245465600003</v>
      </c>
      <c r="AH652">
        <f t="shared" si="95"/>
        <v>17</v>
      </c>
      <c r="AI652">
        <f t="shared" si="96"/>
        <v>25</v>
      </c>
      <c r="AJ652" t="str">
        <f t="shared" si="97"/>
        <v/>
      </c>
      <c r="AK652">
        <f t="shared" si="98"/>
        <v>-4</v>
      </c>
      <c r="AL652">
        <f t="shared" si="91"/>
        <v>-4</v>
      </c>
      <c r="AM652" t="str">
        <f t="shared" si="92"/>
        <v/>
      </c>
      <c r="AN652" t="e">
        <f t="shared" si="93"/>
        <v>#VALUE!</v>
      </c>
      <c r="AO652" t="e">
        <f t="shared" si="94"/>
        <v>#VALUE!</v>
      </c>
    </row>
    <row r="653" spans="1:41">
      <c r="A653">
        <f t="shared" si="99"/>
        <v>649</v>
      </c>
      <c r="B653" t="s">
        <v>278</v>
      </c>
      <c r="C653">
        <v>2</v>
      </c>
      <c r="D653">
        <v>2</v>
      </c>
      <c r="E653" t="s">
        <v>385</v>
      </c>
      <c r="F653">
        <v>412</v>
      </c>
      <c r="G653">
        <v>2</v>
      </c>
      <c r="H653">
        <v>78</v>
      </c>
      <c r="I653" t="s">
        <v>386</v>
      </c>
      <c r="J653" t="s">
        <v>386</v>
      </c>
      <c r="K653">
        <v>100000</v>
      </c>
      <c r="L653">
        <v>16</v>
      </c>
      <c r="M653">
        <v>16</v>
      </c>
      <c r="N653">
        <v>29</v>
      </c>
      <c r="O653">
        <v>0</v>
      </c>
      <c r="P653">
        <v>-2</v>
      </c>
      <c r="Q653">
        <v>0</v>
      </c>
      <c r="R653" t="s">
        <v>386</v>
      </c>
      <c r="S653" t="s">
        <v>386</v>
      </c>
      <c r="T653" t="s">
        <v>386</v>
      </c>
      <c r="U653">
        <v>173</v>
      </c>
      <c r="V653">
        <v>4266.7576070699997</v>
      </c>
      <c r="AH653">
        <f t="shared" si="95"/>
        <v>16</v>
      </c>
      <c r="AI653">
        <f t="shared" si="96"/>
        <v>29</v>
      </c>
      <c r="AJ653" t="str">
        <f t="shared" si="97"/>
        <v/>
      </c>
      <c r="AK653">
        <f t="shared" si="98"/>
        <v>-2</v>
      </c>
      <c r="AL653" t="str">
        <f t="shared" si="91"/>
        <v/>
      </c>
      <c r="AM653" t="e">
        <f t="shared" si="92"/>
        <v>#VALUE!</v>
      </c>
      <c r="AN653" t="e">
        <f t="shared" si="93"/>
        <v>#VALUE!</v>
      </c>
      <c r="AO653" t="e">
        <f t="shared" si="94"/>
        <v>#VALUE!</v>
      </c>
    </row>
    <row r="654" spans="1:41">
      <c r="A654">
        <f t="shared" si="99"/>
        <v>650</v>
      </c>
      <c r="B654" t="s">
        <v>278</v>
      </c>
      <c r="C654">
        <v>1</v>
      </c>
      <c r="D654">
        <v>1</v>
      </c>
      <c r="E654" t="s">
        <v>385</v>
      </c>
      <c r="F654">
        <v>412</v>
      </c>
      <c r="G654">
        <v>2</v>
      </c>
      <c r="H654">
        <v>79</v>
      </c>
      <c r="I654" t="s">
        <v>386</v>
      </c>
      <c r="J654" t="s">
        <v>386</v>
      </c>
      <c r="K654">
        <v>100000</v>
      </c>
      <c r="L654">
        <v>16</v>
      </c>
      <c r="M654">
        <v>16</v>
      </c>
      <c r="N654">
        <v>41</v>
      </c>
      <c r="O654">
        <v>0</v>
      </c>
      <c r="P654">
        <v>0</v>
      </c>
      <c r="Q654" t="s">
        <v>386</v>
      </c>
      <c r="R654" t="s">
        <v>386</v>
      </c>
      <c r="S654" t="s">
        <v>386</v>
      </c>
      <c r="T654" t="s">
        <v>386</v>
      </c>
      <c r="U654">
        <v>206</v>
      </c>
      <c r="V654">
        <v>3140.4641810399999</v>
      </c>
      <c r="AH654">
        <f t="shared" si="95"/>
        <v>16</v>
      </c>
      <c r="AI654">
        <f t="shared" si="96"/>
        <v>41</v>
      </c>
      <c r="AJ654" t="str">
        <f t="shared" si="97"/>
        <v/>
      </c>
      <c r="AK654" t="str">
        <f t="shared" si="98"/>
        <v/>
      </c>
      <c r="AL654" t="e">
        <f t="shared" si="91"/>
        <v>#VALUE!</v>
      </c>
      <c r="AM654" t="e">
        <f t="shared" si="92"/>
        <v>#VALUE!</v>
      </c>
      <c r="AN654" t="e">
        <f t="shared" si="93"/>
        <v>#VALUE!</v>
      </c>
      <c r="AO654" t="e">
        <f t="shared" si="94"/>
        <v>#VALUE!</v>
      </c>
    </row>
    <row r="655" spans="1:41">
      <c r="A655">
        <f t="shared" si="99"/>
        <v>651</v>
      </c>
      <c r="B655" t="s">
        <v>278</v>
      </c>
      <c r="C655">
        <v>5</v>
      </c>
      <c r="D655">
        <v>5</v>
      </c>
      <c r="E655" t="s">
        <v>387</v>
      </c>
      <c r="F655">
        <v>412</v>
      </c>
      <c r="G655">
        <v>2</v>
      </c>
      <c r="H655">
        <v>30</v>
      </c>
      <c r="I655" t="s">
        <v>386</v>
      </c>
      <c r="J655" t="s">
        <v>386</v>
      </c>
      <c r="K655">
        <v>100000</v>
      </c>
      <c r="L655">
        <v>15</v>
      </c>
      <c r="M655">
        <v>15</v>
      </c>
      <c r="N655">
        <v>21</v>
      </c>
      <c r="O655">
        <v>0</v>
      </c>
      <c r="P655">
        <v>14</v>
      </c>
      <c r="Q655">
        <v>22</v>
      </c>
      <c r="R655">
        <v>24</v>
      </c>
      <c r="S655">
        <v>17</v>
      </c>
      <c r="T655">
        <v>0</v>
      </c>
      <c r="U655">
        <v>136</v>
      </c>
      <c r="V655">
        <v>1805.2928305099999</v>
      </c>
      <c r="AH655">
        <f t="shared" si="95"/>
        <v>15</v>
      </c>
      <c r="AI655">
        <f t="shared" si="96"/>
        <v>21</v>
      </c>
      <c r="AJ655" t="str">
        <f t="shared" si="97"/>
        <v/>
      </c>
      <c r="AK655">
        <f t="shared" si="98"/>
        <v>14</v>
      </c>
      <c r="AL655">
        <f t="shared" si="91"/>
        <v>22</v>
      </c>
      <c r="AM655">
        <f t="shared" si="92"/>
        <v>24</v>
      </c>
      <c r="AN655">
        <f t="shared" si="93"/>
        <v>17</v>
      </c>
      <c r="AO655" t="str">
        <f t="shared" si="94"/>
        <v/>
      </c>
    </row>
    <row r="656" spans="1:41">
      <c r="A656">
        <f t="shared" si="99"/>
        <v>652</v>
      </c>
      <c r="B656" t="s">
        <v>278</v>
      </c>
      <c r="C656">
        <v>5</v>
      </c>
      <c r="D656">
        <v>5</v>
      </c>
      <c r="E656" t="s">
        <v>387</v>
      </c>
      <c r="F656">
        <v>412</v>
      </c>
      <c r="G656">
        <v>2</v>
      </c>
      <c r="H656">
        <v>31</v>
      </c>
      <c r="I656" t="s">
        <v>386</v>
      </c>
      <c r="J656" t="s">
        <v>386</v>
      </c>
      <c r="K656">
        <v>100000</v>
      </c>
      <c r="L656">
        <v>16</v>
      </c>
      <c r="M656">
        <v>16</v>
      </c>
      <c r="N656">
        <v>22</v>
      </c>
      <c r="O656">
        <v>0</v>
      </c>
      <c r="P656">
        <v>16</v>
      </c>
      <c r="Q656">
        <v>25</v>
      </c>
      <c r="R656">
        <v>26</v>
      </c>
      <c r="S656">
        <v>18</v>
      </c>
      <c r="T656">
        <v>0</v>
      </c>
      <c r="U656">
        <v>141</v>
      </c>
      <c r="V656">
        <v>1806.66111146</v>
      </c>
      <c r="AH656">
        <f t="shared" si="95"/>
        <v>16</v>
      </c>
      <c r="AI656">
        <f t="shared" si="96"/>
        <v>22</v>
      </c>
      <c r="AJ656" t="str">
        <f t="shared" si="97"/>
        <v/>
      </c>
      <c r="AK656">
        <f t="shared" si="98"/>
        <v>16</v>
      </c>
      <c r="AL656">
        <f t="shared" si="91"/>
        <v>25</v>
      </c>
      <c r="AM656">
        <f t="shared" si="92"/>
        <v>26</v>
      </c>
      <c r="AN656">
        <f t="shared" si="93"/>
        <v>18</v>
      </c>
      <c r="AO656" t="str">
        <f t="shared" si="94"/>
        <v/>
      </c>
    </row>
    <row r="657" spans="1:41">
      <c r="A657">
        <f t="shared" si="99"/>
        <v>653</v>
      </c>
      <c r="B657" t="s">
        <v>278</v>
      </c>
      <c r="C657">
        <v>5</v>
      </c>
      <c r="D657">
        <v>5</v>
      </c>
      <c r="E657" t="s">
        <v>387</v>
      </c>
      <c r="F657">
        <v>412</v>
      </c>
      <c r="G657">
        <v>2</v>
      </c>
      <c r="H657">
        <v>32</v>
      </c>
      <c r="I657" t="s">
        <v>386</v>
      </c>
      <c r="J657" t="s">
        <v>386</v>
      </c>
      <c r="K657">
        <v>100000</v>
      </c>
      <c r="L657">
        <v>17</v>
      </c>
      <c r="M657">
        <v>17</v>
      </c>
      <c r="N657">
        <v>23</v>
      </c>
      <c r="O657">
        <v>0</v>
      </c>
      <c r="P657">
        <v>18</v>
      </c>
      <c r="Q657">
        <v>27</v>
      </c>
      <c r="R657">
        <v>28</v>
      </c>
      <c r="S657">
        <v>19</v>
      </c>
      <c r="T657">
        <v>0</v>
      </c>
      <c r="U657">
        <v>146</v>
      </c>
      <c r="V657">
        <v>1808.1798405300001</v>
      </c>
      <c r="AH657">
        <f t="shared" si="95"/>
        <v>17</v>
      </c>
      <c r="AI657">
        <f t="shared" si="96"/>
        <v>23</v>
      </c>
      <c r="AJ657" t="str">
        <f t="shared" si="97"/>
        <v/>
      </c>
      <c r="AK657">
        <f t="shared" si="98"/>
        <v>18</v>
      </c>
      <c r="AL657">
        <f t="shared" si="91"/>
        <v>27</v>
      </c>
      <c r="AM657">
        <f t="shared" si="92"/>
        <v>28</v>
      </c>
      <c r="AN657">
        <f t="shared" si="93"/>
        <v>19</v>
      </c>
      <c r="AO657" t="str">
        <f t="shared" si="94"/>
        <v/>
      </c>
    </row>
    <row r="658" spans="1:41">
      <c r="A658">
        <f t="shared" si="99"/>
        <v>654</v>
      </c>
      <c r="B658" t="s">
        <v>278</v>
      </c>
      <c r="C658">
        <v>5</v>
      </c>
      <c r="D658">
        <v>5</v>
      </c>
      <c r="E658" t="s">
        <v>387</v>
      </c>
      <c r="F658">
        <v>412</v>
      </c>
      <c r="G658">
        <v>2</v>
      </c>
      <c r="H658">
        <v>33</v>
      </c>
      <c r="I658" t="s">
        <v>386</v>
      </c>
      <c r="J658" t="s">
        <v>386</v>
      </c>
      <c r="K658">
        <v>100000</v>
      </c>
      <c r="L658">
        <v>17</v>
      </c>
      <c r="M658">
        <v>17</v>
      </c>
      <c r="N658">
        <v>24</v>
      </c>
      <c r="O658">
        <v>0</v>
      </c>
      <c r="P658">
        <v>18</v>
      </c>
      <c r="Q658">
        <v>28</v>
      </c>
      <c r="R658">
        <v>28</v>
      </c>
      <c r="S658">
        <v>18</v>
      </c>
      <c r="T658">
        <v>0</v>
      </c>
      <c r="U658">
        <v>151</v>
      </c>
      <c r="V658">
        <v>1809.9529084599999</v>
      </c>
      <c r="AH658">
        <f t="shared" si="95"/>
        <v>17</v>
      </c>
      <c r="AI658">
        <f t="shared" si="96"/>
        <v>24</v>
      </c>
      <c r="AJ658" t="str">
        <f t="shared" si="97"/>
        <v/>
      </c>
      <c r="AK658">
        <f t="shared" si="98"/>
        <v>18</v>
      </c>
      <c r="AL658">
        <f t="shared" si="91"/>
        <v>28</v>
      </c>
      <c r="AM658">
        <f t="shared" si="92"/>
        <v>28</v>
      </c>
      <c r="AN658">
        <f t="shared" si="93"/>
        <v>18</v>
      </c>
      <c r="AO658" t="str">
        <f t="shared" si="94"/>
        <v/>
      </c>
    </row>
    <row r="659" spans="1:41">
      <c r="A659">
        <f t="shared" si="99"/>
        <v>655</v>
      </c>
      <c r="B659" t="s">
        <v>278</v>
      </c>
      <c r="C659">
        <v>5</v>
      </c>
      <c r="D659">
        <v>5</v>
      </c>
      <c r="E659" t="s">
        <v>387</v>
      </c>
      <c r="F659">
        <v>412</v>
      </c>
      <c r="G659">
        <v>2</v>
      </c>
      <c r="H659">
        <v>34</v>
      </c>
      <c r="I659" t="s">
        <v>386</v>
      </c>
      <c r="J659" t="s">
        <v>386</v>
      </c>
      <c r="K659">
        <v>100000</v>
      </c>
      <c r="L659">
        <v>18</v>
      </c>
      <c r="M659">
        <v>18</v>
      </c>
      <c r="N659">
        <v>25</v>
      </c>
      <c r="O659">
        <v>0</v>
      </c>
      <c r="P659">
        <v>18</v>
      </c>
      <c r="Q659">
        <v>26</v>
      </c>
      <c r="R659">
        <v>25</v>
      </c>
      <c r="S659">
        <v>16</v>
      </c>
      <c r="T659">
        <v>0</v>
      </c>
      <c r="U659">
        <v>156</v>
      </c>
      <c r="V659">
        <v>1811.8618509600001</v>
      </c>
      <c r="AH659">
        <f t="shared" si="95"/>
        <v>18</v>
      </c>
      <c r="AI659">
        <f t="shared" si="96"/>
        <v>25</v>
      </c>
      <c r="AJ659" t="str">
        <f t="shared" si="97"/>
        <v/>
      </c>
      <c r="AK659">
        <f t="shared" si="98"/>
        <v>18</v>
      </c>
      <c r="AL659">
        <f t="shared" si="91"/>
        <v>26</v>
      </c>
      <c r="AM659">
        <f t="shared" si="92"/>
        <v>25</v>
      </c>
      <c r="AN659">
        <f t="shared" si="93"/>
        <v>16</v>
      </c>
      <c r="AO659" t="str">
        <f t="shared" si="94"/>
        <v/>
      </c>
    </row>
    <row r="660" spans="1:41">
      <c r="A660">
        <f t="shared" si="99"/>
        <v>656</v>
      </c>
      <c r="B660" t="s">
        <v>278</v>
      </c>
      <c r="C660">
        <v>5</v>
      </c>
      <c r="D660">
        <v>5</v>
      </c>
      <c r="E660" t="s">
        <v>387</v>
      </c>
      <c r="F660">
        <v>412</v>
      </c>
      <c r="G660">
        <v>2</v>
      </c>
      <c r="H660">
        <v>35</v>
      </c>
      <c r="I660" t="s">
        <v>386</v>
      </c>
      <c r="J660" t="s">
        <v>386</v>
      </c>
      <c r="K660">
        <v>100000</v>
      </c>
      <c r="L660">
        <v>19</v>
      </c>
      <c r="M660">
        <v>19</v>
      </c>
      <c r="N660">
        <v>26</v>
      </c>
      <c r="O660">
        <v>0</v>
      </c>
      <c r="P660">
        <v>16</v>
      </c>
      <c r="Q660">
        <v>23</v>
      </c>
      <c r="R660">
        <v>22</v>
      </c>
      <c r="S660">
        <v>14</v>
      </c>
      <c r="T660">
        <v>0</v>
      </c>
      <c r="U660">
        <v>160</v>
      </c>
      <c r="V660">
        <v>1814.31675634</v>
      </c>
      <c r="AH660">
        <f t="shared" si="95"/>
        <v>19</v>
      </c>
      <c r="AI660">
        <f t="shared" si="96"/>
        <v>26</v>
      </c>
      <c r="AJ660" t="str">
        <f t="shared" si="97"/>
        <v/>
      </c>
      <c r="AK660">
        <f t="shared" si="98"/>
        <v>16</v>
      </c>
      <c r="AL660">
        <f t="shared" si="91"/>
        <v>23</v>
      </c>
      <c r="AM660">
        <f t="shared" si="92"/>
        <v>22</v>
      </c>
      <c r="AN660">
        <f t="shared" si="93"/>
        <v>14</v>
      </c>
      <c r="AO660" t="str">
        <f t="shared" si="94"/>
        <v/>
      </c>
    </row>
    <row r="661" spans="1:41">
      <c r="A661">
        <f t="shared" si="99"/>
        <v>657</v>
      </c>
      <c r="B661" t="s">
        <v>278</v>
      </c>
      <c r="C661">
        <v>5</v>
      </c>
      <c r="D661">
        <v>5</v>
      </c>
      <c r="E661" t="s">
        <v>387</v>
      </c>
      <c r="F661">
        <v>412</v>
      </c>
      <c r="G661">
        <v>2</v>
      </c>
      <c r="H661">
        <v>36</v>
      </c>
      <c r="I661" t="s">
        <v>386</v>
      </c>
      <c r="J661" t="s">
        <v>386</v>
      </c>
      <c r="K661">
        <v>100000</v>
      </c>
      <c r="L661">
        <v>19</v>
      </c>
      <c r="M661">
        <v>19</v>
      </c>
      <c r="N661">
        <v>27</v>
      </c>
      <c r="O661">
        <v>0</v>
      </c>
      <c r="P661">
        <v>13</v>
      </c>
      <c r="Q661">
        <v>19</v>
      </c>
      <c r="R661">
        <v>18</v>
      </c>
      <c r="S661">
        <v>11</v>
      </c>
      <c r="T661">
        <v>0</v>
      </c>
      <c r="U661">
        <v>164</v>
      </c>
      <c r="V661">
        <v>1817.24108239</v>
      </c>
      <c r="AH661">
        <f t="shared" si="95"/>
        <v>19</v>
      </c>
      <c r="AI661">
        <f t="shared" si="96"/>
        <v>27</v>
      </c>
      <c r="AJ661" t="str">
        <f t="shared" si="97"/>
        <v/>
      </c>
      <c r="AK661">
        <f t="shared" si="98"/>
        <v>13</v>
      </c>
      <c r="AL661">
        <f t="shared" si="91"/>
        <v>19</v>
      </c>
      <c r="AM661">
        <f t="shared" si="92"/>
        <v>18</v>
      </c>
      <c r="AN661">
        <f t="shared" si="93"/>
        <v>11</v>
      </c>
      <c r="AO661" t="str">
        <f t="shared" si="94"/>
        <v/>
      </c>
    </row>
    <row r="662" spans="1:41">
      <c r="A662">
        <f t="shared" si="99"/>
        <v>658</v>
      </c>
      <c r="B662" t="s">
        <v>278</v>
      </c>
      <c r="C662">
        <v>5</v>
      </c>
      <c r="D662">
        <v>5</v>
      </c>
      <c r="E662" t="s">
        <v>387</v>
      </c>
      <c r="F662">
        <v>412</v>
      </c>
      <c r="G662">
        <v>2</v>
      </c>
      <c r="H662">
        <v>37</v>
      </c>
      <c r="I662" t="s">
        <v>386</v>
      </c>
      <c r="J662" t="s">
        <v>386</v>
      </c>
      <c r="K662">
        <v>100000</v>
      </c>
      <c r="L662">
        <v>20</v>
      </c>
      <c r="M662">
        <v>20</v>
      </c>
      <c r="N662">
        <v>27</v>
      </c>
      <c r="O662">
        <v>0</v>
      </c>
      <c r="P662">
        <v>11</v>
      </c>
      <c r="Q662">
        <v>15</v>
      </c>
      <c r="R662">
        <v>14</v>
      </c>
      <c r="S662">
        <v>8</v>
      </c>
      <c r="T662">
        <v>0</v>
      </c>
      <c r="U662">
        <v>168</v>
      </c>
      <c r="V662">
        <v>1820.7590408000001</v>
      </c>
      <c r="AH662">
        <f t="shared" si="95"/>
        <v>20</v>
      </c>
      <c r="AI662">
        <f t="shared" si="96"/>
        <v>27</v>
      </c>
      <c r="AJ662" t="str">
        <f t="shared" si="97"/>
        <v/>
      </c>
      <c r="AK662">
        <f t="shared" si="98"/>
        <v>11</v>
      </c>
      <c r="AL662">
        <f t="shared" si="91"/>
        <v>15</v>
      </c>
      <c r="AM662">
        <f t="shared" si="92"/>
        <v>14</v>
      </c>
      <c r="AN662">
        <f t="shared" si="93"/>
        <v>8</v>
      </c>
      <c r="AO662" t="str">
        <f t="shared" si="94"/>
        <v/>
      </c>
    </row>
    <row r="663" spans="1:41">
      <c r="A663">
        <f t="shared" si="99"/>
        <v>659</v>
      </c>
      <c r="B663" t="s">
        <v>278</v>
      </c>
      <c r="C663">
        <v>5</v>
      </c>
      <c r="D663">
        <v>5</v>
      </c>
      <c r="E663" t="s">
        <v>387</v>
      </c>
      <c r="F663">
        <v>412</v>
      </c>
      <c r="G663">
        <v>2</v>
      </c>
      <c r="H663">
        <v>38</v>
      </c>
      <c r="I663" t="s">
        <v>386</v>
      </c>
      <c r="J663" t="s">
        <v>386</v>
      </c>
      <c r="K663">
        <v>100000</v>
      </c>
      <c r="L663">
        <v>20</v>
      </c>
      <c r="M663">
        <v>20</v>
      </c>
      <c r="N663">
        <v>28</v>
      </c>
      <c r="O663">
        <v>0</v>
      </c>
      <c r="P663">
        <v>8</v>
      </c>
      <c r="Q663">
        <v>11</v>
      </c>
      <c r="R663">
        <v>10</v>
      </c>
      <c r="S663">
        <v>6</v>
      </c>
      <c r="T663">
        <v>0</v>
      </c>
      <c r="U663">
        <v>170</v>
      </c>
      <c r="V663">
        <v>1825.11418961</v>
      </c>
      <c r="AH663">
        <f t="shared" si="95"/>
        <v>20</v>
      </c>
      <c r="AI663">
        <f t="shared" si="96"/>
        <v>28</v>
      </c>
      <c r="AJ663" t="str">
        <f t="shared" si="97"/>
        <v/>
      </c>
      <c r="AK663">
        <f t="shared" si="98"/>
        <v>8</v>
      </c>
      <c r="AL663">
        <f t="shared" si="91"/>
        <v>11</v>
      </c>
      <c r="AM663">
        <f t="shared" si="92"/>
        <v>10</v>
      </c>
      <c r="AN663">
        <f t="shared" si="93"/>
        <v>6</v>
      </c>
      <c r="AO663" t="str">
        <f t="shared" si="94"/>
        <v/>
      </c>
    </row>
    <row r="664" spans="1:41">
      <c r="A664">
        <f t="shared" si="99"/>
        <v>660</v>
      </c>
      <c r="B664" t="s">
        <v>278</v>
      </c>
      <c r="C664">
        <v>5</v>
      </c>
      <c r="D664">
        <v>5</v>
      </c>
      <c r="E664" t="s">
        <v>387</v>
      </c>
      <c r="F664">
        <v>412</v>
      </c>
      <c r="G664">
        <v>2</v>
      </c>
      <c r="H664">
        <v>39</v>
      </c>
      <c r="I664" t="s">
        <v>386</v>
      </c>
      <c r="J664" t="s">
        <v>386</v>
      </c>
      <c r="K664">
        <v>100000</v>
      </c>
      <c r="L664">
        <v>21</v>
      </c>
      <c r="M664">
        <v>21</v>
      </c>
      <c r="N664">
        <v>28</v>
      </c>
      <c r="O664">
        <v>0</v>
      </c>
      <c r="P664">
        <v>6</v>
      </c>
      <c r="Q664">
        <v>8</v>
      </c>
      <c r="R664">
        <v>8</v>
      </c>
      <c r="S664">
        <v>5</v>
      </c>
      <c r="T664">
        <v>0</v>
      </c>
      <c r="U664">
        <v>172</v>
      </c>
      <c r="V664">
        <v>1830.02706999</v>
      </c>
      <c r="AH664">
        <f t="shared" si="95"/>
        <v>21</v>
      </c>
      <c r="AI664">
        <f t="shared" si="96"/>
        <v>28</v>
      </c>
      <c r="AJ664" t="str">
        <f t="shared" si="97"/>
        <v/>
      </c>
      <c r="AK664">
        <f t="shared" si="98"/>
        <v>6</v>
      </c>
      <c r="AL664">
        <f t="shared" si="91"/>
        <v>8</v>
      </c>
      <c r="AM664">
        <f t="shared" si="92"/>
        <v>8</v>
      </c>
      <c r="AN664">
        <f t="shared" si="93"/>
        <v>5</v>
      </c>
      <c r="AO664" t="str">
        <f t="shared" si="94"/>
        <v/>
      </c>
    </row>
    <row r="665" spans="1:41">
      <c r="A665">
        <f t="shared" si="99"/>
        <v>661</v>
      </c>
      <c r="B665" t="s">
        <v>278</v>
      </c>
      <c r="C665">
        <v>5</v>
      </c>
      <c r="D665">
        <v>5</v>
      </c>
      <c r="E665" t="s">
        <v>387</v>
      </c>
      <c r="F665">
        <v>412</v>
      </c>
      <c r="G665">
        <v>2</v>
      </c>
      <c r="H665">
        <v>40</v>
      </c>
      <c r="I665" t="s">
        <v>386</v>
      </c>
      <c r="J665" t="s">
        <v>386</v>
      </c>
      <c r="K665">
        <v>100000</v>
      </c>
      <c r="L665">
        <v>21</v>
      </c>
      <c r="M665">
        <v>21</v>
      </c>
      <c r="N665">
        <v>29</v>
      </c>
      <c r="O665">
        <v>0</v>
      </c>
      <c r="P665">
        <v>5</v>
      </c>
      <c r="Q665">
        <v>6</v>
      </c>
      <c r="R665">
        <v>6</v>
      </c>
      <c r="S665">
        <v>3</v>
      </c>
      <c r="T665">
        <v>0</v>
      </c>
      <c r="U665">
        <v>173</v>
      </c>
      <c r="V665">
        <v>1835.3051928299999</v>
      </c>
      <c r="AH665">
        <f t="shared" si="95"/>
        <v>21</v>
      </c>
      <c r="AI665">
        <f t="shared" si="96"/>
        <v>29</v>
      </c>
      <c r="AJ665" t="str">
        <f t="shared" si="97"/>
        <v/>
      </c>
      <c r="AK665">
        <f t="shared" si="98"/>
        <v>5</v>
      </c>
      <c r="AL665">
        <f t="shared" si="91"/>
        <v>6</v>
      </c>
      <c r="AM665">
        <f t="shared" si="92"/>
        <v>6</v>
      </c>
      <c r="AN665">
        <f t="shared" si="93"/>
        <v>3</v>
      </c>
      <c r="AO665" t="str">
        <f t="shared" si="94"/>
        <v/>
      </c>
    </row>
    <row r="666" spans="1:41">
      <c r="A666">
        <f t="shared" si="99"/>
        <v>662</v>
      </c>
      <c r="B666" t="s">
        <v>278</v>
      </c>
      <c r="C666">
        <v>5</v>
      </c>
      <c r="D666">
        <v>5</v>
      </c>
      <c r="E666" t="s">
        <v>387</v>
      </c>
      <c r="F666">
        <v>412</v>
      </c>
      <c r="G666">
        <v>2</v>
      </c>
      <c r="H666">
        <v>41</v>
      </c>
      <c r="I666" t="s">
        <v>386</v>
      </c>
      <c r="J666" t="s">
        <v>386</v>
      </c>
      <c r="K666">
        <v>100000</v>
      </c>
      <c r="L666">
        <v>21</v>
      </c>
      <c r="M666">
        <v>21</v>
      </c>
      <c r="N666">
        <v>29</v>
      </c>
      <c r="O666">
        <v>0</v>
      </c>
      <c r="P666">
        <v>3</v>
      </c>
      <c r="Q666">
        <v>5</v>
      </c>
      <c r="R666">
        <v>4</v>
      </c>
      <c r="S666">
        <v>2</v>
      </c>
      <c r="T666">
        <v>0</v>
      </c>
      <c r="U666">
        <v>175</v>
      </c>
      <c r="V666">
        <v>1841.0615836899999</v>
      </c>
      <c r="AH666">
        <f t="shared" si="95"/>
        <v>21</v>
      </c>
      <c r="AI666">
        <f t="shared" si="96"/>
        <v>29</v>
      </c>
      <c r="AJ666" t="str">
        <f t="shared" si="97"/>
        <v/>
      </c>
      <c r="AK666">
        <f t="shared" si="98"/>
        <v>3</v>
      </c>
      <c r="AL666">
        <f t="shared" si="91"/>
        <v>5</v>
      </c>
      <c r="AM666">
        <f t="shared" si="92"/>
        <v>4</v>
      </c>
      <c r="AN666">
        <f t="shared" si="93"/>
        <v>2</v>
      </c>
      <c r="AO666" t="str">
        <f t="shared" si="94"/>
        <v/>
      </c>
    </row>
    <row r="667" spans="1:41">
      <c r="A667">
        <f t="shared" si="99"/>
        <v>663</v>
      </c>
      <c r="B667" t="s">
        <v>278</v>
      </c>
      <c r="C667">
        <v>5</v>
      </c>
      <c r="D667">
        <v>5</v>
      </c>
      <c r="E667" t="s">
        <v>387</v>
      </c>
      <c r="F667">
        <v>412</v>
      </c>
      <c r="G667">
        <v>2</v>
      </c>
      <c r="H667">
        <v>42</v>
      </c>
      <c r="I667" t="s">
        <v>386</v>
      </c>
      <c r="J667" t="s">
        <v>386</v>
      </c>
      <c r="K667">
        <v>100000</v>
      </c>
      <c r="L667">
        <v>21</v>
      </c>
      <c r="M667">
        <v>21</v>
      </c>
      <c r="N667">
        <v>29</v>
      </c>
      <c r="O667">
        <v>0</v>
      </c>
      <c r="P667">
        <v>2</v>
      </c>
      <c r="Q667">
        <v>3</v>
      </c>
      <c r="R667">
        <v>2</v>
      </c>
      <c r="S667">
        <v>1</v>
      </c>
      <c r="T667">
        <v>0</v>
      </c>
      <c r="U667">
        <v>175</v>
      </c>
      <c r="V667">
        <v>1847.17343822</v>
      </c>
      <c r="AH667">
        <f t="shared" si="95"/>
        <v>21</v>
      </c>
      <c r="AI667">
        <f t="shared" si="96"/>
        <v>29</v>
      </c>
      <c r="AJ667" t="str">
        <f t="shared" si="97"/>
        <v/>
      </c>
      <c r="AK667">
        <f t="shared" si="98"/>
        <v>2</v>
      </c>
      <c r="AL667">
        <f t="shared" si="91"/>
        <v>3</v>
      </c>
      <c r="AM667">
        <f t="shared" si="92"/>
        <v>2</v>
      </c>
      <c r="AN667">
        <f t="shared" si="93"/>
        <v>1</v>
      </c>
      <c r="AO667" t="str">
        <f t="shared" si="94"/>
        <v/>
      </c>
    </row>
    <row r="668" spans="1:41">
      <c r="A668">
        <f t="shared" si="99"/>
        <v>664</v>
      </c>
      <c r="B668" t="s">
        <v>278</v>
      </c>
      <c r="C668">
        <v>5</v>
      </c>
      <c r="D668">
        <v>5</v>
      </c>
      <c r="E668" t="s">
        <v>387</v>
      </c>
      <c r="F668">
        <v>412</v>
      </c>
      <c r="G668">
        <v>2</v>
      </c>
      <c r="H668">
        <v>43</v>
      </c>
      <c r="I668" t="s">
        <v>386</v>
      </c>
      <c r="J668" t="s">
        <v>386</v>
      </c>
      <c r="K668">
        <v>100000</v>
      </c>
      <c r="L668">
        <v>21</v>
      </c>
      <c r="M668">
        <v>21</v>
      </c>
      <c r="N668">
        <v>29</v>
      </c>
      <c r="O668">
        <v>0</v>
      </c>
      <c r="P668">
        <v>1</v>
      </c>
      <c r="Q668">
        <v>1</v>
      </c>
      <c r="R668">
        <v>0</v>
      </c>
      <c r="S668">
        <v>0</v>
      </c>
      <c r="T668">
        <v>0</v>
      </c>
      <c r="U668">
        <v>176</v>
      </c>
      <c r="V668">
        <v>1853.5186469299999</v>
      </c>
      <c r="AH668">
        <f t="shared" si="95"/>
        <v>21</v>
      </c>
      <c r="AI668">
        <f t="shared" si="96"/>
        <v>29</v>
      </c>
      <c r="AJ668" t="str">
        <f t="shared" si="97"/>
        <v/>
      </c>
      <c r="AK668">
        <f t="shared" si="98"/>
        <v>1</v>
      </c>
      <c r="AL668">
        <f t="shared" si="91"/>
        <v>1</v>
      </c>
      <c r="AM668" t="str">
        <f t="shared" si="92"/>
        <v/>
      </c>
      <c r="AN668" t="str">
        <f t="shared" si="93"/>
        <v/>
      </c>
      <c r="AO668" t="str">
        <f t="shared" si="94"/>
        <v/>
      </c>
    </row>
    <row r="669" spans="1:41">
      <c r="A669">
        <f t="shared" si="99"/>
        <v>665</v>
      </c>
      <c r="B669" t="s">
        <v>278</v>
      </c>
      <c r="C669">
        <v>5</v>
      </c>
      <c r="D669">
        <v>5</v>
      </c>
      <c r="E669" t="s">
        <v>387</v>
      </c>
      <c r="F669">
        <v>412</v>
      </c>
      <c r="G669">
        <v>2</v>
      </c>
      <c r="H669">
        <v>44</v>
      </c>
      <c r="I669" t="s">
        <v>386</v>
      </c>
      <c r="J669" t="s">
        <v>386</v>
      </c>
      <c r="K669">
        <v>100000</v>
      </c>
      <c r="L669">
        <v>21</v>
      </c>
      <c r="M669">
        <v>21</v>
      </c>
      <c r="N669">
        <v>29</v>
      </c>
      <c r="O669">
        <v>0</v>
      </c>
      <c r="P669">
        <v>0</v>
      </c>
      <c r="Q669">
        <v>-1</v>
      </c>
      <c r="R669">
        <v>-1</v>
      </c>
      <c r="S669">
        <v>-1</v>
      </c>
      <c r="T669">
        <v>0</v>
      </c>
      <c r="U669">
        <v>176</v>
      </c>
      <c r="V669">
        <v>1860.3564541799999</v>
      </c>
      <c r="AH669">
        <f t="shared" si="95"/>
        <v>21</v>
      </c>
      <c r="AI669">
        <f t="shared" si="96"/>
        <v>29</v>
      </c>
      <c r="AJ669" t="str">
        <f t="shared" si="97"/>
        <v/>
      </c>
      <c r="AK669" t="str">
        <f t="shared" si="98"/>
        <v/>
      </c>
      <c r="AL669">
        <f t="shared" si="91"/>
        <v>-1</v>
      </c>
      <c r="AM669">
        <f t="shared" si="92"/>
        <v>-1</v>
      </c>
      <c r="AN669">
        <f t="shared" si="93"/>
        <v>-1</v>
      </c>
      <c r="AO669" t="str">
        <f t="shared" si="94"/>
        <v/>
      </c>
    </row>
    <row r="670" spans="1:41">
      <c r="A670">
        <f t="shared" si="99"/>
        <v>666</v>
      </c>
      <c r="B670" t="s">
        <v>278</v>
      </c>
      <c r="C670">
        <v>5</v>
      </c>
      <c r="D670">
        <v>5</v>
      </c>
      <c r="E670" t="s">
        <v>387</v>
      </c>
      <c r="F670">
        <v>412</v>
      </c>
      <c r="G670">
        <v>2</v>
      </c>
      <c r="H670">
        <v>45</v>
      </c>
      <c r="I670" t="s">
        <v>386</v>
      </c>
      <c r="J670" t="s">
        <v>386</v>
      </c>
      <c r="K670">
        <v>100000</v>
      </c>
      <c r="L670">
        <v>21</v>
      </c>
      <c r="M670">
        <v>21</v>
      </c>
      <c r="N670">
        <v>29</v>
      </c>
      <c r="O670">
        <v>0</v>
      </c>
      <c r="P670">
        <v>-1</v>
      </c>
      <c r="Q670">
        <v>-1</v>
      </c>
      <c r="R670">
        <v>-1</v>
      </c>
      <c r="S670">
        <v>-1</v>
      </c>
      <c r="T670">
        <v>0</v>
      </c>
      <c r="U670">
        <v>176</v>
      </c>
      <c r="V670">
        <v>1867.18858899</v>
      </c>
      <c r="AH670">
        <f t="shared" si="95"/>
        <v>21</v>
      </c>
      <c r="AI670">
        <f t="shared" si="96"/>
        <v>29</v>
      </c>
      <c r="AJ670" t="str">
        <f t="shared" si="97"/>
        <v/>
      </c>
      <c r="AK670">
        <f t="shared" si="98"/>
        <v>-1</v>
      </c>
      <c r="AL670">
        <f t="shared" si="91"/>
        <v>-1</v>
      </c>
      <c r="AM670">
        <f t="shared" si="92"/>
        <v>-1</v>
      </c>
      <c r="AN670">
        <f t="shared" si="93"/>
        <v>-1</v>
      </c>
      <c r="AO670" t="str">
        <f t="shared" si="94"/>
        <v/>
      </c>
    </row>
    <row r="671" spans="1:41">
      <c r="A671">
        <f t="shared" si="99"/>
        <v>667</v>
      </c>
      <c r="B671" t="s">
        <v>278</v>
      </c>
      <c r="C671">
        <v>5</v>
      </c>
      <c r="D671">
        <v>5</v>
      </c>
      <c r="E671" t="s">
        <v>387</v>
      </c>
      <c r="F671">
        <v>412</v>
      </c>
      <c r="G671">
        <v>2</v>
      </c>
      <c r="H671">
        <v>46</v>
      </c>
      <c r="I671" t="s">
        <v>386</v>
      </c>
      <c r="J671" t="s">
        <v>386</v>
      </c>
      <c r="K671">
        <v>100000</v>
      </c>
      <c r="L671">
        <v>21</v>
      </c>
      <c r="M671">
        <v>21</v>
      </c>
      <c r="N671">
        <v>29</v>
      </c>
      <c r="O671">
        <v>0</v>
      </c>
      <c r="P671">
        <v>-1</v>
      </c>
      <c r="Q671">
        <v>-1</v>
      </c>
      <c r="R671">
        <v>-1</v>
      </c>
      <c r="S671">
        <v>-1</v>
      </c>
      <c r="T671">
        <v>0</v>
      </c>
      <c r="U671">
        <v>176</v>
      </c>
      <c r="V671">
        <v>1873.58352485</v>
      </c>
      <c r="AH671">
        <f t="shared" si="95"/>
        <v>21</v>
      </c>
      <c r="AI671">
        <f t="shared" si="96"/>
        <v>29</v>
      </c>
      <c r="AJ671" t="str">
        <f t="shared" si="97"/>
        <v/>
      </c>
      <c r="AK671">
        <f t="shared" si="98"/>
        <v>-1</v>
      </c>
      <c r="AL671">
        <f t="shared" si="91"/>
        <v>-1</v>
      </c>
      <c r="AM671">
        <f t="shared" si="92"/>
        <v>-1</v>
      </c>
      <c r="AN671">
        <f t="shared" si="93"/>
        <v>-1</v>
      </c>
      <c r="AO671" t="str">
        <f t="shared" si="94"/>
        <v/>
      </c>
    </row>
    <row r="672" spans="1:41">
      <c r="A672">
        <f t="shared" si="99"/>
        <v>668</v>
      </c>
      <c r="B672" t="s">
        <v>278</v>
      </c>
      <c r="C672">
        <v>5</v>
      </c>
      <c r="D672">
        <v>5</v>
      </c>
      <c r="E672" t="s">
        <v>387</v>
      </c>
      <c r="F672">
        <v>412</v>
      </c>
      <c r="G672">
        <v>2</v>
      </c>
      <c r="H672">
        <v>47</v>
      </c>
      <c r="I672" t="s">
        <v>386</v>
      </c>
      <c r="J672" t="s">
        <v>386</v>
      </c>
      <c r="K672">
        <v>100000</v>
      </c>
      <c r="L672">
        <v>21</v>
      </c>
      <c r="M672">
        <v>21</v>
      </c>
      <c r="N672">
        <v>29</v>
      </c>
      <c r="O672">
        <v>0</v>
      </c>
      <c r="P672">
        <v>-1</v>
      </c>
      <c r="Q672">
        <v>-1</v>
      </c>
      <c r="R672">
        <v>-2</v>
      </c>
      <c r="S672">
        <v>-1</v>
      </c>
      <c r="T672">
        <v>0</v>
      </c>
      <c r="U672">
        <v>176</v>
      </c>
      <c r="V672">
        <v>1879.7899155800001</v>
      </c>
      <c r="AH672">
        <f t="shared" si="95"/>
        <v>21</v>
      </c>
      <c r="AI672">
        <f t="shared" si="96"/>
        <v>29</v>
      </c>
      <c r="AJ672" t="str">
        <f t="shared" si="97"/>
        <v/>
      </c>
      <c r="AK672">
        <f t="shared" si="98"/>
        <v>-1</v>
      </c>
      <c r="AL672">
        <f t="shared" si="91"/>
        <v>-1</v>
      </c>
      <c r="AM672">
        <f t="shared" si="92"/>
        <v>-2</v>
      </c>
      <c r="AN672">
        <f t="shared" si="93"/>
        <v>-1</v>
      </c>
      <c r="AO672" t="str">
        <f t="shared" si="94"/>
        <v/>
      </c>
    </row>
    <row r="673" spans="1:41">
      <c r="A673">
        <f t="shared" si="99"/>
        <v>669</v>
      </c>
      <c r="B673" t="s">
        <v>278</v>
      </c>
      <c r="C673">
        <v>5</v>
      </c>
      <c r="D673">
        <v>5</v>
      </c>
      <c r="E673" t="s">
        <v>387</v>
      </c>
      <c r="F673">
        <v>412</v>
      </c>
      <c r="G673">
        <v>2</v>
      </c>
      <c r="H673">
        <v>48</v>
      </c>
      <c r="I673" t="s">
        <v>386</v>
      </c>
      <c r="J673" t="s">
        <v>386</v>
      </c>
      <c r="K673">
        <v>100000</v>
      </c>
      <c r="L673">
        <v>21</v>
      </c>
      <c r="M673">
        <v>21</v>
      </c>
      <c r="N673">
        <v>29</v>
      </c>
      <c r="O673">
        <v>0</v>
      </c>
      <c r="P673">
        <v>-1</v>
      </c>
      <c r="Q673">
        <v>-3</v>
      </c>
      <c r="R673">
        <v>-4</v>
      </c>
      <c r="S673">
        <v>-4</v>
      </c>
      <c r="T673">
        <v>0</v>
      </c>
      <c r="U673">
        <v>176</v>
      </c>
      <c r="V673">
        <v>1886.06022302</v>
      </c>
      <c r="AH673">
        <f t="shared" si="95"/>
        <v>21</v>
      </c>
      <c r="AI673">
        <f t="shared" si="96"/>
        <v>29</v>
      </c>
      <c r="AJ673" t="str">
        <f t="shared" si="97"/>
        <v/>
      </c>
      <c r="AK673">
        <f t="shared" si="98"/>
        <v>-1</v>
      </c>
      <c r="AL673">
        <f t="shared" si="91"/>
        <v>-3</v>
      </c>
      <c r="AM673">
        <f t="shared" si="92"/>
        <v>-4</v>
      </c>
      <c r="AN673">
        <f t="shared" si="93"/>
        <v>-4</v>
      </c>
      <c r="AO673" t="str">
        <f t="shared" si="94"/>
        <v/>
      </c>
    </row>
    <row r="674" spans="1:41">
      <c r="A674">
        <f t="shared" si="99"/>
        <v>670</v>
      </c>
      <c r="B674" t="s">
        <v>278</v>
      </c>
      <c r="C674">
        <v>5</v>
      </c>
      <c r="D674">
        <v>5</v>
      </c>
      <c r="E674" t="s">
        <v>387</v>
      </c>
      <c r="F674">
        <v>412</v>
      </c>
      <c r="G674">
        <v>2</v>
      </c>
      <c r="H674">
        <v>49</v>
      </c>
      <c r="I674" t="s">
        <v>386</v>
      </c>
      <c r="J674" t="s">
        <v>386</v>
      </c>
      <c r="K674">
        <v>100000</v>
      </c>
      <c r="L674">
        <v>21</v>
      </c>
      <c r="M674">
        <v>21</v>
      </c>
      <c r="N674">
        <v>29</v>
      </c>
      <c r="O674">
        <v>0</v>
      </c>
      <c r="P674">
        <v>-3</v>
      </c>
      <c r="Q674">
        <v>-6</v>
      </c>
      <c r="R674">
        <v>-8</v>
      </c>
      <c r="S674">
        <v>-6</v>
      </c>
      <c r="T674">
        <v>0</v>
      </c>
      <c r="U674">
        <v>175</v>
      </c>
      <c r="V674">
        <v>1892.8534795800001</v>
      </c>
      <c r="AH674">
        <f t="shared" si="95"/>
        <v>21</v>
      </c>
      <c r="AI674">
        <f t="shared" si="96"/>
        <v>29</v>
      </c>
      <c r="AJ674" t="str">
        <f t="shared" si="97"/>
        <v/>
      </c>
      <c r="AK674">
        <f t="shared" si="98"/>
        <v>-3</v>
      </c>
      <c r="AL674">
        <f t="shared" si="91"/>
        <v>-6</v>
      </c>
      <c r="AM674">
        <f t="shared" si="92"/>
        <v>-8</v>
      </c>
      <c r="AN674">
        <f t="shared" si="93"/>
        <v>-6</v>
      </c>
      <c r="AO674" t="str">
        <f t="shared" si="94"/>
        <v/>
      </c>
    </row>
    <row r="675" spans="1:41">
      <c r="A675">
        <f t="shared" si="99"/>
        <v>671</v>
      </c>
      <c r="B675" t="s">
        <v>278</v>
      </c>
      <c r="C675">
        <v>5</v>
      </c>
      <c r="D675">
        <v>5</v>
      </c>
      <c r="E675" t="s">
        <v>387</v>
      </c>
      <c r="F675">
        <v>412</v>
      </c>
      <c r="G675">
        <v>2</v>
      </c>
      <c r="H675">
        <v>50</v>
      </c>
      <c r="I675" t="s">
        <v>386</v>
      </c>
      <c r="J675" t="s">
        <v>386</v>
      </c>
      <c r="K675">
        <v>100000</v>
      </c>
      <c r="L675">
        <v>21</v>
      </c>
      <c r="M675">
        <v>21</v>
      </c>
      <c r="N675">
        <v>29</v>
      </c>
      <c r="O675">
        <v>0</v>
      </c>
      <c r="P675">
        <v>-6</v>
      </c>
      <c r="Q675">
        <v>-10</v>
      </c>
      <c r="R675">
        <v>-12</v>
      </c>
      <c r="S675">
        <v>-9</v>
      </c>
      <c r="T675">
        <v>0</v>
      </c>
      <c r="U675">
        <v>173</v>
      </c>
      <c r="V675">
        <v>1901.2903572299999</v>
      </c>
      <c r="AH675">
        <f t="shared" si="95"/>
        <v>21</v>
      </c>
      <c r="AI675">
        <f t="shared" si="96"/>
        <v>29</v>
      </c>
      <c r="AJ675" t="str">
        <f t="shared" si="97"/>
        <v/>
      </c>
      <c r="AK675">
        <f t="shared" si="98"/>
        <v>-6</v>
      </c>
      <c r="AL675">
        <f t="shared" si="91"/>
        <v>-10</v>
      </c>
      <c r="AM675">
        <f t="shared" si="92"/>
        <v>-12</v>
      </c>
      <c r="AN675">
        <f t="shared" si="93"/>
        <v>-9</v>
      </c>
      <c r="AO675" t="str">
        <f t="shared" si="94"/>
        <v/>
      </c>
    </row>
    <row r="676" spans="1:41">
      <c r="A676">
        <f t="shared" si="99"/>
        <v>672</v>
      </c>
      <c r="B676" t="s">
        <v>278</v>
      </c>
      <c r="C676">
        <v>5</v>
      </c>
      <c r="D676">
        <v>5</v>
      </c>
      <c r="E676" t="s">
        <v>387</v>
      </c>
      <c r="F676">
        <v>412</v>
      </c>
      <c r="G676">
        <v>2</v>
      </c>
      <c r="H676">
        <v>51</v>
      </c>
      <c r="I676" t="s">
        <v>386</v>
      </c>
      <c r="J676" t="s">
        <v>386</v>
      </c>
      <c r="K676">
        <v>100000</v>
      </c>
      <c r="L676">
        <v>20</v>
      </c>
      <c r="M676">
        <v>20</v>
      </c>
      <c r="N676">
        <v>28</v>
      </c>
      <c r="O676">
        <v>0</v>
      </c>
      <c r="P676">
        <v>-9</v>
      </c>
      <c r="Q676">
        <v>-14</v>
      </c>
      <c r="R676">
        <v>-15</v>
      </c>
      <c r="S676">
        <v>-11</v>
      </c>
      <c r="T676">
        <v>0</v>
      </c>
      <c r="U676">
        <v>171</v>
      </c>
      <c r="V676">
        <v>1911.7346199799999</v>
      </c>
      <c r="AH676">
        <f t="shared" si="95"/>
        <v>20</v>
      </c>
      <c r="AI676">
        <f t="shared" si="96"/>
        <v>28</v>
      </c>
      <c r="AJ676" t="str">
        <f t="shared" si="97"/>
        <v/>
      </c>
      <c r="AK676">
        <f t="shared" si="98"/>
        <v>-9</v>
      </c>
      <c r="AL676">
        <f t="shared" si="91"/>
        <v>-14</v>
      </c>
      <c r="AM676">
        <f t="shared" si="92"/>
        <v>-15</v>
      </c>
      <c r="AN676">
        <f t="shared" si="93"/>
        <v>-11</v>
      </c>
      <c r="AO676" t="str">
        <f t="shared" si="94"/>
        <v/>
      </c>
    </row>
    <row r="677" spans="1:41">
      <c r="A677">
        <f t="shared" si="99"/>
        <v>673</v>
      </c>
      <c r="B677" t="s">
        <v>278</v>
      </c>
      <c r="C677">
        <v>5</v>
      </c>
      <c r="D677">
        <v>5</v>
      </c>
      <c r="E677" t="s">
        <v>387</v>
      </c>
      <c r="F677">
        <v>412</v>
      </c>
      <c r="G677">
        <v>2</v>
      </c>
      <c r="H677">
        <v>52</v>
      </c>
      <c r="I677" t="s">
        <v>386</v>
      </c>
      <c r="J677" t="s">
        <v>386</v>
      </c>
      <c r="K677">
        <v>100000</v>
      </c>
      <c r="L677">
        <v>20</v>
      </c>
      <c r="M677">
        <v>20</v>
      </c>
      <c r="N677">
        <v>28</v>
      </c>
      <c r="O677">
        <v>0</v>
      </c>
      <c r="P677">
        <v>-10</v>
      </c>
      <c r="Q677">
        <v>-16</v>
      </c>
      <c r="R677">
        <v>-17</v>
      </c>
      <c r="S677">
        <v>-11</v>
      </c>
      <c r="T677">
        <v>0</v>
      </c>
      <c r="U677">
        <v>168</v>
      </c>
      <c r="V677">
        <v>1925.2168195300001</v>
      </c>
      <c r="AH677">
        <f t="shared" si="95"/>
        <v>20</v>
      </c>
      <c r="AI677">
        <f t="shared" si="96"/>
        <v>28</v>
      </c>
      <c r="AJ677" t="str">
        <f t="shared" si="97"/>
        <v/>
      </c>
      <c r="AK677">
        <f t="shared" si="98"/>
        <v>-10</v>
      </c>
      <c r="AL677">
        <f t="shared" si="91"/>
        <v>-16</v>
      </c>
      <c r="AM677">
        <f t="shared" si="92"/>
        <v>-17</v>
      </c>
      <c r="AN677">
        <f t="shared" si="93"/>
        <v>-11</v>
      </c>
      <c r="AO677" t="str">
        <f t="shared" si="94"/>
        <v/>
      </c>
    </row>
    <row r="678" spans="1:41">
      <c r="A678">
        <f t="shared" si="99"/>
        <v>674</v>
      </c>
      <c r="B678" t="s">
        <v>278</v>
      </c>
      <c r="C678">
        <v>5</v>
      </c>
      <c r="D678">
        <v>5</v>
      </c>
      <c r="E678" t="s">
        <v>387</v>
      </c>
      <c r="F678">
        <v>412</v>
      </c>
      <c r="G678">
        <v>2</v>
      </c>
      <c r="H678">
        <v>53</v>
      </c>
      <c r="I678" t="s">
        <v>386</v>
      </c>
      <c r="J678" t="s">
        <v>386</v>
      </c>
      <c r="K678">
        <v>100000</v>
      </c>
      <c r="L678">
        <v>20</v>
      </c>
      <c r="M678">
        <v>20</v>
      </c>
      <c r="N678">
        <v>27</v>
      </c>
      <c r="O678">
        <v>0</v>
      </c>
      <c r="P678">
        <v>-11</v>
      </c>
      <c r="Q678">
        <v>-17</v>
      </c>
      <c r="R678">
        <v>-17</v>
      </c>
      <c r="S678">
        <v>-11</v>
      </c>
      <c r="T678">
        <v>0</v>
      </c>
      <c r="U678">
        <v>165</v>
      </c>
      <c r="V678">
        <v>1941.46930253</v>
      </c>
      <c r="AH678">
        <f t="shared" si="95"/>
        <v>20</v>
      </c>
      <c r="AI678">
        <f t="shared" si="96"/>
        <v>27</v>
      </c>
      <c r="AJ678" t="str">
        <f t="shared" si="97"/>
        <v/>
      </c>
      <c r="AK678">
        <f t="shared" si="98"/>
        <v>-11</v>
      </c>
      <c r="AL678">
        <f t="shared" si="91"/>
        <v>-17</v>
      </c>
      <c r="AM678">
        <f t="shared" si="92"/>
        <v>-17</v>
      </c>
      <c r="AN678">
        <f t="shared" si="93"/>
        <v>-11</v>
      </c>
      <c r="AO678" t="str">
        <f t="shared" si="94"/>
        <v/>
      </c>
    </row>
    <row r="679" spans="1:41">
      <c r="A679">
        <f t="shared" si="99"/>
        <v>675</v>
      </c>
      <c r="B679" t="s">
        <v>278</v>
      </c>
      <c r="C679">
        <v>5</v>
      </c>
      <c r="D679">
        <v>5</v>
      </c>
      <c r="E679" t="s">
        <v>387</v>
      </c>
      <c r="F679">
        <v>412</v>
      </c>
      <c r="G679">
        <v>2</v>
      </c>
      <c r="H679">
        <v>54</v>
      </c>
      <c r="I679" t="s">
        <v>386</v>
      </c>
      <c r="J679" t="s">
        <v>386</v>
      </c>
      <c r="K679">
        <v>100000</v>
      </c>
      <c r="L679">
        <v>19</v>
      </c>
      <c r="M679">
        <v>19</v>
      </c>
      <c r="N679">
        <v>27</v>
      </c>
      <c r="O679">
        <v>0</v>
      </c>
      <c r="P679">
        <v>-11</v>
      </c>
      <c r="Q679">
        <v>-16</v>
      </c>
      <c r="R679">
        <v>-16</v>
      </c>
      <c r="S679">
        <v>-10</v>
      </c>
      <c r="T679">
        <v>0</v>
      </c>
      <c r="U679">
        <v>163</v>
      </c>
      <c r="V679">
        <v>1960.4872463300001</v>
      </c>
      <c r="AH679">
        <f t="shared" si="95"/>
        <v>19</v>
      </c>
      <c r="AI679">
        <f t="shared" si="96"/>
        <v>27</v>
      </c>
      <c r="AJ679" t="str">
        <f t="shared" si="97"/>
        <v/>
      </c>
      <c r="AK679">
        <f t="shared" si="98"/>
        <v>-11</v>
      </c>
      <c r="AL679">
        <f t="shared" si="91"/>
        <v>-16</v>
      </c>
      <c r="AM679">
        <f t="shared" si="92"/>
        <v>-16</v>
      </c>
      <c r="AN679">
        <f t="shared" si="93"/>
        <v>-10</v>
      </c>
      <c r="AO679" t="str">
        <f t="shared" si="94"/>
        <v/>
      </c>
    </row>
    <row r="680" spans="1:41">
      <c r="A680">
        <f t="shared" si="99"/>
        <v>676</v>
      </c>
      <c r="B680" t="s">
        <v>278</v>
      </c>
      <c r="C680">
        <v>5</v>
      </c>
      <c r="D680">
        <v>5</v>
      </c>
      <c r="E680" t="s">
        <v>387</v>
      </c>
      <c r="F680">
        <v>412</v>
      </c>
      <c r="G680">
        <v>2</v>
      </c>
      <c r="H680">
        <v>55</v>
      </c>
      <c r="I680" t="s">
        <v>386</v>
      </c>
      <c r="J680" t="s">
        <v>386</v>
      </c>
      <c r="K680">
        <v>100000</v>
      </c>
      <c r="L680">
        <v>19</v>
      </c>
      <c r="M680">
        <v>19</v>
      </c>
      <c r="N680">
        <v>26</v>
      </c>
      <c r="O680">
        <v>0</v>
      </c>
      <c r="P680">
        <v>-10</v>
      </c>
      <c r="Q680">
        <v>-14</v>
      </c>
      <c r="R680">
        <v>-13</v>
      </c>
      <c r="S680">
        <v>-8</v>
      </c>
      <c r="T680">
        <v>0</v>
      </c>
      <c r="U680">
        <v>160</v>
      </c>
      <c r="V680">
        <v>1981.80827322</v>
      </c>
      <c r="AH680">
        <f t="shared" si="95"/>
        <v>19</v>
      </c>
      <c r="AI680">
        <f t="shared" si="96"/>
        <v>26</v>
      </c>
      <c r="AJ680" t="str">
        <f t="shared" si="97"/>
        <v/>
      </c>
      <c r="AK680">
        <f t="shared" si="98"/>
        <v>-10</v>
      </c>
      <c r="AL680">
        <f t="shared" si="91"/>
        <v>-14</v>
      </c>
      <c r="AM680">
        <f t="shared" si="92"/>
        <v>-13</v>
      </c>
      <c r="AN680">
        <f t="shared" si="93"/>
        <v>-8</v>
      </c>
      <c r="AO680" t="str">
        <f t="shared" si="94"/>
        <v/>
      </c>
    </row>
    <row r="681" spans="1:41">
      <c r="A681">
        <f t="shared" si="99"/>
        <v>677</v>
      </c>
      <c r="B681" t="s">
        <v>278</v>
      </c>
      <c r="C681">
        <v>5</v>
      </c>
      <c r="D681">
        <v>5</v>
      </c>
      <c r="E681" t="s">
        <v>387</v>
      </c>
      <c r="F681">
        <v>412</v>
      </c>
      <c r="G681">
        <v>2</v>
      </c>
      <c r="H681">
        <v>56</v>
      </c>
      <c r="I681" t="s">
        <v>386</v>
      </c>
      <c r="J681" t="s">
        <v>386</v>
      </c>
      <c r="K681">
        <v>100000</v>
      </c>
      <c r="L681">
        <v>19</v>
      </c>
      <c r="M681">
        <v>19</v>
      </c>
      <c r="N681">
        <v>26</v>
      </c>
      <c r="O681">
        <v>0</v>
      </c>
      <c r="P681">
        <v>-8</v>
      </c>
      <c r="Q681">
        <v>-10</v>
      </c>
      <c r="R681">
        <v>-9</v>
      </c>
      <c r="S681">
        <v>-5</v>
      </c>
      <c r="T681">
        <v>0</v>
      </c>
      <c r="U681">
        <v>158</v>
      </c>
      <c r="V681">
        <v>2005.72244249</v>
      </c>
      <c r="AH681">
        <f t="shared" si="95"/>
        <v>19</v>
      </c>
      <c r="AI681">
        <f t="shared" si="96"/>
        <v>26</v>
      </c>
      <c r="AJ681" t="str">
        <f t="shared" si="97"/>
        <v/>
      </c>
      <c r="AK681">
        <f t="shared" si="98"/>
        <v>-8</v>
      </c>
      <c r="AL681">
        <f t="shared" si="91"/>
        <v>-10</v>
      </c>
      <c r="AM681">
        <f t="shared" si="92"/>
        <v>-9</v>
      </c>
      <c r="AN681">
        <f t="shared" si="93"/>
        <v>-5</v>
      </c>
      <c r="AO681" t="str">
        <f t="shared" si="94"/>
        <v/>
      </c>
    </row>
    <row r="682" spans="1:41">
      <c r="A682">
        <f t="shared" si="99"/>
        <v>678</v>
      </c>
      <c r="B682" t="s">
        <v>278</v>
      </c>
      <c r="C682">
        <v>5</v>
      </c>
      <c r="D682">
        <v>5</v>
      </c>
      <c r="E682" t="s">
        <v>387</v>
      </c>
      <c r="F682">
        <v>412</v>
      </c>
      <c r="G682">
        <v>2</v>
      </c>
      <c r="H682">
        <v>57</v>
      </c>
      <c r="I682" t="s">
        <v>386</v>
      </c>
      <c r="J682" t="s">
        <v>386</v>
      </c>
      <c r="K682">
        <v>100000</v>
      </c>
      <c r="L682">
        <v>18</v>
      </c>
      <c r="M682">
        <v>18</v>
      </c>
      <c r="N682">
        <v>25</v>
      </c>
      <c r="O682">
        <v>0</v>
      </c>
      <c r="P682">
        <v>-5</v>
      </c>
      <c r="Q682">
        <v>-7</v>
      </c>
      <c r="R682">
        <v>-6</v>
      </c>
      <c r="S682">
        <v>-3</v>
      </c>
      <c r="T682">
        <v>0</v>
      </c>
      <c r="U682">
        <v>157</v>
      </c>
      <c r="V682">
        <v>2032.2527260899999</v>
      </c>
      <c r="AH682">
        <f t="shared" si="95"/>
        <v>18</v>
      </c>
      <c r="AI682">
        <f t="shared" si="96"/>
        <v>25</v>
      </c>
      <c r="AJ682" t="str">
        <f t="shared" si="97"/>
        <v/>
      </c>
      <c r="AK682">
        <f t="shared" si="98"/>
        <v>-5</v>
      </c>
      <c r="AL682">
        <f t="shared" si="91"/>
        <v>-7</v>
      </c>
      <c r="AM682">
        <f t="shared" si="92"/>
        <v>-6</v>
      </c>
      <c r="AN682">
        <f t="shared" si="93"/>
        <v>-3</v>
      </c>
      <c r="AO682" t="str">
        <f t="shared" si="94"/>
        <v/>
      </c>
    </row>
    <row r="683" spans="1:41">
      <c r="A683">
        <f t="shared" si="99"/>
        <v>679</v>
      </c>
      <c r="B683" t="s">
        <v>278</v>
      </c>
      <c r="C683">
        <v>5</v>
      </c>
      <c r="D683">
        <v>5</v>
      </c>
      <c r="E683" t="s">
        <v>387</v>
      </c>
      <c r="F683">
        <v>412</v>
      </c>
      <c r="G683">
        <v>2</v>
      </c>
      <c r="H683">
        <v>58</v>
      </c>
      <c r="I683" t="s">
        <v>386</v>
      </c>
      <c r="J683" t="s">
        <v>386</v>
      </c>
      <c r="K683">
        <v>100000</v>
      </c>
      <c r="L683">
        <v>18</v>
      </c>
      <c r="M683">
        <v>18</v>
      </c>
      <c r="N683">
        <v>25</v>
      </c>
      <c r="O683">
        <v>0</v>
      </c>
      <c r="P683">
        <v>-3</v>
      </c>
      <c r="Q683">
        <v>-4</v>
      </c>
      <c r="R683">
        <v>-3</v>
      </c>
      <c r="S683">
        <v>-1</v>
      </c>
      <c r="T683">
        <v>0</v>
      </c>
      <c r="U683">
        <v>156</v>
      </c>
      <c r="V683">
        <v>2062.5203302700002</v>
      </c>
      <c r="AH683">
        <f t="shared" si="95"/>
        <v>18</v>
      </c>
      <c r="AI683">
        <f t="shared" si="96"/>
        <v>25</v>
      </c>
      <c r="AJ683" t="str">
        <f t="shared" si="97"/>
        <v/>
      </c>
      <c r="AK683">
        <f t="shared" si="98"/>
        <v>-3</v>
      </c>
      <c r="AL683">
        <f t="shared" si="91"/>
        <v>-4</v>
      </c>
      <c r="AM683">
        <f t="shared" si="92"/>
        <v>-3</v>
      </c>
      <c r="AN683">
        <f t="shared" si="93"/>
        <v>-1</v>
      </c>
      <c r="AO683" t="str">
        <f t="shared" si="94"/>
        <v/>
      </c>
    </row>
    <row r="684" spans="1:41">
      <c r="A684">
        <f t="shared" si="99"/>
        <v>680</v>
      </c>
      <c r="B684" t="s">
        <v>278</v>
      </c>
      <c r="C684">
        <v>5</v>
      </c>
      <c r="D684">
        <v>5</v>
      </c>
      <c r="E684" t="s">
        <v>387</v>
      </c>
      <c r="F684">
        <v>412</v>
      </c>
      <c r="G684">
        <v>2</v>
      </c>
      <c r="H684">
        <v>59</v>
      </c>
      <c r="I684" t="s">
        <v>386</v>
      </c>
      <c r="J684" t="s">
        <v>386</v>
      </c>
      <c r="K684">
        <v>100000</v>
      </c>
      <c r="L684">
        <v>18</v>
      </c>
      <c r="M684">
        <v>18</v>
      </c>
      <c r="N684">
        <v>25</v>
      </c>
      <c r="O684">
        <v>0</v>
      </c>
      <c r="P684">
        <v>-1</v>
      </c>
      <c r="Q684">
        <v>-1</v>
      </c>
      <c r="R684">
        <v>-1</v>
      </c>
      <c r="S684">
        <v>0</v>
      </c>
      <c r="T684">
        <v>0</v>
      </c>
      <c r="U684">
        <v>155</v>
      </c>
      <c r="V684">
        <v>2097.7190611599999</v>
      </c>
      <c r="AH684">
        <f t="shared" si="95"/>
        <v>18</v>
      </c>
      <c r="AI684">
        <f t="shared" si="96"/>
        <v>25</v>
      </c>
      <c r="AJ684" t="str">
        <f t="shared" si="97"/>
        <v/>
      </c>
      <c r="AK684">
        <f t="shared" si="98"/>
        <v>-1</v>
      </c>
      <c r="AL684">
        <f t="shared" si="91"/>
        <v>-1</v>
      </c>
      <c r="AM684">
        <f t="shared" si="92"/>
        <v>-1</v>
      </c>
      <c r="AN684" t="str">
        <f t="shared" si="93"/>
        <v/>
      </c>
      <c r="AO684" t="str">
        <f t="shared" si="94"/>
        <v/>
      </c>
    </row>
    <row r="685" spans="1:41">
      <c r="A685">
        <f t="shared" si="99"/>
        <v>681</v>
      </c>
      <c r="B685" t="s">
        <v>278</v>
      </c>
      <c r="C685">
        <v>5</v>
      </c>
      <c r="D685">
        <v>5</v>
      </c>
      <c r="E685" t="s">
        <v>387</v>
      </c>
      <c r="F685">
        <v>412</v>
      </c>
      <c r="G685">
        <v>2</v>
      </c>
      <c r="H685">
        <v>60</v>
      </c>
      <c r="I685" t="s">
        <v>386</v>
      </c>
      <c r="J685" t="s">
        <v>386</v>
      </c>
      <c r="K685">
        <v>100000</v>
      </c>
      <c r="L685">
        <v>18</v>
      </c>
      <c r="M685">
        <v>18</v>
      </c>
      <c r="N685">
        <v>25</v>
      </c>
      <c r="O685">
        <v>0</v>
      </c>
      <c r="P685">
        <v>-1</v>
      </c>
      <c r="Q685">
        <v>0</v>
      </c>
      <c r="R685">
        <v>0</v>
      </c>
      <c r="S685">
        <v>0</v>
      </c>
      <c r="T685">
        <v>0</v>
      </c>
      <c r="U685">
        <v>155</v>
      </c>
      <c r="V685">
        <v>2139.5694527999999</v>
      </c>
      <c r="AH685">
        <f t="shared" si="95"/>
        <v>18</v>
      </c>
      <c r="AI685">
        <f t="shared" si="96"/>
        <v>25</v>
      </c>
      <c r="AJ685" t="str">
        <f t="shared" si="97"/>
        <v/>
      </c>
      <c r="AK685">
        <f t="shared" si="98"/>
        <v>-1</v>
      </c>
      <c r="AL685" t="str">
        <f t="shared" si="91"/>
        <v/>
      </c>
      <c r="AM685" t="str">
        <f t="shared" si="92"/>
        <v/>
      </c>
      <c r="AN685" t="str">
        <f t="shared" si="93"/>
        <v/>
      </c>
      <c r="AO685" t="str">
        <f t="shared" si="94"/>
        <v/>
      </c>
    </row>
    <row r="686" spans="1:41">
      <c r="A686">
        <f t="shared" si="99"/>
        <v>682</v>
      </c>
      <c r="B686" t="s">
        <v>278</v>
      </c>
      <c r="C686">
        <v>5</v>
      </c>
      <c r="D686">
        <v>5</v>
      </c>
      <c r="E686" t="s">
        <v>387</v>
      </c>
      <c r="F686">
        <v>412</v>
      </c>
      <c r="G686">
        <v>2</v>
      </c>
      <c r="H686">
        <v>61</v>
      </c>
      <c r="I686" t="s">
        <v>386</v>
      </c>
      <c r="J686" t="s">
        <v>386</v>
      </c>
      <c r="K686">
        <v>100000</v>
      </c>
      <c r="L686">
        <v>18</v>
      </c>
      <c r="M686">
        <v>18</v>
      </c>
      <c r="N686">
        <v>25</v>
      </c>
      <c r="O686">
        <v>0</v>
      </c>
      <c r="P686">
        <v>0</v>
      </c>
      <c r="Q686">
        <v>0</v>
      </c>
      <c r="R686">
        <v>-1</v>
      </c>
      <c r="S686">
        <v>-1</v>
      </c>
      <c r="T686">
        <v>0</v>
      </c>
      <c r="U686">
        <v>155</v>
      </c>
      <c r="V686">
        <v>2187.9164798000002</v>
      </c>
      <c r="AH686">
        <f t="shared" si="95"/>
        <v>18</v>
      </c>
      <c r="AI686">
        <f t="shared" si="96"/>
        <v>25</v>
      </c>
      <c r="AJ686" t="str">
        <f t="shared" si="97"/>
        <v/>
      </c>
      <c r="AK686" t="str">
        <f t="shared" si="98"/>
        <v/>
      </c>
      <c r="AL686" t="str">
        <f t="shared" si="91"/>
        <v/>
      </c>
      <c r="AM686">
        <f t="shared" si="92"/>
        <v>-1</v>
      </c>
      <c r="AN686">
        <f t="shared" si="93"/>
        <v>-1</v>
      </c>
      <c r="AO686" t="str">
        <f t="shared" si="94"/>
        <v/>
      </c>
    </row>
    <row r="687" spans="1:41">
      <c r="A687">
        <f t="shared" si="99"/>
        <v>683</v>
      </c>
      <c r="B687" t="s">
        <v>278</v>
      </c>
      <c r="C687">
        <v>5</v>
      </c>
      <c r="D687">
        <v>5</v>
      </c>
      <c r="E687" t="s">
        <v>387</v>
      </c>
      <c r="F687">
        <v>412</v>
      </c>
      <c r="G687">
        <v>2</v>
      </c>
      <c r="H687">
        <v>62</v>
      </c>
      <c r="I687" t="s">
        <v>386</v>
      </c>
      <c r="J687" t="s">
        <v>386</v>
      </c>
      <c r="K687">
        <v>100000</v>
      </c>
      <c r="L687">
        <v>18</v>
      </c>
      <c r="M687">
        <v>18</v>
      </c>
      <c r="N687">
        <v>25</v>
      </c>
      <c r="O687">
        <v>0</v>
      </c>
      <c r="P687">
        <v>-1</v>
      </c>
      <c r="Q687">
        <v>-1</v>
      </c>
      <c r="R687">
        <v>-2</v>
      </c>
      <c r="S687">
        <v>-2</v>
      </c>
      <c r="T687">
        <v>0</v>
      </c>
      <c r="U687">
        <v>155</v>
      </c>
      <c r="V687">
        <v>2243.1032454000001</v>
      </c>
      <c r="AH687">
        <f t="shared" si="95"/>
        <v>18</v>
      </c>
      <c r="AI687">
        <f t="shared" si="96"/>
        <v>25</v>
      </c>
      <c r="AJ687" t="str">
        <f t="shared" si="97"/>
        <v/>
      </c>
      <c r="AK687">
        <f t="shared" si="98"/>
        <v>-1</v>
      </c>
      <c r="AL687">
        <f t="shared" si="91"/>
        <v>-1</v>
      </c>
      <c r="AM687">
        <f t="shared" si="92"/>
        <v>-2</v>
      </c>
      <c r="AN687">
        <f t="shared" si="93"/>
        <v>-2</v>
      </c>
      <c r="AO687" t="str">
        <f t="shared" si="94"/>
        <v/>
      </c>
    </row>
    <row r="688" spans="1:41">
      <c r="A688">
        <f t="shared" si="99"/>
        <v>684</v>
      </c>
      <c r="B688" t="s">
        <v>278</v>
      </c>
      <c r="C688">
        <v>5</v>
      </c>
      <c r="D688">
        <v>5</v>
      </c>
      <c r="E688" t="s">
        <v>387</v>
      </c>
      <c r="F688">
        <v>412</v>
      </c>
      <c r="G688">
        <v>2</v>
      </c>
      <c r="H688">
        <v>63</v>
      </c>
      <c r="I688" t="s">
        <v>386</v>
      </c>
      <c r="J688" t="s">
        <v>386</v>
      </c>
      <c r="K688">
        <v>100000</v>
      </c>
      <c r="L688">
        <v>18</v>
      </c>
      <c r="M688">
        <v>18</v>
      </c>
      <c r="N688">
        <v>25</v>
      </c>
      <c r="O688">
        <v>0</v>
      </c>
      <c r="P688">
        <v>-1</v>
      </c>
      <c r="Q688">
        <v>-2</v>
      </c>
      <c r="R688">
        <v>-3</v>
      </c>
      <c r="S688">
        <v>-2</v>
      </c>
      <c r="T688">
        <v>0</v>
      </c>
      <c r="U688">
        <v>155</v>
      </c>
      <c r="V688">
        <v>2307.4359912800001</v>
      </c>
      <c r="AH688">
        <f t="shared" si="95"/>
        <v>18</v>
      </c>
      <c r="AI688">
        <f t="shared" si="96"/>
        <v>25</v>
      </c>
      <c r="AJ688" t="str">
        <f t="shared" si="97"/>
        <v/>
      </c>
      <c r="AK688">
        <f t="shared" si="98"/>
        <v>-1</v>
      </c>
      <c r="AL688">
        <f t="shared" si="91"/>
        <v>-2</v>
      </c>
      <c r="AM688">
        <f t="shared" si="92"/>
        <v>-3</v>
      </c>
      <c r="AN688">
        <f t="shared" si="93"/>
        <v>-2</v>
      </c>
      <c r="AO688" t="str">
        <f t="shared" si="94"/>
        <v/>
      </c>
    </row>
    <row r="689" spans="1:41">
      <c r="A689">
        <f t="shared" si="99"/>
        <v>685</v>
      </c>
      <c r="B689" t="s">
        <v>278</v>
      </c>
      <c r="C689">
        <v>5</v>
      </c>
      <c r="D689">
        <v>5</v>
      </c>
      <c r="E689" t="s">
        <v>387</v>
      </c>
      <c r="F689">
        <v>412</v>
      </c>
      <c r="G689">
        <v>2</v>
      </c>
      <c r="H689">
        <v>64</v>
      </c>
      <c r="I689" t="s">
        <v>386</v>
      </c>
      <c r="J689" t="s">
        <v>386</v>
      </c>
      <c r="K689">
        <v>100000</v>
      </c>
      <c r="L689">
        <v>18</v>
      </c>
      <c r="M689">
        <v>18</v>
      </c>
      <c r="N689">
        <v>25</v>
      </c>
      <c r="O689">
        <v>0</v>
      </c>
      <c r="P689">
        <v>-2</v>
      </c>
      <c r="Q689">
        <v>-3</v>
      </c>
      <c r="R689">
        <v>-3</v>
      </c>
      <c r="S689">
        <v>-2</v>
      </c>
      <c r="T689">
        <v>0</v>
      </c>
      <c r="U689">
        <v>154</v>
      </c>
      <c r="V689">
        <v>2389.3240368400002</v>
      </c>
      <c r="AH689">
        <f t="shared" si="95"/>
        <v>18</v>
      </c>
      <c r="AI689">
        <f t="shared" si="96"/>
        <v>25</v>
      </c>
      <c r="AJ689" t="str">
        <f t="shared" si="97"/>
        <v/>
      </c>
      <c r="AK689">
        <f t="shared" si="98"/>
        <v>-2</v>
      </c>
      <c r="AL689">
        <f t="shared" si="91"/>
        <v>-3</v>
      </c>
      <c r="AM689">
        <f t="shared" si="92"/>
        <v>-3</v>
      </c>
      <c r="AN689">
        <f t="shared" si="93"/>
        <v>-2</v>
      </c>
      <c r="AO689" t="str">
        <f t="shared" si="94"/>
        <v/>
      </c>
    </row>
    <row r="690" spans="1:41">
      <c r="A690">
        <f t="shared" si="99"/>
        <v>686</v>
      </c>
      <c r="B690" t="s">
        <v>278</v>
      </c>
      <c r="C690">
        <v>5</v>
      </c>
      <c r="D690">
        <v>5</v>
      </c>
      <c r="E690" t="s">
        <v>387</v>
      </c>
      <c r="F690">
        <v>412</v>
      </c>
      <c r="G690">
        <v>2</v>
      </c>
      <c r="H690">
        <v>65</v>
      </c>
      <c r="I690" t="s">
        <v>386</v>
      </c>
      <c r="J690" t="s">
        <v>386</v>
      </c>
      <c r="K690">
        <v>100000</v>
      </c>
      <c r="L690">
        <v>18</v>
      </c>
      <c r="M690">
        <v>18</v>
      </c>
      <c r="N690">
        <v>25</v>
      </c>
      <c r="O690">
        <v>0</v>
      </c>
      <c r="P690">
        <v>-2</v>
      </c>
      <c r="Q690">
        <v>-4</v>
      </c>
      <c r="R690">
        <v>-3</v>
      </c>
      <c r="S690">
        <v>-2</v>
      </c>
      <c r="T690">
        <v>0</v>
      </c>
      <c r="U690">
        <v>154</v>
      </c>
      <c r="V690">
        <v>2498.72084159</v>
      </c>
      <c r="AH690">
        <f t="shared" si="95"/>
        <v>18</v>
      </c>
      <c r="AI690">
        <f t="shared" si="96"/>
        <v>25</v>
      </c>
      <c r="AJ690" t="str">
        <f t="shared" si="97"/>
        <v/>
      </c>
      <c r="AK690">
        <f t="shared" si="98"/>
        <v>-2</v>
      </c>
      <c r="AL690">
        <f t="shared" si="91"/>
        <v>-4</v>
      </c>
      <c r="AM690">
        <f t="shared" si="92"/>
        <v>-3</v>
      </c>
      <c r="AN690">
        <f t="shared" si="93"/>
        <v>-2</v>
      </c>
      <c r="AO690" t="str">
        <f t="shared" si="94"/>
        <v/>
      </c>
    </row>
    <row r="691" spans="1:41">
      <c r="A691">
        <f t="shared" si="99"/>
        <v>687</v>
      </c>
      <c r="B691" t="s">
        <v>278</v>
      </c>
      <c r="C691">
        <v>5</v>
      </c>
      <c r="D691">
        <v>5</v>
      </c>
      <c r="E691" t="s">
        <v>387</v>
      </c>
      <c r="F691">
        <v>412</v>
      </c>
      <c r="G691">
        <v>2</v>
      </c>
      <c r="H691">
        <v>66</v>
      </c>
      <c r="I691" t="s">
        <v>386</v>
      </c>
      <c r="J691" t="s">
        <v>386</v>
      </c>
      <c r="K691">
        <v>100000</v>
      </c>
      <c r="L691">
        <v>18</v>
      </c>
      <c r="M691">
        <v>18</v>
      </c>
      <c r="N691">
        <v>25</v>
      </c>
      <c r="O691">
        <v>0</v>
      </c>
      <c r="P691">
        <v>-2</v>
      </c>
      <c r="Q691">
        <v>-3</v>
      </c>
      <c r="R691">
        <v>-3</v>
      </c>
      <c r="S691">
        <v>-2</v>
      </c>
      <c r="T691">
        <v>0</v>
      </c>
      <c r="U691">
        <v>153</v>
      </c>
      <c r="V691">
        <v>2646.4528154099999</v>
      </c>
      <c r="AH691">
        <f t="shared" si="95"/>
        <v>18</v>
      </c>
      <c r="AI691">
        <f t="shared" si="96"/>
        <v>25</v>
      </c>
      <c r="AJ691" t="str">
        <f t="shared" si="97"/>
        <v/>
      </c>
      <c r="AK691">
        <f t="shared" si="98"/>
        <v>-2</v>
      </c>
      <c r="AL691">
        <f t="shared" si="91"/>
        <v>-3</v>
      </c>
      <c r="AM691">
        <f t="shared" si="92"/>
        <v>-3</v>
      </c>
      <c r="AN691">
        <f t="shared" si="93"/>
        <v>-2</v>
      </c>
      <c r="AO691" t="str">
        <f t="shared" si="94"/>
        <v/>
      </c>
    </row>
    <row r="692" spans="1:41">
      <c r="A692">
        <f t="shared" si="99"/>
        <v>688</v>
      </c>
      <c r="B692" t="s">
        <v>278</v>
      </c>
      <c r="C692">
        <v>5</v>
      </c>
      <c r="D692">
        <v>5</v>
      </c>
      <c r="E692" t="s">
        <v>387</v>
      </c>
      <c r="F692">
        <v>412</v>
      </c>
      <c r="G692">
        <v>2</v>
      </c>
      <c r="H692">
        <v>67</v>
      </c>
      <c r="I692" t="s">
        <v>386</v>
      </c>
      <c r="J692" t="s">
        <v>386</v>
      </c>
      <c r="K692">
        <v>100000</v>
      </c>
      <c r="L692">
        <v>18</v>
      </c>
      <c r="M692">
        <v>18</v>
      </c>
      <c r="N692">
        <v>25</v>
      </c>
      <c r="O692">
        <v>0</v>
      </c>
      <c r="P692">
        <v>-2</v>
      </c>
      <c r="Q692">
        <v>-3</v>
      </c>
      <c r="R692">
        <v>-3</v>
      </c>
      <c r="S692">
        <v>-2</v>
      </c>
      <c r="T692">
        <v>0</v>
      </c>
      <c r="U692">
        <v>153</v>
      </c>
      <c r="V692">
        <v>2839.01829481</v>
      </c>
      <c r="AH692">
        <f t="shared" si="95"/>
        <v>18</v>
      </c>
      <c r="AI692">
        <f t="shared" si="96"/>
        <v>25</v>
      </c>
      <c r="AJ692" t="str">
        <f t="shared" si="97"/>
        <v/>
      </c>
      <c r="AK692">
        <f t="shared" si="98"/>
        <v>-2</v>
      </c>
      <c r="AL692">
        <f t="shared" si="91"/>
        <v>-3</v>
      </c>
      <c r="AM692">
        <f t="shared" si="92"/>
        <v>-3</v>
      </c>
      <c r="AN692">
        <f t="shared" si="93"/>
        <v>-2</v>
      </c>
      <c r="AO692" t="str">
        <f t="shared" si="94"/>
        <v/>
      </c>
    </row>
    <row r="693" spans="1:41">
      <c r="A693">
        <f t="shared" si="99"/>
        <v>689</v>
      </c>
      <c r="B693" t="s">
        <v>278</v>
      </c>
      <c r="C693">
        <v>5</v>
      </c>
      <c r="D693">
        <v>5</v>
      </c>
      <c r="E693" t="s">
        <v>387</v>
      </c>
      <c r="F693">
        <v>412</v>
      </c>
      <c r="G693">
        <v>2</v>
      </c>
      <c r="H693">
        <v>68</v>
      </c>
      <c r="I693" t="s">
        <v>386</v>
      </c>
      <c r="J693" t="s">
        <v>386</v>
      </c>
      <c r="K693">
        <v>100000</v>
      </c>
      <c r="L693">
        <v>18</v>
      </c>
      <c r="M693">
        <v>18</v>
      </c>
      <c r="N693">
        <v>24</v>
      </c>
      <c r="O693">
        <v>0</v>
      </c>
      <c r="P693">
        <v>-2</v>
      </c>
      <c r="Q693">
        <v>-2</v>
      </c>
      <c r="R693">
        <v>-2</v>
      </c>
      <c r="S693">
        <v>-1</v>
      </c>
      <c r="T693">
        <v>0</v>
      </c>
      <c r="U693">
        <v>152</v>
      </c>
      <c r="V693">
        <v>3080.07554514</v>
      </c>
      <c r="AH693">
        <f t="shared" si="95"/>
        <v>18</v>
      </c>
      <c r="AI693">
        <f t="shared" si="96"/>
        <v>24</v>
      </c>
      <c r="AJ693" t="str">
        <f t="shared" si="97"/>
        <v/>
      </c>
      <c r="AK693">
        <f t="shared" si="98"/>
        <v>-2</v>
      </c>
      <c r="AL693">
        <f t="shared" si="91"/>
        <v>-2</v>
      </c>
      <c r="AM693">
        <f t="shared" si="92"/>
        <v>-2</v>
      </c>
      <c r="AN693">
        <f t="shared" si="93"/>
        <v>-1</v>
      </c>
      <c r="AO693" t="str">
        <f t="shared" si="94"/>
        <v/>
      </c>
    </row>
    <row r="694" spans="1:41">
      <c r="A694">
        <f t="shared" si="99"/>
        <v>690</v>
      </c>
      <c r="B694" t="s">
        <v>278</v>
      </c>
      <c r="C694">
        <v>5</v>
      </c>
      <c r="D694">
        <v>5</v>
      </c>
      <c r="E694" t="s">
        <v>387</v>
      </c>
      <c r="F694">
        <v>412</v>
      </c>
      <c r="G694">
        <v>2</v>
      </c>
      <c r="H694">
        <v>69</v>
      </c>
      <c r="I694" t="s">
        <v>386</v>
      </c>
      <c r="J694" t="s">
        <v>386</v>
      </c>
      <c r="K694">
        <v>100000</v>
      </c>
      <c r="L694">
        <v>18</v>
      </c>
      <c r="M694">
        <v>18</v>
      </c>
      <c r="N694">
        <v>24</v>
      </c>
      <c r="O694">
        <v>0</v>
      </c>
      <c r="P694">
        <v>-1</v>
      </c>
      <c r="Q694">
        <v>-1</v>
      </c>
      <c r="R694">
        <v>0</v>
      </c>
      <c r="S694">
        <v>0</v>
      </c>
      <c r="T694">
        <v>0</v>
      </c>
      <c r="U694">
        <v>152</v>
      </c>
      <c r="V694">
        <v>3368.375951</v>
      </c>
      <c r="AH694">
        <f t="shared" si="95"/>
        <v>18</v>
      </c>
      <c r="AI694">
        <f t="shared" si="96"/>
        <v>24</v>
      </c>
      <c r="AJ694" t="str">
        <f t="shared" si="97"/>
        <v/>
      </c>
      <c r="AK694">
        <f t="shared" si="98"/>
        <v>-1</v>
      </c>
      <c r="AL694">
        <f t="shared" si="91"/>
        <v>-1</v>
      </c>
      <c r="AM694" t="str">
        <f t="shared" si="92"/>
        <v/>
      </c>
      <c r="AN694" t="str">
        <f t="shared" si="93"/>
        <v/>
      </c>
      <c r="AO694" t="str">
        <f t="shared" si="94"/>
        <v/>
      </c>
    </row>
    <row r="695" spans="1:41">
      <c r="A695">
        <f t="shared" si="99"/>
        <v>691</v>
      </c>
      <c r="B695" t="s">
        <v>278</v>
      </c>
      <c r="C695">
        <v>5</v>
      </c>
      <c r="D695">
        <v>5</v>
      </c>
      <c r="E695" t="s">
        <v>387</v>
      </c>
      <c r="F695">
        <v>412</v>
      </c>
      <c r="G695">
        <v>2</v>
      </c>
      <c r="H695">
        <v>70</v>
      </c>
      <c r="I695" t="s">
        <v>386</v>
      </c>
      <c r="J695" t="s">
        <v>386</v>
      </c>
      <c r="K695">
        <v>100000</v>
      </c>
      <c r="L695">
        <v>18</v>
      </c>
      <c r="M695">
        <v>18</v>
      </c>
      <c r="N695">
        <v>24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152</v>
      </c>
      <c r="V695">
        <v>3705.1161232099998</v>
      </c>
      <c r="AH695">
        <f t="shared" si="95"/>
        <v>18</v>
      </c>
      <c r="AI695">
        <f t="shared" si="96"/>
        <v>24</v>
      </c>
      <c r="AJ695" t="str">
        <f t="shared" si="97"/>
        <v/>
      </c>
      <c r="AK695" t="str">
        <f t="shared" si="98"/>
        <v/>
      </c>
      <c r="AL695" t="str">
        <f t="shared" si="91"/>
        <v/>
      </c>
      <c r="AM695" t="str">
        <f t="shared" si="92"/>
        <v/>
      </c>
      <c r="AN695" t="str">
        <f t="shared" si="93"/>
        <v/>
      </c>
      <c r="AO695" t="str">
        <f t="shared" si="94"/>
        <v/>
      </c>
    </row>
    <row r="696" spans="1:41">
      <c r="A696">
        <f t="shared" si="99"/>
        <v>692</v>
      </c>
      <c r="B696" t="s">
        <v>278</v>
      </c>
      <c r="C696">
        <v>5</v>
      </c>
      <c r="D696">
        <v>5</v>
      </c>
      <c r="E696" t="s">
        <v>387</v>
      </c>
      <c r="F696">
        <v>412</v>
      </c>
      <c r="G696">
        <v>2</v>
      </c>
      <c r="H696">
        <v>71</v>
      </c>
      <c r="I696" t="s">
        <v>386</v>
      </c>
      <c r="J696" t="s">
        <v>386</v>
      </c>
      <c r="K696">
        <v>100000</v>
      </c>
      <c r="L696">
        <v>18</v>
      </c>
      <c r="M696">
        <v>18</v>
      </c>
      <c r="N696">
        <v>24</v>
      </c>
      <c r="O696">
        <v>0</v>
      </c>
      <c r="P696">
        <v>0</v>
      </c>
      <c r="Q696">
        <v>0</v>
      </c>
      <c r="R696">
        <v>-1</v>
      </c>
      <c r="S696">
        <v>-1</v>
      </c>
      <c r="T696">
        <v>0</v>
      </c>
      <c r="U696">
        <v>152</v>
      </c>
      <c r="V696">
        <v>4096.9237143800001</v>
      </c>
      <c r="AH696">
        <f t="shared" si="95"/>
        <v>18</v>
      </c>
      <c r="AI696">
        <f t="shared" si="96"/>
        <v>24</v>
      </c>
      <c r="AJ696" t="str">
        <f t="shared" si="97"/>
        <v/>
      </c>
      <c r="AK696" t="str">
        <f t="shared" si="98"/>
        <v/>
      </c>
      <c r="AL696" t="str">
        <f t="shared" si="91"/>
        <v/>
      </c>
      <c r="AM696">
        <f t="shared" si="92"/>
        <v>-1</v>
      </c>
      <c r="AN696">
        <f t="shared" si="93"/>
        <v>-1</v>
      </c>
      <c r="AO696" t="str">
        <f t="shared" si="94"/>
        <v/>
      </c>
    </row>
    <row r="697" spans="1:41">
      <c r="A697">
        <f t="shared" si="99"/>
        <v>693</v>
      </c>
      <c r="B697" t="s">
        <v>278</v>
      </c>
      <c r="C697">
        <v>5</v>
      </c>
      <c r="D697">
        <v>5</v>
      </c>
      <c r="E697" t="s">
        <v>387</v>
      </c>
      <c r="F697">
        <v>412</v>
      </c>
      <c r="G697">
        <v>2</v>
      </c>
      <c r="H697">
        <v>72</v>
      </c>
      <c r="I697" t="s">
        <v>386</v>
      </c>
      <c r="J697" t="s">
        <v>386</v>
      </c>
      <c r="K697">
        <v>100000</v>
      </c>
      <c r="L697">
        <v>18</v>
      </c>
      <c r="M697">
        <v>18</v>
      </c>
      <c r="N697">
        <v>24</v>
      </c>
      <c r="O697">
        <v>0</v>
      </c>
      <c r="P697">
        <v>-1</v>
      </c>
      <c r="Q697">
        <v>-3</v>
      </c>
      <c r="R697">
        <v>-4</v>
      </c>
      <c r="S697">
        <v>-4</v>
      </c>
      <c r="T697">
        <v>0</v>
      </c>
      <c r="U697">
        <v>152</v>
      </c>
      <c r="V697">
        <v>4556.1163563299997</v>
      </c>
      <c r="AH697">
        <f t="shared" si="95"/>
        <v>18</v>
      </c>
      <c r="AI697">
        <f t="shared" si="96"/>
        <v>24</v>
      </c>
      <c r="AJ697" t="str">
        <f t="shared" si="97"/>
        <v/>
      </c>
      <c r="AK697">
        <f t="shared" si="98"/>
        <v>-1</v>
      </c>
      <c r="AL697">
        <f t="shared" si="91"/>
        <v>-3</v>
      </c>
      <c r="AM697">
        <f t="shared" si="92"/>
        <v>-4</v>
      </c>
      <c r="AN697">
        <f t="shared" si="93"/>
        <v>-4</v>
      </c>
      <c r="AO697" t="str">
        <f t="shared" si="94"/>
        <v/>
      </c>
    </row>
    <row r="698" spans="1:41">
      <c r="A698">
        <f t="shared" si="99"/>
        <v>694</v>
      </c>
      <c r="B698" t="s">
        <v>278</v>
      </c>
      <c r="C698">
        <v>5</v>
      </c>
      <c r="D698">
        <v>5</v>
      </c>
      <c r="E698" t="s">
        <v>387</v>
      </c>
      <c r="F698">
        <v>412</v>
      </c>
      <c r="G698">
        <v>2</v>
      </c>
      <c r="H698">
        <v>73</v>
      </c>
      <c r="I698" t="s">
        <v>386</v>
      </c>
      <c r="J698" t="s">
        <v>386</v>
      </c>
      <c r="K698">
        <v>100000</v>
      </c>
      <c r="L698">
        <v>17</v>
      </c>
      <c r="M698">
        <v>17</v>
      </c>
      <c r="N698">
        <v>24</v>
      </c>
      <c r="O698">
        <v>0</v>
      </c>
      <c r="P698">
        <v>-4</v>
      </c>
      <c r="Q698">
        <v>-7</v>
      </c>
      <c r="R698">
        <v>-9</v>
      </c>
      <c r="S698">
        <v>-7</v>
      </c>
      <c r="T698">
        <v>0</v>
      </c>
      <c r="U698">
        <v>151</v>
      </c>
      <c r="V698">
        <v>5110.01006813</v>
      </c>
      <c r="AH698">
        <f t="shared" si="95"/>
        <v>17</v>
      </c>
      <c r="AI698">
        <f t="shared" si="96"/>
        <v>24</v>
      </c>
      <c r="AJ698" t="str">
        <f t="shared" si="97"/>
        <v/>
      </c>
      <c r="AK698">
        <f t="shared" si="98"/>
        <v>-4</v>
      </c>
      <c r="AL698">
        <f t="shared" si="91"/>
        <v>-7</v>
      </c>
      <c r="AM698">
        <f t="shared" si="92"/>
        <v>-9</v>
      </c>
      <c r="AN698">
        <f t="shared" si="93"/>
        <v>-7</v>
      </c>
      <c r="AO698" t="str">
        <f t="shared" si="94"/>
        <v/>
      </c>
    </row>
    <row r="699" spans="1:41">
      <c r="A699">
        <f t="shared" si="99"/>
        <v>695</v>
      </c>
      <c r="B699" t="s">
        <v>278</v>
      </c>
      <c r="C699">
        <v>5</v>
      </c>
      <c r="D699">
        <v>5</v>
      </c>
      <c r="E699" t="s">
        <v>387</v>
      </c>
      <c r="F699">
        <v>412</v>
      </c>
      <c r="G699">
        <v>2</v>
      </c>
      <c r="H699">
        <v>74</v>
      </c>
      <c r="I699" t="s">
        <v>386</v>
      </c>
      <c r="J699" t="s">
        <v>386</v>
      </c>
      <c r="K699">
        <v>100000</v>
      </c>
      <c r="L699">
        <v>17</v>
      </c>
      <c r="M699">
        <v>17</v>
      </c>
      <c r="N699">
        <v>24</v>
      </c>
      <c r="O699">
        <v>0</v>
      </c>
      <c r="P699">
        <v>-6</v>
      </c>
      <c r="Q699">
        <v>-11</v>
      </c>
      <c r="R699">
        <v>-12</v>
      </c>
      <c r="S699">
        <v>-8</v>
      </c>
      <c r="T699">
        <v>0</v>
      </c>
      <c r="U699">
        <v>149</v>
      </c>
      <c r="V699">
        <v>5781.4440114700001</v>
      </c>
      <c r="AH699">
        <f t="shared" si="95"/>
        <v>17</v>
      </c>
      <c r="AI699">
        <f t="shared" si="96"/>
        <v>24</v>
      </c>
      <c r="AJ699" t="str">
        <f t="shared" si="97"/>
        <v/>
      </c>
      <c r="AK699">
        <f t="shared" si="98"/>
        <v>-6</v>
      </c>
      <c r="AL699">
        <f t="shared" si="91"/>
        <v>-11</v>
      </c>
      <c r="AM699">
        <f t="shared" si="92"/>
        <v>-12</v>
      </c>
      <c r="AN699">
        <f t="shared" si="93"/>
        <v>-8</v>
      </c>
      <c r="AO699" t="str">
        <f t="shared" si="94"/>
        <v/>
      </c>
    </row>
    <row r="700" spans="1:41">
      <c r="A700">
        <f t="shared" si="99"/>
        <v>696</v>
      </c>
      <c r="B700" t="s">
        <v>278</v>
      </c>
      <c r="C700">
        <v>5</v>
      </c>
      <c r="D700">
        <v>5</v>
      </c>
      <c r="E700" t="s">
        <v>387</v>
      </c>
      <c r="F700">
        <v>412</v>
      </c>
      <c r="G700">
        <v>2</v>
      </c>
      <c r="H700">
        <v>75</v>
      </c>
      <c r="I700" t="s">
        <v>386</v>
      </c>
      <c r="J700" t="s">
        <v>386</v>
      </c>
      <c r="K700">
        <v>100000</v>
      </c>
      <c r="L700">
        <v>17</v>
      </c>
      <c r="M700">
        <v>17</v>
      </c>
      <c r="N700">
        <v>23</v>
      </c>
      <c r="O700">
        <v>0</v>
      </c>
      <c r="P700">
        <v>-8</v>
      </c>
      <c r="Q700">
        <v>-13</v>
      </c>
      <c r="R700">
        <v>-12</v>
      </c>
      <c r="S700">
        <v>-8</v>
      </c>
      <c r="T700">
        <v>0</v>
      </c>
      <c r="U700">
        <v>147</v>
      </c>
      <c r="V700">
        <v>6580.9730450400002</v>
      </c>
      <c r="AH700">
        <f t="shared" si="95"/>
        <v>17</v>
      </c>
      <c r="AI700">
        <f t="shared" si="96"/>
        <v>23</v>
      </c>
      <c r="AJ700" t="str">
        <f t="shared" si="97"/>
        <v/>
      </c>
      <c r="AK700">
        <f t="shared" si="98"/>
        <v>-8</v>
      </c>
      <c r="AL700">
        <f t="shared" si="91"/>
        <v>-13</v>
      </c>
      <c r="AM700">
        <f t="shared" si="92"/>
        <v>-12</v>
      </c>
      <c r="AN700">
        <f t="shared" si="93"/>
        <v>-8</v>
      </c>
      <c r="AO700" t="str">
        <f t="shared" si="94"/>
        <v/>
      </c>
    </row>
    <row r="701" spans="1:41">
      <c r="A701">
        <f t="shared" si="99"/>
        <v>697</v>
      </c>
      <c r="B701" t="s">
        <v>278</v>
      </c>
      <c r="C701">
        <v>5</v>
      </c>
      <c r="D701">
        <v>5</v>
      </c>
      <c r="E701" t="s">
        <v>387</v>
      </c>
      <c r="F701">
        <v>412</v>
      </c>
      <c r="G701">
        <v>2</v>
      </c>
      <c r="H701">
        <v>76</v>
      </c>
      <c r="I701" t="s">
        <v>386</v>
      </c>
      <c r="J701" t="s">
        <v>386</v>
      </c>
      <c r="K701">
        <v>100000</v>
      </c>
      <c r="L701">
        <v>17</v>
      </c>
      <c r="M701">
        <v>17</v>
      </c>
      <c r="N701">
        <v>23</v>
      </c>
      <c r="O701">
        <v>0</v>
      </c>
      <c r="P701">
        <v>-8</v>
      </c>
      <c r="Q701">
        <v>-12</v>
      </c>
      <c r="R701">
        <v>-11</v>
      </c>
      <c r="S701">
        <v>-7</v>
      </c>
      <c r="T701">
        <v>0</v>
      </c>
      <c r="U701">
        <v>145</v>
      </c>
      <c r="V701">
        <v>7486.8188191299996</v>
      </c>
      <c r="AH701">
        <f t="shared" si="95"/>
        <v>17</v>
      </c>
      <c r="AI701">
        <f t="shared" si="96"/>
        <v>23</v>
      </c>
      <c r="AJ701" t="str">
        <f t="shared" si="97"/>
        <v/>
      </c>
      <c r="AK701">
        <f t="shared" si="98"/>
        <v>-8</v>
      </c>
      <c r="AL701">
        <f t="shared" si="91"/>
        <v>-12</v>
      </c>
      <c r="AM701">
        <f t="shared" si="92"/>
        <v>-11</v>
      </c>
      <c r="AN701">
        <f t="shared" si="93"/>
        <v>-7</v>
      </c>
      <c r="AO701" t="str">
        <f t="shared" si="94"/>
        <v/>
      </c>
    </row>
    <row r="702" spans="1:41">
      <c r="A702">
        <f t="shared" si="99"/>
        <v>698</v>
      </c>
      <c r="B702" t="s">
        <v>278</v>
      </c>
      <c r="C702">
        <v>5</v>
      </c>
      <c r="D702">
        <v>5</v>
      </c>
      <c r="E702" t="s">
        <v>387</v>
      </c>
      <c r="F702">
        <v>412</v>
      </c>
      <c r="G702">
        <v>2</v>
      </c>
      <c r="H702">
        <v>77</v>
      </c>
      <c r="I702" t="s">
        <v>386</v>
      </c>
      <c r="J702" t="s">
        <v>386</v>
      </c>
      <c r="K702">
        <v>100000</v>
      </c>
      <c r="L702">
        <v>16</v>
      </c>
      <c r="M702">
        <v>16</v>
      </c>
      <c r="N702">
        <v>23</v>
      </c>
      <c r="O702">
        <v>0</v>
      </c>
      <c r="P702">
        <v>-7</v>
      </c>
      <c r="Q702">
        <v>-10</v>
      </c>
      <c r="R702">
        <v>-10</v>
      </c>
      <c r="S702">
        <v>-6</v>
      </c>
      <c r="T702">
        <v>0</v>
      </c>
      <c r="U702">
        <v>143</v>
      </c>
      <c r="V702">
        <v>8428.1959365799994</v>
      </c>
      <c r="AH702">
        <f t="shared" si="95"/>
        <v>16</v>
      </c>
      <c r="AI702">
        <f t="shared" si="96"/>
        <v>23</v>
      </c>
      <c r="AJ702" t="str">
        <f t="shared" si="97"/>
        <v/>
      </c>
      <c r="AK702">
        <f t="shared" si="98"/>
        <v>-7</v>
      </c>
      <c r="AL702">
        <f t="shared" si="91"/>
        <v>-10</v>
      </c>
      <c r="AM702">
        <f t="shared" si="92"/>
        <v>-10</v>
      </c>
      <c r="AN702">
        <f t="shared" si="93"/>
        <v>-6</v>
      </c>
      <c r="AO702" t="str">
        <f t="shared" si="94"/>
        <v/>
      </c>
    </row>
    <row r="703" spans="1:41">
      <c r="A703">
        <f t="shared" si="99"/>
        <v>699</v>
      </c>
      <c r="B703" t="s">
        <v>278</v>
      </c>
      <c r="C703">
        <v>5</v>
      </c>
      <c r="D703">
        <v>5</v>
      </c>
      <c r="E703" t="s">
        <v>387</v>
      </c>
      <c r="F703">
        <v>412</v>
      </c>
      <c r="G703">
        <v>2</v>
      </c>
      <c r="H703">
        <v>78</v>
      </c>
      <c r="I703" t="s">
        <v>386</v>
      </c>
      <c r="J703" t="s">
        <v>386</v>
      </c>
      <c r="K703">
        <v>100000</v>
      </c>
      <c r="L703">
        <v>16</v>
      </c>
      <c r="M703">
        <v>16</v>
      </c>
      <c r="N703">
        <v>22</v>
      </c>
      <c r="O703">
        <v>0</v>
      </c>
      <c r="P703">
        <v>-6</v>
      </c>
      <c r="Q703">
        <v>-9</v>
      </c>
      <c r="R703">
        <v>-9</v>
      </c>
      <c r="S703">
        <v>-6</v>
      </c>
      <c r="T703">
        <v>0</v>
      </c>
      <c r="U703">
        <v>141</v>
      </c>
      <c r="V703">
        <v>9299.3283388799991</v>
      </c>
      <c r="AH703">
        <f t="shared" si="95"/>
        <v>16</v>
      </c>
      <c r="AI703">
        <f t="shared" si="96"/>
        <v>22</v>
      </c>
      <c r="AJ703" t="str">
        <f t="shared" si="97"/>
        <v/>
      </c>
      <c r="AK703">
        <f t="shared" si="98"/>
        <v>-6</v>
      </c>
      <c r="AL703">
        <f t="shared" si="91"/>
        <v>-9</v>
      </c>
      <c r="AM703">
        <f t="shared" si="92"/>
        <v>-9</v>
      </c>
      <c r="AN703">
        <f t="shared" si="93"/>
        <v>-6</v>
      </c>
      <c r="AO703" t="str">
        <f t="shared" si="94"/>
        <v/>
      </c>
    </row>
    <row r="704" spans="1:41">
      <c r="A704">
        <f t="shared" si="99"/>
        <v>700</v>
      </c>
      <c r="B704" t="s">
        <v>278</v>
      </c>
      <c r="C704">
        <v>5</v>
      </c>
      <c r="D704">
        <v>5</v>
      </c>
      <c r="E704" t="s">
        <v>387</v>
      </c>
      <c r="F704">
        <v>412</v>
      </c>
      <c r="G704">
        <v>2</v>
      </c>
      <c r="H704">
        <v>79</v>
      </c>
      <c r="I704" t="s">
        <v>386</v>
      </c>
      <c r="J704" t="s">
        <v>386</v>
      </c>
      <c r="K704">
        <v>100000</v>
      </c>
      <c r="L704">
        <v>16</v>
      </c>
      <c r="M704">
        <v>16</v>
      </c>
      <c r="N704">
        <v>22</v>
      </c>
      <c r="O704">
        <v>0</v>
      </c>
      <c r="P704">
        <v>-6</v>
      </c>
      <c r="Q704">
        <v>-8</v>
      </c>
      <c r="R704">
        <v>-8</v>
      </c>
      <c r="S704">
        <v>-5</v>
      </c>
      <c r="T704">
        <v>0</v>
      </c>
      <c r="U704">
        <v>140</v>
      </c>
      <c r="V704">
        <v>10025.981624939999</v>
      </c>
      <c r="AH704">
        <f t="shared" si="95"/>
        <v>16</v>
      </c>
      <c r="AI704">
        <f t="shared" si="96"/>
        <v>22</v>
      </c>
      <c r="AJ704" t="str">
        <f t="shared" si="97"/>
        <v/>
      </c>
      <c r="AK704">
        <f t="shared" si="98"/>
        <v>-6</v>
      </c>
      <c r="AL704">
        <f t="shared" si="91"/>
        <v>-8</v>
      </c>
      <c r="AM704">
        <f t="shared" si="92"/>
        <v>-8</v>
      </c>
      <c r="AN704">
        <f t="shared" si="93"/>
        <v>-5</v>
      </c>
      <c r="AO704" t="str">
        <f t="shared" si="94"/>
        <v/>
      </c>
    </row>
    <row r="705" spans="1:41">
      <c r="A705">
        <f t="shared" si="99"/>
        <v>701</v>
      </c>
      <c r="B705" t="s">
        <v>278</v>
      </c>
      <c r="C705">
        <v>5</v>
      </c>
      <c r="D705">
        <v>5</v>
      </c>
      <c r="E705" t="s">
        <v>387</v>
      </c>
      <c r="F705">
        <v>412</v>
      </c>
      <c r="G705">
        <v>2</v>
      </c>
      <c r="H705">
        <v>80</v>
      </c>
      <c r="I705" t="s">
        <v>386</v>
      </c>
      <c r="J705" t="s">
        <v>386</v>
      </c>
      <c r="K705">
        <v>100000</v>
      </c>
      <c r="L705">
        <v>16</v>
      </c>
      <c r="M705">
        <v>16</v>
      </c>
      <c r="N705">
        <v>22</v>
      </c>
      <c r="O705">
        <v>0</v>
      </c>
      <c r="P705">
        <v>-5</v>
      </c>
      <c r="Q705">
        <v>-8</v>
      </c>
      <c r="R705">
        <v>-7</v>
      </c>
      <c r="S705">
        <v>-5</v>
      </c>
      <c r="T705">
        <v>0</v>
      </c>
      <c r="U705">
        <v>138</v>
      </c>
      <c r="V705">
        <v>10579.74438683</v>
      </c>
      <c r="AH705">
        <f t="shared" si="95"/>
        <v>16</v>
      </c>
      <c r="AI705">
        <f t="shared" si="96"/>
        <v>22</v>
      </c>
      <c r="AJ705" t="str">
        <f t="shared" si="97"/>
        <v/>
      </c>
      <c r="AK705">
        <f t="shared" si="98"/>
        <v>-5</v>
      </c>
      <c r="AL705">
        <f t="shared" si="91"/>
        <v>-8</v>
      </c>
      <c r="AM705">
        <f t="shared" si="92"/>
        <v>-7</v>
      </c>
      <c r="AN705">
        <f t="shared" si="93"/>
        <v>-5</v>
      </c>
      <c r="AO705" t="str">
        <f t="shared" si="94"/>
        <v/>
      </c>
    </row>
    <row r="706" spans="1:41">
      <c r="A706">
        <f t="shared" si="99"/>
        <v>702</v>
      </c>
      <c r="B706" t="s">
        <v>278</v>
      </c>
      <c r="C706">
        <v>5</v>
      </c>
      <c r="D706">
        <v>5</v>
      </c>
      <c r="E706" t="s">
        <v>387</v>
      </c>
      <c r="F706">
        <v>412</v>
      </c>
      <c r="G706">
        <v>2</v>
      </c>
      <c r="H706">
        <v>81</v>
      </c>
      <c r="I706" t="s">
        <v>386</v>
      </c>
      <c r="J706" t="s">
        <v>386</v>
      </c>
      <c r="K706">
        <v>100000</v>
      </c>
      <c r="L706">
        <v>15</v>
      </c>
      <c r="M706">
        <v>15</v>
      </c>
      <c r="N706">
        <v>21</v>
      </c>
      <c r="O706">
        <v>0</v>
      </c>
      <c r="P706">
        <v>-5</v>
      </c>
      <c r="Q706">
        <v>-7</v>
      </c>
      <c r="R706">
        <v>-6</v>
      </c>
      <c r="S706">
        <v>-4</v>
      </c>
      <c r="T706">
        <v>0</v>
      </c>
      <c r="U706">
        <v>137</v>
      </c>
      <c r="V706">
        <v>10979.911091690001</v>
      </c>
      <c r="AH706">
        <f t="shared" si="95"/>
        <v>15</v>
      </c>
      <c r="AI706">
        <f t="shared" si="96"/>
        <v>21</v>
      </c>
      <c r="AJ706" t="str">
        <f t="shared" si="97"/>
        <v/>
      </c>
      <c r="AK706">
        <f t="shared" si="98"/>
        <v>-5</v>
      </c>
      <c r="AL706">
        <f t="shared" si="91"/>
        <v>-7</v>
      </c>
      <c r="AM706">
        <f t="shared" si="92"/>
        <v>-6</v>
      </c>
      <c r="AN706">
        <f t="shared" si="93"/>
        <v>-4</v>
      </c>
      <c r="AO706" t="str">
        <f t="shared" si="94"/>
        <v/>
      </c>
    </row>
    <row r="707" spans="1:41">
      <c r="A707">
        <f t="shared" si="99"/>
        <v>703</v>
      </c>
      <c r="B707" t="s">
        <v>278</v>
      </c>
      <c r="C707">
        <v>5</v>
      </c>
      <c r="D707">
        <v>5</v>
      </c>
      <c r="E707" t="s">
        <v>387</v>
      </c>
      <c r="F707">
        <v>412</v>
      </c>
      <c r="G707">
        <v>2</v>
      </c>
      <c r="H707">
        <v>82</v>
      </c>
      <c r="I707" t="s">
        <v>386</v>
      </c>
      <c r="J707" t="s">
        <v>386</v>
      </c>
      <c r="K707">
        <v>100000</v>
      </c>
      <c r="L707">
        <v>15</v>
      </c>
      <c r="M707">
        <v>15</v>
      </c>
      <c r="N707">
        <v>21</v>
      </c>
      <c r="O707">
        <v>0</v>
      </c>
      <c r="P707">
        <v>-4</v>
      </c>
      <c r="Q707">
        <v>-5</v>
      </c>
      <c r="R707">
        <v>-5</v>
      </c>
      <c r="S707">
        <v>-3</v>
      </c>
      <c r="T707">
        <v>0</v>
      </c>
      <c r="U707">
        <v>136</v>
      </c>
      <c r="V707">
        <v>11298.18615279</v>
      </c>
      <c r="AH707">
        <f t="shared" si="95"/>
        <v>15</v>
      </c>
      <c r="AI707">
        <f t="shared" si="96"/>
        <v>21</v>
      </c>
      <c r="AJ707" t="str">
        <f t="shared" si="97"/>
        <v/>
      </c>
      <c r="AK707">
        <f t="shared" si="98"/>
        <v>-4</v>
      </c>
      <c r="AL707">
        <f t="shared" si="91"/>
        <v>-5</v>
      </c>
      <c r="AM707">
        <f t="shared" si="92"/>
        <v>-5</v>
      </c>
      <c r="AN707">
        <f t="shared" si="93"/>
        <v>-3</v>
      </c>
      <c r="AO707" t="str">
        <f t="shared" si="94"/>
        <v/>
      </c>
    </row>
    <row r="708" spans="1:41">
      <c r="A708">
        <f t="shared" si="99"/>
        <v>704</v>
      </c>
      <c r="B708" t="s">
        <v>278</v>
      </c>
      <c r="C708">
        <v>5</v>
      </c>
      <c r="D708">
        <v>5</v>
      </c>
      <c r="E708" t="s">
        <v>387</v>
      </c>
      <c r="F708">
        <v>412</v>
      </c>
      <c r="G708">
        <v>2</v>
      </c>
      <c r="H708">
        <v>83</v>
      </c>
      <c r="I708" t="s">
        <v>386</v>
      </c>
      <c r="J708" t="s">
        <v>386</v>
      </c>
      <c r="K708">
        <v>100000</v>
      </c>
      <c r="L708">
        <v>15</v>
      </c>
      <c r="M708">
        <v>15</v>
      </c>
      <c r="N708">
        <v>21</v>
      </c>
      <c r="O708">
        <v>0</v>
      </c>
      <c r="P708">
        <v>-3</v>
      </c>
      <c r="Q708">
        <v>-4</v>
      </c>
      <c r="R708">
        <v>-3</v>
      </c>
      <c r="S708">
        <v>-2</v>
      </c>
      <c r="T708">
        <v>0</v>
      </c>
      <c r="U708">
        <v>136</v>
      </c>
      <c r="V708">
        <v>11624.538108819999</v>
      </c>
      <c r="AH708">
        <f t="shared" si="95"/>
        <v>15</v>
      </c>
      <c r="AI708">
        <f t="shared" si="96"/>
        <v>21</v>
      </c>
      <c r="AJ708" t="str">
        <f t="shared" si="97"/>
        <v/>
      </c>
      <c r="AK708">
        <f t="shared" si="98"/>
        <v>-3</v>
      </c>
      <c r="AL708">
        <f t="shared" si="91"/>
        <v>-4</v>
      </c>
      <c r="AM708">
        <f t="shared" si="92"/>
        <v>-3</v>
      </c>
      <c r="AN708">
        <f t="shared" si="93"/>
        <v>-2</v>
      </c>
      <c r="AO708" t="str">
        <f t="shared" si="94"/>
        <v/>
      </c>
    </row>
    <row r="709" spans="1:41">
      <c r="A709">
        <f t="shared" si="99"/>
        <v>705</v>
      </c>
      <c r="B709" t="s">
        <v>278</v>
      </c>
      <c r="C709">
        <v>5</v>
      </c>
      <c r="D709">
        <v>5</v>
      </c>
      <c r="E709" t="s">
        <v>387</v>
      </c>
      <c r="F709">
        <v>412</v>
      </c>
      <c r="G709">
        <v>2</v>
      </c>
      <c r="H709">
        <v>84</v>
      </c>
      <c r="I709" t="s">
        <v>386</v>
      </c>
      <c r="J709" t="s">
        <v>386</v>
      </c>
      <c r="K709">
        <v>100000</v>
      </c>
      <c r="L709">
        <v>15</v>
      </c>
      <c r="M709">
        <v>15</v>
      </c>
      <c r="N709">
        <v>21</v>
      </c>
      <c r="O709">
        <v>0</v>
      </c>
      <c r="P709">
        <v>-2</v>
      </c>
      <c r="Q709">
        <v>-2</v>
      </c>
      <c r="R709">
        <v>-1</v>
      </c>
      <c r="S709">
        <v>-1</v>
      </c>
      <c r="T709">
        <v>0</v>
      </c>
      <c r="U709">
        <v>135</v>
      </c>
      <c r="V709">
        <v>12006.553460110001</v>
      </c>
      <c r="AH709">
        <f t="shared" si="95"/>
        <v>15</v>
      </c>
      <c r="AI709">
        <f t="shared" si="96"/>
        <v>21</v>
      </c>
      <c r="AJ709" t="str">
        <f t="shared" si="97"/>
        <v/>
      </c>
      <c r="AK709">
        <f t="shared" si="98"/>
        <v>-2</v>
      </c>
      <c r="AL709">
        <f t="shared" ref="AL709:AL772" si="100">IF(Q709=AC709, "", Q709-AC709)</f>
        <v>-2</v>
      </c>
      <c r="AM709">
        <f t="shared" ref="AM709:AM772" si="101">IF(R709=AD709, "", R709-AD709)</f>
        <v>-1</v>
      </c>
      <c r="AN709">
        <f t="shared" ref="AN709:AN772" si="102">IF(S709=AE709, "", S709-AE709)</f>
        <v>-1</v>
      </c>
      <c r="AO709" t="str">
        <f t="shared" ref="AO709:AO772" si="103">IF(T709=AF709, "", T709-AF709)</f>
        <v/>
      </c>
    </row>
    <row r="710" spans="1:41">
      <c r="A710">
        <f t="shared" si="99"/>
        <v>706</v>
      </c>
      <c r="B710" t="s">
        <v>278</v>
      </c>
      <c r="C710">
        <v>5</v>
      </c>
      <c r="D710">
        <v>5</v>
      </c>
      <c r="E710" t="s">
        <v>387</v>
      </c>
      <c r="F710">
        <v>412</v>
      </c>
      <c r="G710">
        <v>2</v>
      </c>
      <c r="H710">
        <v>85</v>
      </c>
      <c r="I710" t="s">
        <v>386</v>
      </c>
      <c r="J710" t="s">
        <v>386</v>
      </c>
      <c r="K710">
        <v>100000</v>
      </c>
      <c r="L710">
        <v>15</v>
      </c>
      <c r="M710">
        <v>15</v>
      </c>
      <c r="N710">
        <v>21</v>
      </c>
      <c r="O710">
        <v>0</v>
      </c>
      <c r="P710">
        <v>-1</v>
      </c>
      <c r="Q710">
        <v>-1</v>
      </c>
      <c r="R710">
        <v>0</v>
      </c>
      <c r="S710">
        <v>0</v>
      </c>
      <c r="T710">
        <v>0</v>
      </c>
      <c r="U710">
        <v>135</v>
      </c>
      <c r="V710">
        <v>12447.75391824</v>
      </c>
      <c r="AH710">
        <f t="shared" ref="AH710:AH773" si="104">IF(L710=Y710, "",L710-Y710)</f>
        <v>15</v>
      </c>
      <c r="AI710">
        <f t="shared" ref="AI710:AI773" si="105">IF(N710=Z710, "", N710-Z710)</f>
        <v>21</v>
      </c>
      <c r="AJ710" t="str">
        <f t="shared" ref="AJ710:AJ773" si="106">IF(O710=AA710, "", O710-AA710)</f>
        <v/>
      </c>
      <c r="AK710">
        <f t="shared" ref="AK710:AK773" si="107">IF(P710=AB710, "", P710-AB710)</f>
        <v>-1</v>
      </c>
      <c r="AL710">
        <f t="shared" si="100"/>
        <v>-1</v>
      </c>
      <c r="AM710" t="str">
        <f t="shared" si="101"/>
        <v/>
      </c>
      <c r="AN710" t="str">
        <f t="shared" si="102"/>
        <v/>
      </c>
      <c r="AO710" t="str">
        <f t="shared" si="103"/>
        <v/>
      </c>
    </row>
    <row r="711" spans="1:41">
      <c r="A711">
        <f t="shared" ref="A711:A774" si="108">A710+1</f>
        <v>707</v>
      </c>
      <c r="B711" t="s">
        <v>278</v>
      </c>
      <c r="C711">
        <v>5</v>
      </c>
      <c r="D711">
        <v>5</v>
      </c>
      <c r="E711" t="s">
        <v>387</v>
      </c>
      <c r="F711">
        <v>412</v>
      </c>
      <c r="G711">
        <v>2</v>
      </c>
      <c r="H711">
        <v>86</v>
      </c>
      <c r="I711" t="s">
        <v>386</v>
      </c>
      <c r="J711" t="s">
        <v>386</v>
      </c>
      <c r="K711">
        <v>100000</v>
      </c>
      <c r="L711">
        <v>15</v>
      </c>
      <c r="M711">
        <v>15</v>
      </c>
      <c r="N711">
        <v>21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135</v>
      </c>
      <c r="V711">
        <v>12931.65423443</v>
      </c>
      <c r="AH711">
        <f t="shared" si="104"/>
        <v>15</v>
      </c>
      <c r="AI711">
        <f t="shared" si="105"/>
        <v>21</v>
      </c>
      <c r="AJ711" t="str">
        <f t="shared" si="106"/>
        <v/>
      </c>
      <c r="AK711" t="str">
        <f t="shared" si="107"/>
        <v/>
      </c>
      <c r="AL711" t="str">
        <f t="shared" si="100"/>
        <v/>
      </c>
      <c r="AM711" t="str">
        <f t="shared" si="101"/>
        <v/>
      </c>
      <c r="AN711" t="str">
        <f t="shared" si="102"/>
        <v/>
      </c>
      <c r="AO711" t="str">
        <f t="shared" si="103"/>
        <v/>
      </c>
    </row>
    <row r="712" spans="1:41">
      <c r="A712">
        <f t="shared" si="108"/>
        <v>708</v>
      </c>
      <c r="B712" t="s">
        <v>278</v>
      </c>
      <c r="C712">
        <v>5</v>
      </c>
      <c r="D712">
        <v>5</v>
      </c>
      <c r="E712" t="s">
        <v>387</v>
      </c>
      <c r="F712">
        <v>412</v>
      </c>
      <c r="G712">
        <v>2</v>
      </c>
      <c r="H712">
        <v>87</v>
      </c>
      <c r="I712" t="s">
        <v>386</v>
      </c>
      <c r="J712" t="s">
        <v>386</v>
      </c>
      <c r="K712">
        <v>100000</v>
      </c>
      <c r="L712">
        <v>15</v>
      </c>
      <c r="M712">
        <v>15</v>
      </c>
      <c r="N712">
        <v>21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135</v>
      </c>
      <c r="V712">
        <v>13439.441916059999</v>
      </c>
      <c r="AH712">
        <f t="shared" si="104"/>
        <v>15</v>
      </c>
      <c r="AI712">
        <f t="shared" si="105"/>
        <v>21</v>
      </c>
      <c r="AJ712" t="str">
        <f t="shared" si="106"/>
        <v/>
      </c>
      <c r="AK712" t="str">
        <f t="shared" si="107"/>
        <v/>
      </c>
      <c r="AL712" t="str">
        <f t="shared" si="100"/>
        <v/>
      </c>
      <c r="AM712" t="str">
        <f t="shared" si="101"/>
        <v/>
      </c>
      <c r="AN712" t="str">
        <f t="shared" si="102"/>
        <v/>
      </c>
      <c r="AO712" t="str">
        <f t="shared" si="103"/>
        <v/>
      </c>
    </row>
    <row r="713" spans="1:41">
      <c r="A713">
        <f t="shared" si="108"/>
        <v>709</v>
      </c>
      <c r="B713" t="s">
        <v>278</v>
      </c>
      <c r="C713">
        <v>5</v>
      </c>
      <c r="D713">
        <v>5</v>
      </c>
      <c r="E713" t="s">
        <v>387</v>
      </c>
      <c r="F713">
        <v>412</v>
      </c>
      <c r="G713">
        <v>2</v>
      </c>
      <c r="H713">
        <v>88</v>
      </c>
      <c r="I713" t="s">
        <v>386</v>
      </c>
      <c r="J713" t="s">
        <v>386</v>
      </c>
      <c r="K713">
        <v>100000</v>
      </c>
      <c r="L713">
        <v>15</v>
      </c>
      <c r="M713">
        <v>15</v>
      </c>
      <c r="N713">
        <v>21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135</v>
      </c>
      <c r="V713">
        <v>13952.066030829999</v>
      </c>
      <c r="AH713">
        <f t="shared" si="104"/>
        <v>15</v>
      </c>
      <c r="AI713">
        <f t="shared" si="105"/>
        <v>21</v>
      </c>
      <c r="AJ713" t="str">
        <f t="shared" si="106"/>
        <v/>
      </c>
      <c r="AK713" t="str">
        <f t="shared" si="107"/>
        <v/>
      </c>
      <c r="AL713" t="str">
        <f t="shared" si="100"/>
        <v/>
      </c>
      <c r="AM713" t="str">
        <f t="shared" si="101"/>
        <v/>
      </c>
      <c r="AN713" t="str">
        <f t="shared" si="102"/>
        <v/>
      </c>
      <c r="AO713" t="str">
        <f t="shared" si="103"/>
        <v/>
      </c>
    </row>
    <row r="714" spans="1:41">
      <c r="A714">
        <f t="shared" si="108"/>
        <v>710</v>
      </c>
      <c r="B714" t="s">
        <v>278</v>
      </c>
      <c r="C714">
        <v>5</v>
      </c>
      <c r="D714">
        <v>5</v>
      </c>
      <c r="E714" t="s">
        <v>387</v>
      </c>
      <c r="F714">
        <v>412</v>
      </c>
      <c r="G714">
        <v>2</v>
      </c>
      <c r="H714">
        <v>89</v>
      </c>
      <c r="I714" t="s">
        <v>386</v>
      </c>
      <c r="J714" t="s">
        <v>386</v>
      </c>
      <c r="K714">
        <v>100000</v>
      </c>
      <c r="L714">
        <v>15</v>
      </c>
      <c r="M714">
        <v>15</v>
      </c>
      <c r="N714">
        <v>21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135</v>
      </c>
      <c r="V714">
        <v>14456.822022279999</v>
      </c>
      <c r="AH714">
        <f t="shared" si="104"/>
        <v>15</v>
      </c>
      <c r="AI714">
        <f t="shared" si="105"/>
        <v>21</v>
      </c>
      <c r="AJ714" t="str">
        <f t="shared" si="106"/>
        <v/>
      </c>
      <c r="AK714" t="str">
        <f t="shared" si="107"/>
        <v/>
      </c>
      <c r="AL714" t="str">
        <f t="shared" si="100"/>
        <v/>
      </c>
      <c r="AM714" t="str">
        <f t="shared" si="101"/>
        <v/>
      </c>
      <c r="AN714" t="str">
        <f t="shared" si="102"/>
        <v/>
      </c>
      <c r="AO714" t="str">
        <f t="shared" si="103"/>
        <v/>
      </c>
    </row>
    <row r="715" spans="1:41">
      <c r="A715">
        <f t="shared" si="108"/>
        <v>711</v>
      </c>
      <c r="B715" t="s">
        <v>278</v>
      </c>
      <c r="C715">
        <v>5</v>
      </c>
      <c r="D715">
        <v>5</v>
      </c>
      <c r="E715" t="s">
        <v>387</v>
      </c>
      <c r="F715">
        <v>412</v>
      </c>
      <c r="G715">
        <v>2</v>
      </c>
      <c r="H715">
        <v>90</v>
      </c>
      <c r="I715" t="s">
        <v>386</v>
      </c>
      <c r="J715" t="s">
        <v>386</v>
      </c>
      <c r="K715">
        <v>100000</v>
      </c>
      <c r="L715">
        <v>15</v>
      </c>
      <c r="M715">
        <v>15</v>
      </c>
      <c r="N715">
        <v>21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135</v>
      </c>
      <c r="V715">
        <v>14941.59475441</v>
      </c>
      <c r="AH715">
        <f t="shared" si="104"/>
        <v>15</v>
      </c>
      <c r="AI715">
        <f t="shared" si="105"/>
        <v>21</v>
      </c>
      <c r="AJ715" t="str">
        <f t="shared" si="106"/>
        <v/>
      </c>
      <c r="AK715" t="str">
        <f t="shared" si="107"/>
        <v/>
      </c>
      <c r="AL715" t="str">
        <f t="shared" si="100"/>
        <v/>
      </c>
      <c r="AM715" t="str">
        <f t="shared" si="101"/>
        <v/>
      </c>
      <c r="AN715" t="str">
        <f t="shared" si="102"/>
        <v/>
      </c>
      <c r="AO715" t="str">
        <f t="shared" si="103"/>
        <v/>
      </c>
    </row>
    <row r="716" spans="1:41">
      <c r="A716">
        <f t="shared" si="108"/>
        <v>712</v>
      </c>
      <c r="B716" t="s">
        <v>278</v>
      </c>
      <c r="C716">
        <v>5</v>
      </c>
      <c r="D716">
        <v>5</v>
      </c>
      <c r="E716" t="s">
        <v>387</v>
      </c>
      <c r="F716">
        <v>412</v>
      </c>
      <c r="G716">
        <v>2</v>
      </c>
      <c r="H716">
        <v>91</v>
      </c>
      <c r="I716" t="s">
        <v>386</v>
      </c>
      <c r="J716" t="s">
        <v>386</v>
      </c>
      <c r="K716">
        <v>100000</v>
      </c>
      <c r="L716">
        <v>15</v>
      </c>
      <c r="M716">
        <v>15</v>
      </c>
      <c r="N716">
        <v>21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135</v>
      </c>
      <c r="V716">
        <v>15394.29746799</v>
      </c>
      <c r="AH716">
        <f t="shared" si="104"/>
        <v>15</v>
      </c>
      <c r="AI716">
        <f t="shared" si="105"/>
        <v>21</v>
      </c>
      <c r="AJ716" t="str">
        <f t="shared" si="106"/>
        <v/>
      </c>
      <c r="AK716" t="str">
        <f t="shared" si="107"/>
        <v/>
      </c>
      <c r="AL716" t="str">
        <f t="shared" si="100"/>
        <v/>
      </c>
      <c r="AM716" t="str">
        <f t="shared" si="101"/>
        <v/>
      </c>
      <c r="AN716" t="str">
        <f t="shared" si="102"/>
        <v/>
      </c>
      <c r="AO716" t="str">
        <f t="shared" si="103"/>
        <v/>
      </c>
    </row>
    <row r="717" spans="1:41">
      <c r="A717">
        <f t="shared" si="108"/>
        <v>713</v>
      </c>
      <c r="B717" t="s">
        <v>278</v>
      </c>
      <c r="C717">
        <v>5</v>
      </c>
      <c r="D717">
        <v>5</v>
      </c>
      <c r="E717" t="s">
        <v>387</v>
      </c>
      <c r="F717">
        <v>412</v>
      </c>
      <c r="G717">
        <v>2</v>
      </c>
      <c r="H717">
        <v>92</v>
      </c>
      <c r="I717" t="s">
        <v>386</v>
      </c>
      <c r="J717" t="s">
        <v>386</v>
      </c>
      <c r="K717">
        <v>100000</v>
      </c>
      <c r="L717">
        <v>15</v>
      </c>
      <c r="M717">
        <v>15</v>
      </c>
      <c r="N717">
        <v>21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135</v>
      </c>
      <c r="V717">
        <v>15805.918232690001</v>
      </c>
      <c r="AH717">
        <f t="shared" si="104"/>
        <v>15</v>
      </c>
      <c r="AI717">
        <f t="shared" si="105"/>
        <v>21</v>
      </c>
      <c r="AJ717" t="str">
        <f t="shared" si="106"/>
        <v/>
      </c>
      <c r="AK717" t="str">
        <f t="shared" si="107"/>
        <v/>
      </c>
      <c r="AL717" t="str">
        <f t="shared" si="100"/>
        <v/>
      </c>
      <c r="AM717" t="str">
        <f t="shared" si="101"/>
        <v/>
      </c>
      <c r="AN717" t="str">
        <f t="shared" si="102"/>
        <v/>
      </c>
      <c r="AO717" t="str">
        <f t="shared" si="103"/>
        <v/>
      </c>
    </row>
    <row r="718" spans="1:41">
      <c r="A718">
        <f t="shared" si="108"/>
        <v>714</v>
      </c>
      <c r="B718" t="s">
        <v>278</v>
      </c>
      <c r="C718">
        <v>5</v>
      </c>
      <c r="D718">
        <v>5</v>
      </c>
      <c r="E718" t="s">
        <v>387</v>
      </c>
      <c r="F718">
        <v>412</v>
      </c>
      <c r="G718">
        <v>2</v>
      </c>
      <c r="H718">
        <v>93</v>
      </c>
      <c r="I718" t="s">
        <v>386</v>
      </c>
      <c r="J718" t="s">
        <v>386</v>
      </c>
      <c r="K718">
        <v>100000</v>
      </c>
      <c r="L718">
        <v>15</v>
      </c>
      <c r="M718">
        <v>15</v>
      </c>
      <c r="N718">
        <v>21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135</v>
      </c>
      <c r="V718">
        <v>16171.3285911</v>
      </c>
      <c r="AH718">
        <f t="shared" si="104"/>
        <v>15</v>
      </c>
      <c r="AI718">
        <f t="shared" si="105"/>
        <v>21</v>
      </c>
      <c r="AJ718" t="str">
        <f t="shared" si="106"/>
        <v/>
      </c>
      <c r="AK718" t="str">
        <f t="shared" si="107"/>
        <v/>
      </c>
      <c r="AL718" t="str">
        <f t="shared" si="100"/>
        <v/>
      </c>
      <c r="AM718" t="str">
        <f t="shared" si="101"/>
        <v/>
      </c>
      <c r="AN718" t="str">
        <f t="shared" si="102"/>
        <v/>
      </c>
      <c r="AO718" t="str">
        <f t="shared" si="103"/>
        <v/>
      </c>
    </row>
    <row r="719" spans="1:41">
      <c r="A719">
        <f t="shared" si="108"/>
        <v>715</v>
      </c>
      <c r="B719" t="s">
        <v>278</v>
      </c>
      <c r="C719">
        <v>5</v>
      </c>
      <c r="D719">
        <v>5</v>
      </c>
      <c r="E719" t="s">
        <v>387</v>
      </c>
      <c r="F719">
        <v>412</v>
      </c>
      <c r="G719">
        <v>2</v>
      </c>
      <c r="H719">
        <v>94</v>
      </c>
      <c r="I719" t="s">
        <v>386</v>
      </c>
      <c r="J719" t="s">
        <v>386</v>
      </c>
      <c r="K719">
        <v>100000</v>
      </c>
      <c r="L719">
        <v>15</v>
      </c>
      <c r="M719">
        <v>15</v>
      </c>
      <c r="N719">
        <v>21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135</v>
      </c>
      <c r="V719">
        <v>16489.192733119999</v>
      </c>
      <c r="AH719">
        <f t="shared" si="104"/>
        <v>15</v>
      </c>
      <c r="AI719">
        <f t="shared" si="105"/>
        <v>21</v>
      </c>
      <c r="AJ719" t="str">
        <f t="shared" si="106"/>
        <v/>
      </c>
      <c r="AK719" t="str">
        <f t="shared" si="107"/>
        <v/>
      </c>
      <c r="AL719" t="str">
        <f t="shared" si="100"/>
        <v/>
      </c>
      <c r="AM719" t="str">
        <f t="shared" si="101"/>
        <v/>
      </c>
      <c r="AN719" t="str">
        <f t="shared" si="102"/>
        <v/>
      </c>
      <c r="AO719" t="str">
        <f t="shared" si="103"/>
        <v/>
      </c>
    </row>
    <row r="720" spans="1:41">
      <c r="A720">
        <f t="shared" si="108"/>
        <v>716</v>
      </c>
      <c r="B720" t="s">
        <v>278</v>
      </c>
      <c r="C720">
        <v>5</v>
      </c>
      <c r="D720">
        <v>5</v>
      </c>
      <c r="E720" t="s">
        <v>387</v>
      </c>
      <c r="F720">
        <v>412</v>
      </c>
      <c r="G720">
        <v>2</v>
      </c>
      <c r="H720">
        <v>95</v>
      </c>
      <c r="I720" t="s">
        <v>386</v>
      </c>
      <c r="J720" t="s">
        <v>386</v>
      </c>
      <c r="K720">
        <v>100000</v>
      </c>
      <c r="L720">
        <v>15</v>
      </c>
      <c r="M720">
        <v>15</v>
      </c>
      <c r="N720">
        <v>21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135</v>
      </c>
      <c r="V720">
        <v>16760.70642495</v>
      </c>
      <c r="AH720">
        <f t="shared" si="104"/>
        <v>15</v>
      </c>
      <c r="AI720">
        <f t="shared" si="105"/>
        <v>21</v>
      </c>
      <c r="AJ720" t="str">
        <f t="shared" si="106"/>
        <v/>
      </c>
      <c r="AK720" t="str">
        <f t="shared" si="107"/>
        <v/>
      </c>
      <c r="AL720" t="str">
        <f t="shared" si="100"/>
        <v/>
      </c>
      <c r="AM720" t="str">
        <f t="shared" si="101"/>
        <v/>
      </c>
      <c r="AN720" t="str">
        <f t="shared" si="102"/>
        <v/>
      </c>
      <c r="AO720" t="str">
        <f t="shared" si="103"/>
        <v/>
      </c>
    </row>
    <row r="721" spans="1:41">
      <c r="A721">
        <f t="shared" si="108"/>
        <v>717</v>
      </c>
      <c r="B721" t="s">
        <v>278</v>
      </c>
      <c r="C721">
        <v>4</v>
      </c>
      <c r="D721">
        <v>4</v>
      </c>
      <c r="E721" t="s">
        <v>387</v>
      </c>
      <c r="F721">
        <v>412</v>
      </c>
      <c r="G721">
        <v>2</v>
      </c>
      <c r="H721">
        <v>96</v>
      </c>
      <c r="I721" t="s">
        <v>386</v>
      </c>
      <c r="J721" t="s">
        <v>386</v>
      </c>
      <c r="K721">
        <v>100000</v>
      </c>
      <c r="L721">
        <v>15</v>
      </c>
      <c r="M721">
        <v>15</v>
      </c>
      <c r="N721">
        <v>22</v>
      </c>
      <c r="O721">
        <v>0</v>
      </c>
      <c r="P721">
        <v>0</v>
      </c>
      <c r="Q721">
        <v>0</v>
      </c>
      <c r="R721">
        <v>0</v>
      </c>
      <c r="S721">
        <v>0</v>
      </c>
      <c r="T721" t="s">
        <v>386</v>
      </c>
      <c r="U721">
        <v>139</v>
      </c>
      <c r="V721">
        <v>13879.028825969999</v>
      </c>
      <c r="AH721">
        <f t="shared" si="104"/>
        <v>15</v>
      </c>
      <c r="AI721">
        <f t="shared" si="105"/>
        <v>22</v>
      </c>
      <c r="AJ721" t="str">
        <f t="shared" si="106"/>
        <v/>
      </c>
      <c r="AK721" t="str">
        <f t="shared" si="107"/>
        <v/>
      </c>
      <c r="AL721" t="str">
        <f t="shared" si="100"/>
        <v/>
      </c>
      <c r="AM721" t="str">
        <f t="shared" si="101"/>
        <v/>
      </c>
      <c r="AN721" t="str">
        <f t="shared" si="102"/>
        <v/>
      </c>
      <c r="AO721" t="e">
        <f t="shared" si="103"/>
        <v>#VALUE!</v>
      </c>
    </row>
    <row r="722" spans="1:41">
      <c r="A722">
        <f t="shared" si="108"/>
        <v>718</v>
      </c>
      <c r="B722" t="s">
        <v>278</v>
      </c>
      <c r="C722">
        <v>3</v>
      </c>
      <c r="D722">
        <v>3</v>
      </c>
      <c r="E722" t="s">
        <v>387</v>
      </c>
      <c r="F722">
        <v>412</v>
      </c>
      <c r="G722">
        <v>2</v>
      </c>
      <c r="H722">
        <v>97</v>
      </c>
      <c r="I722" t="s">
        <v>386</v>
      </c>
      <c r="J722" t="s">
        <v>386</v>
      </c>
      <c r="K722">
        <v>100000</v>
      </c>
      <c r="L722">
        <v>15</v>
      </c>
      <c r="M722">
        <v>15</v>
      </c>
      <c r="N722">
        <v>23</v>
      </c>
      <c r="O722">
        <v>0</v>
      </c>
      <c r="P722">
        <v>0</v>
      </c>
      <c r="Q722">
        <v>0</v>
      </c>
      <c r="R722">
        <v>0</v>
      </c>
      <c r="S722" t="s">
        <v>386</v>
      </c>
      <c r="T722" t="s">
        <v>386</v>
      </c>
      <c r="U722">
        <v>146</v>
      </c>
      <c r="V722">
        <v>10931.36962732</v>
      </c>
      <c r="AH722">
        <f t="shared" si="104"/>
        <v>15</v>
      </c>
      <c r="AI722">
        <f t="shared" si="105"/>
        <v>23</v>
      </c>
      <c r="AJ722" t="str">
        <f t="shared" si="106"/>
        <v/>
      </c>
      <c r="AK722" t="str">
        <f t="shared" si="107"/>
        <v/>
      </c>
      <c r="AL722" t="str">
        <f t="shared" si="100"/>
        <v/>
      </c>
      <c r="AM722" t="str">
        <f t="shared" si="101"/>
        <v/>
      </c>
      <c r="AN722" t="e">
        <f t="shared" si="102"/>
        <v>#VALUE!</v>
      </c>
      <c r="AO722" t="e">
        <f t="shared" si="103"/>
        <v>#VALUE!</v>
      </c>
    </row>
    <row r="723" spans="1:41">
      <c r="A723">
        <f t="shared" si="108"/>
        <v>719</v>
      </c>
      <c r="B723" t="s">
        <v>278</v>
      </c>
      <c r="C723">
        <v>2</v>
      </c>
      <c r="D723">
        <v>2</v>
      </c>
      <c r="E723" t="s">
        <v>387</v>
      </c>
      <c r="F723">
        <v>412</v>
      </c>
      <c r="G723">
        <v>2</v>
      </c>
      <c r="H723">
        <v>98</v>
      </c>
      <c r="I723" t="s">
        <v>386</v>
      </c>
      <c r="J723" t="s">
        <v>386</v>
      </c>
      <c r="K723">
        <v>100000</v>
      </c>
      <c r="L723">
        <v>15</v>
      </c>
      <c r="M723">
        <v>15</v>
      </c>
      <c r="N723">
        <v>26</v>
      </c>
      <c r="O723">
        <v>0</v>
      </c>
      <c r="P723">
        <v>0</v>
      </c>
      <c r="Q723">
        <v>0</v>
      </c>
      <c r="R723" t="s">
        <v>386</v>
      </c>
      <c r="S723" t="s">
        <v>386</v>
      </c>
      <c r="T723" t="s">
        <v>386</v>
      </c>
      <c r="U723">
        <v>162</v>
      </c>
      <c r="V723">
        <v>7928.1383051499997</v>
      </c>
      <c r="AH723">
        <f t="shared" si="104"/>
        <v>15</v>
      </c>
      <c r="AI723">
        <f t="shared" si="105"/>
        <v>26</v>
      </c>
      <c r="AJ723" t="str">
        <f t="shared" si="106"/>
        <v/>
      </c>
      <c r="AK723" t="str">
        <f t="shared" si="107"/>
        <v/>
      </c>
      <c r="AL723" t="str">
        <f t="shared" si="100"/>
        <v/>
      </c>
      <c r="AM723" t="e">
        <f t="shared" si="101"/>
        <v>#VALUE!</v>
      </c>
      <c r="AN723" t="e">
        <f t="shared" si="102"/>
        <v>#VALUE!</v>
      </c>
      <c r="AO723" t="e">
        <f t="shared" si="103"/>
        <v>#VALUE!</v>
      </c>
    </row>
    <row r="724" spans="1:41">
      <c r="A724">
        <f t="shared" si="108"/>
        <v>720</v>
      </c>
      <c r="B724" t="s">
        <v>278</v>
      </c>
      <c r="C724">
        <v>1</v>
      </c>
      <c r="D724">
        <v>1</v>
      </c>
      <c r="E724" t="s">
        <v>387</v>
      </c>
      <c r="F724">
        <v>412</v>
      </c>
      <c r="G724">
        <v>2</v>
      </c>
      <c r="H724">
        <v>99</v>
      </c>
      <c r="I724" t="s">
        <v>386</v>
      </c>
      <c r="J724" t="s">
        <v>386</v>
      </c>
      <c r="K724">
        <v>100000</v>
      </c>
      <c r="L724">
        <v>15</v>
      </c>
      <c r="M724">
        <v>15</v>
      </c>
      <c r="N724">
        <v>38</v>
      </c>
      <c r="O724">
        <v>0</v>
      </c>
      <c r="P724">
        <v>0</v>
      </c>
      <c r="Q724" t="s">
        <v>386</v>
      </c>
      <c r="R724" t="s">
        <v>386</v>
      </c>
      <c r="S724" t="s">
        <v>386</v>
      </c>
      <c r="T724" t="s">
        <v>386</v>
      </c>
      <c r="U724">
        <v>195</v>
      </c>
      <c r="V724">
        <v>4879.4115224200004</v>
      </c>
      <c r="AH724">
        <f t="shared" si="104"/>
        <v>15</v>
      </c>
      <c r="AI724">
        <f t="shared" si="105"/>
        <v>38</v>
      </c>
      <c r="AJ724" t="str">
        <f t="shared" si="106"/>
        <v/>
      </c>
      <c r="AK724" t="str">
        <f t="shared" si="107"/>
        <v/>
      </c>
      <c r="AL724" t="e">
        <f t="shared" si="100"/>
        <v>#VALUE!</v>
      </c>
      <c r="AM724" t="e">
        <f t="shared" si="101"/>
        <v>#VALUE!</v>
      </c>
      <c r="AN724" t="e">
        <f t="shared" si="102"/>
        <v>#VALUE!</v>
      </c>
      <c r="AO724" t="e">
        <f t="shared" si="103"/>
        <v>#VALUE!</v>
      </c>
    </row>
    <row r="725" spans="1:41">
      <c r="A725">
        <f t="shared" si="108"/>
        <v>721</v>
      </c>
      <c r="B725" s="59" t="s">
        <v>266</v>
      </c>
      <c r="C725" s="59">
        <v>5</v>
      </c>
      <c r="D725" s="59">
        <v>5</v>
      </c>
      <c r="E725" s="59" t="s">
        <v>385</v>
      </c>
      <c r="F725" s="59">
        <v>412</v>
      </c>
      <c r="G725" s="59">
        <v>1</v>
      </c>
      <c r="H725" s="59">
        <v>30</v>
      </c>
      <c r="I725" s="59" t="s">
        <v>386</v>
      </c>
      <c r="J725" s="59" t="s">
        <v>386</v>
      </c>
      <c r="K725" s="59">
        <v>1000000</v>
      </c>
      <c r="L725" s="59">
        <v>4</v>
      </c>
      <c r="M725" s="59">
        <v>4</v>
      </c>
      <c r="N725" s="59">
        <v>13</v>
      </c>
      <c r="O725" s="59">
        <v>0</v>
      </c>
      <c r="P725" s="59">
        <v>13</v>
      </c>
      <c r="Q725" s="59">
        <v>21</v>
      </c>
      <c r="R725" s="59">
        <v>21</v>
      </c>
      <c r="S725" s="59">
        <v>15</v>
      </c>
      <c r="T725" s="59">
        <v>0</v>
      </c>
      <c r="U725" s="59">
        <v>350</v>
      </c>
      <c r="V725" s="59">
        <v>7273.8241583999998</v>
      </c>
      <c r="AH725">
        <f t="shared" si="104"/>
        <v>4</v>
      </c>
      <c r="AI725">
        <f t="shared" si="105"/>
        <v>13</v>
      </c>
      <c r="AJ725" t="str">
        <f t="shared" si="106"/>
        <v/>
      </c>
      <c r="AK725">
        <f t="shared" si="107"/>
        <v>13</v>
      </c>
      <c r="AL725">
        <f t="shared" si="100"/>
        <v>21</v>
      </c>
      <c r="AM725">
        <f t="shared" si="101"/>
        <v>21</v>
      </c>
      <c r="AN725">
        <f t="shared" si="102"/>
        <v>15</v>
      </c>
      <c r="AO725" t="str">
        <f t="shared" si="103"/>
        <v/>
      </c>
    </row>
    <row r="726" spans="1:41">
      <c r="A726">
        <f t="shared" si="108"/>
        <v>722</v>
      </c>
      <c r="B726" t="s">
        <v>266</v>
      </c>
      <c r="C726">
        <v>5</v>
      </c>
      <c r="D726">
        <v>5</v>
      </c>
      <c r="E726" t="s">
        <v>385</v>
      </c>
      <c r="F726">
        <v>412</v>
      </c>
      <c r="G726">
        <v>1</v>
      </c>
      <c r="H726">
        <v>31</v>
      </c>
      <c r="I726" t="s">
        <v>386</v>
      </c>
      <c r="J726" t="s">
        <v>386</v>
      </c>
      <c r="K726">
        <v>1000000</v>
      </c>
      <c r="L726">
        <v>5</v>
      </c>
      <c r="M726">
        <v>5</v>
      </c>
      <c r="N726">
        <v>13</v>
      </c>
      <c r="O726">
        <v>0</v>
      </c>
      <c r="P726">
        <v>16</v>
      </c>
      <c r="Q726">
        <v>24</v>
      </c>
      <c r="R726">
        <v>26</v>
      </c>
      <c r="S726">
        <v>20</v>
      </c>
      <c r="T726">
        <v>0</v>
      </c>
      <c r="U726">
        <v>352</v>
      </c>
      <c r="V726">
        <v>7280.9465376300004</v>
      </c>
      <c r="AH726">
        <f t="shared" si="104"/>
        <v>5</v>
      </c>
      <c r="AI726">
        <f t="shared" si="105"/>
        <v>13</v>
      </c>
      <c r="AJ726" t="str">
        <f t="shared" si="106"/>
        <v/>
      </c>
      <c r="AK726">
        <f t="shared" si="107"/>
        <v>16</v>
      </c>
      <c r="AL726">
        <f t="shared" si="100"/>
        <v>24</v>
      </c>
      <c r="AM726">
        <f t="shared" si="101"/>
        <v>26</v>
      </c>
      <c r="AN726">
        <f t="shared" si="102"/>
        <v>20</v>
      </c>
      <c r="AO726" t="str">
        <f t="shared" si="103"/>
        <v/>
      </c>
    </row>
    <row r="727" spans="1:41">
      <c r="A727">
        <f t="shared" si="108"/>
        <v>723</v>
      </c>
      <c r="B727" t="s">
        <v>266</v>
      </c>
      <c r="C727">
        <v>5</v>
      </c>
      <c r="D727">
        <v>5</v>
      </c>
      <c r="E727" t="s">
        <v>385</v>
      </c>
      <c r="F727">
        <v>412</v>
      </c>
      <c r="G727">
        <v>1</v>
      </c>
      <c r="H727">
        <v>32</v>
      </c>
      <c r="I727" t="s">
        <v>386</v>
      </c>
      <c r="J727" t="s">
        <v>386</v>
      </c>
      <c r="K727">
        <v>1000000</v>
      </c>
      <c r="L727">
        <v>6</v>
      </c>
      <c r="M727">
        <v>6</v>
      </c>
      <c r="N727">
        <v>14</v>
      </c>
      <c r="O727">
        <v>0</v>
      </c>
      <c r="P727">
        <v>16</v>
      </c>
      <c r="Q727">
        <v>26</v>
      </c>
      <c r="R727">
        <v>28</v>
      </c>
      <c r="S727">
        <v>16</v>
      </c>
      <c r="T727">
        <v>0</v>
      </c>
      <c r="U727">
        <v>354</v>
      </c>
      <c r="V727">
        <v>7288.7688365499998</v>
      </c>
      <c r="AH727">
        <f t="shared" si="104"/>
        <v>6</v>
      </c>
      <c r="AI727">
        <f t="shared" si="105"/>
        <v>14</v>
      </c>
      <c r="AJ727" t="str">
        <f t="shared" si="106"/>
        <v/>
      </c>
      <c r="AK727">
        <f t="shared" si="107"/>
        <v>16</v>
      </c>
      <c r="AL727">
        <f t="shared" si="100"/>
        <v>26</v>
      </c>
      <c r="AM727">
        <f t="shared" si="101"/>
        <v>28</v>
      </c>
      <c r="AN727">
        <f t="shared" si="102"/>
        <v>16</v>
      </c>
      <c r="AO727" t="str">
        <f t="shared" si="103"/>
        <v/>
      </c>
    </row>
    <row r="728" spans="1:41">
      <c r="A728">
        <f t="shared" si="108"/>
        <v>724</v>
      </c>
      <c r="B728" t="s">
        <v>266</v>
      </c>
      <c r="C728">
        <v>5</v>
      </c>
      <c r="D728">
        <v>5</v>
      </c>
      <c r="E728" t="s">
        <v>385</v>
      </c>
      <c r="F728">
        <v>412</v>
      </c>
      <c r="G728">
        <v>1</v>
      </c>
      <c r="H728">
        <v>33</v>
      </c>
      <c r="I728" t="s">
        <v>386</v>
      </c>
      <c r="J728" t="s">
        <v>386</v>
      </c>
      <c r="K728">
        <v>1000000</v>
      </c>
      <c r="L728">
        <v>6</v>
      </c>
      <c r="M728">
        <v>6</v>
      </c>
      <c r="N728">
        <v>15</v>
      </c>
      <c r="O728">
        <v>0</v>
      </c>
      <c r="P728">
        <v>19</v>
      </c>
      <c r="Q728">
        <v>30</v>
      </c>
      <c r="R728">
        <v>27</v>
      </c>
      <c r="S728">
        <v>21</v>
      </c>
      <c r="T728">
        <v>0</v>
      </c>
      <c r="U728">
        <v>356</v>
      </c>
      <c r="V728">
        <v>7297.3307429699998</v>
      </c>
      <c r="AH728">
        <f t="shared" si="104"/>
        <v>6</v>
      </c>
      <c r="AI728">
        <f t="shared" si="105"/>
        <v>15</v>
      </c>
      <c r="AJ728" t="str">
        <f t="shared" si="106"/>
        <v/>
      </c>
      <c r="AK728">
        <f t="shared" si="107"/>
        <v>19</v>
      </c>
      <c r="AL728">
        <f t="shared" si="100"/>
        <v>30</v>
      </c>
      <c r="AM728">
        <f t="shared" si="101"/>
        <v>27</v>
      </c>
      <c r="AN728">
        <f t="shared" si="102"/>
        <v>21</v>
      </c>
      <c r="AO728" t="str">
        <f t="shared" si="103"/>
        <v/>
      </c>
    </row>
    <row r="729" spans="1:41">
      <c r="A729">
        <f t="shared" si="108"/>
        <v>725</v>
      </c>
      <c r="B729" t="s">
        <v>266</v>
      </c>
      <c r="C729">
        <v>5</v>
      </c>
      <c r="D729">
        <v>5</v>
      </c>
      <c r="E729" t="s">
        <v>385</v>
      </c>
      <c r="F729">
        <v>412</v>
      </c>
      <c r="G729">
        <v>1</v>
      </c>
      <c r="H729">
        <v>34</v>
      </c>
      <c r="I729" t="s">
        <v>386</v>
      </c>
      <c r="J729" t="s">
        <v>386</v>
      </c>
      <c r="K729">
        <v>1000000</v>
      </c>
      <c r="L729">
        <v>7</v>
      </c>
      <c r="M729">
        <v>7</v>
      </c>
      <c r="N729">
        <v>16</v>
      </c>
      <c r="O729">
        <v>0</v>
      </c>
      <c r="P729">
        <v>22</v>
      </c>
      <c r="Q729">
        <v>29</v>
      </c>
      <c r="R729">
        <v>34</v>
      </c>
      <c r="S729">
        <v>24</v>
      </c>
      <c r="T729">
        <v>0</v>
      </c>
      <c r="U729">
        <v>359</v>
      </c>
      <c r="V729">
        <v>7306.9076134899997</v>
      </c>
      <c r="AH729">
        <f t="shared" si="104"/>
        <v>7</v>
      </c>
      <c r="AI729">
        <f t="shared" si="105"/>
        <v>16</v>
      </c>
      <c r="AJ729" t="str">
        <f t="shared" si="106"/>
        <v/>
      </c>
      <c r="AK729">
        <f t="shared" si="107"/>
        <v>22</v>
      </c>
      <c r="AL729">
        <f t="shared" si="100"/>
        <v>29</v>
      </c>
      <c r="AM729">
        <f t="shared" si="101"/>
        <v>34</v>
      </c>
      <c r="AN729">
        <f t="shared" si="102"/>
        <v>24</v>
      </c>
      <c r="AO729" t="str">
        <f t="shared" si="103"/>
        <v/>
      </c>
    </row>
    <row r="730" spans="1:41">
      <c r="A730">
        <f t="shared" si="108"/>
        <v>726</v>
      </c>
      <c r="B730" t="s">
        <v>266</v>
      </c>
      <c r="C730">
        <v>5</v>
      </c>
      <c r="D730">
        <v>5</v>
      </c>
      <c r="E730" t="s">
        <v>385</v>
      </c>
      <c r="F730">
        <v>412</v>
      </c>
      <c r="G730">
        <v>1</v>
      </c>
      <c r="H730">
        <v>35</v>
      </c>
      <c r="I730" t="s">
        <v>386</v>
      </c>
      <c r="J730" t="s">
        <v>386</v>
      </c>
      <c r="K730">
        <v>1000000</v>
      </c>
      <c r="L730">
        <v>8</v>
      </c>
      <c r="M730">
        <v>8</v>
      </c>
      <c r="N730">
        <v>18</v>
      </c>
      <c r="O730">
        <v>0</v>
      </c>
      <c r="P730">
        <v>19</v>
      </c>
      <c r="Q730">
        <v>36</v>
      </c>
      <c r="R730">
        <v>38</v>
      </c>
      <c r="S730">
        <v>26</v>
      </c>
      <c r="T730">
        <v>0</v>
      </c>
      <c r="U730">
        <v>362</v>
      </c>
      <c r="V730">
        <v>7317.9756737500002</v>
      </c>
      <c r="AH730">
        <f t="shared" si="104"/>
        <v>8</v>
      </c>
      <c r="AI730">
        <f t="shared" si="105"/>
        <v>18</v>
      </c>
      <c r="AJ730" t="str">
        <f t="shared" si="106"/>
        <v/>
      </c>
      <c r="AK730">
        <f t="shared" si="107"/>
        <v>19</v>
      </c>
      <c r="AL730">
        <f t="shared" si="100"/>
        <v>36</v>
      </c>
      <c r="AM730">
        <f t="shared" si="101"/>
        <v>38</v>
      </c>
      <c r="AN730">
        <f t="shared" si="102"/>
        <v>26</v>
      </c>
      <c r="AO730" t="str">
        <f t="shared" si="103"/>
        <v/>
      </c>
    </row>
    <row r="731" spans="1:41">
      <c r="A731">
        <f t="shared" si="108"/>
        <v>727</v>
      </c>
      <c r="B731" t="s">
        <v>266</v>
      </c>
      <c r="C731">
        <v>5</v>
      </c>
      <c r="D731">
        <v>5</v>
      </c>
      <c r="E731" t="s">
        <v>385</v>
      </c>
      <c r="F731">
        <v>412</v>
      </c>
      <c r="G731">
        <v>1</v>
      </c>
      <c r="H731">
        <v>36</v>
      </c>
      <c r="I731" t="s">
        <v>386</v>
      </c>
      <c r="J731" t="s">
        <v>386</v>
      </c>
      <c r="K731">
        <v>1000000</v>
      </c>
      <c r="L731">
        <v>9</v>
      </c>
      <c r="M731">
        <v>9</v>
      </c>
      <c r="N731">
        <v>19</v>
      </c>
      <c r="O731">
        <v>0</v>
      </c>
      <c r="P731">
        <v>30</v>
      </c>
      <c r="Q731">
        <v>46</v>
      </c>
      <c r="R731">
        <v>47</v>
      </c>
      <c r="S731">
        <v>35</v>
      </c>
      <c r="T731">
        <v>0</v>
      </c>
      <c r="U731">
        <v>365</v>
      </c>
      <c r="V731">
        <v>7331.2233729</v>
      </c>
      <c r="AH731">
        <f t="shared" si="104"/>
        <v>9</v>
      </c>
      <c r="AI731">
        <f t="shared" si="105"/>
        <v>19</v>
      </c>
      <c r="AJ731" t="str">
        <f t="shared" si="106"/>
        <v/>
      </c>
      <c r="AK731">
        <f t="shared" si="107"/>
        <v>30</v>
      </c>
      <c r="AL731">
        <f t="shared" si="100"/>
        <v>46</v>
      </c>
      <c r="AM731">
        <f t="shared" si="101"/>
        <v>47</v>
      </c>
      <c r="AN731">
        <f t="shared" si="102"/>
        <v>35</v>
      </c>
      <c r="AO731" t="str">
        <f t="shared" si="103"/>
        <v/>
      </c>
    </row>
    <row r="732" spans="1:41">
      <c r="A732">
        <f t="shared" si="108"/>
        <v>728</v>
      </c>
      <c r="B732" t="s">
        <v>266</v>
      </c>
      <c r="C732">
        <v>5</v>
      </c>
      <c r="D732">
        <v>5</v>
      </c>
      <c r="E732" t="s">
        <v>385</v>
      </c>
      <c r="F732">
        <v>412</v>
      </c>
      <c r="G732">
        <v>1</v>
      </c>
      <c r="H732">
        <v>37</v>
      </c>
      <c r="I732" t="s">
        <v>386</v>
      </c>
      <c r="J732" t="s">
        <v>386</v>
      </c>
      <c r="K732">
        <v>1000000</v>
      </c>
      <c r="L732">
        <v>11</v>
      </c>
      <c r="M732">
        <v>11</v>
      </c>
      <c r="N732">
        <v>21</v>
      </c>
      <c r="O732">
        <v>0</v>
      </c>
      <c r="P732">
        <v>33</v>
      </c>
      <c r="Q732">
        <v>52</v>
      </c>
      <c r="R732">
        <v>58</v>
      </c>
      <c r="S732">
        <v>41</v>
      </c>
      <c r="T732">
        <v>0</v>
      </c>
      <c r="U732">
        <v>369</v>
      </c>
      <c r="V732">
        <v>7347.3033454200004</v>
      </c>
      <c r="AH732">
        <f t="shared" si="104"/>
        <v>11</v>
      </c>
      <c r="AI732">
        <f t="shared" si="105"/>
        <v>21</v>
      </c>
      <c r="AJ732" t="str">
        <f t="shared" si="106"/>
        <v/>
      </c>
      <c r="AK732">
        <f t="shared" si="107"/>
        <v>33</v>
      </c>
      <c r="AL732">
        <f t="shared" si="100"/>
        <v>52</v>
      </c>
      <c r="AM732">
        <f t="shared" si="101"/>
        <v>58</v>
      </c>
      <c r="AN732">
        <f t="shared" si="102"/>
        <v>41</v>
      </c>
      <c r="AO732" t="str">
        <f t="shared" si="103"/>
        <v/>
      </c>
    </row>
    <row r="733" spans="1:41">
      <c r="A733">
        <f t="shared" si="108"/>
        <v>729</v>
      </c>
      <c r="B733" t="s">
        <v>266</v>
      </c>
      <c r="C733">
        <v>5</v>
      </c>
      <c r="D733">
        <v>5</v>
      </c>
      <c r="E733" t="s">
        <v>385</v>
      </c>
      <c r="F733">
        <v>412</v>
      </c>
      <c r="G733">
        <v>1</v>
      </c>
      <c r="H733">
        <v>38</v>
      </c>
      <c r="I733" t="s">
        <v>386</v>
      </c>
      <c r="J733" t="s">
        <v>386</v>
      </c>
      <c r="K733">
        <v>1000000</v>
      </c>
      <c r="L733">
        <v>13</v>
      </c>
      <c r="M733">
        <v>13</v>
      </c>
      <c r="N733">
        <v>23</v>
      </c>
      <c r="O733">
        <v>0</v>
      </c>
      <c r="P733">
        <v>39</v>
      </c>
      <c r="Q733">
        <v>65</v>
      </c>
      <c r="R733">
        <v>70</v>
      </c>
      <c r="S733">
        <v>50</v>
      </c>
      <c r="T733">
        <v>0</v>
      </c>
      <c r="U733">
        <v>374</v>
      </c>
      <c r="V733">
        <v>7366.6782597600004</v>
      </c>
      <c r="AH733">
        <f t="shared" si="104"/>
        <v>13</v>
      </c>
      <c r="AI733">
        <f t="shared" si="105"/>
        <v>23</v>
      </c>
      <c r="AJ733" t="str">
        <f t="shared" si="106"/>
        <v/>
      </c>
      <c r="AK733">
        <f t="shared" si="107"/>
        <v>39</v>
      </c>
      <c r="AL733">
        <f t="shared" si="100"/>
        <v>65</v>
      </c>
      <c r="AM733">
        <f t="shared" si="101"/>
        <v>70</v>
      </c>
      <c r="AN733">
        <f t="shared" si="102"/>
        <v>50</v>
      </c>
      <c r="AO733" t="str">
        <f t="shared" si="103"/>
        <v/>
      </c>
    </row>
    <row r="734" spans="1:41">
      <c r="A734">
        <f t="shared" si="108"/>
        <v>730</v>
      </c>
      <c r="B734" t="s">
        <v>266</v>
      </c>
      <c r="C734">
        <v>5</v>
      </c>
      <c r="D734">
        <v>5</v>
      </c>
      <c r="E734" t="s">
        <v>385</v>
      </c>
      <c r="F734">
        <v>412</v>
      </c>
      <c r="G734">
        <v>1</v>
      </c>
      <c r="H734">
        <v>39</v>
      </c>
      <c r="I734" t="s">
        <v>386</v>
      </c>
      <c r="J734" t="s">
        <v>386</v>
      </c>
      <c r="K734">
        <v>1000000</v>
      </c>
      <c r="L734">
        <v>14</v>
      </c>
      <c r="M734">
        <v>14</v>
      </c>
      <c r="N734">
        <v>25</v>
      </c>
      <c r="O734">
        <v>0</v>
      </c>
      <c r="P734">
        <v>48</v>
      </c>
      <c r="Q734">
        <v>76</v>
      </c>
      <c r="R734">
        <v>79</v>
      </c>
      <c r="S734">
        <v>54</v>
      </c>
      <c r="T734">
        <v>0</v>
      </c>
      <c r="U734">
        <v>380</v>
      </c>
      <c r="V734">
        <v>7389.2281860000003</v>
      </c>
      <c r="AH734">
        <f t="shared" si="104"/>
        <v>14</v>
      </c>
      <c r="AI734">
        <f t="shared" si="105"/>
        <v>25</v>
      </c>
      <c r="AJ734" t="str">
        <f t="shared" si="106"/>
        <v/>
      </c>
      <c r="AK734">
        <f t="shared" si="107"/>
        <v>48</v>
      </c>
      <c r="AL734">
        <f t="shared" si="100"/>
        <v>76</v>
      </c>
      <c r="AM734">
        <f t="shared" si="101"/>
        <v>79</v>
      </c>
      <c r="AN734">
        <f t="shared" si="102"/>
        <v>54</v>
      </c>
      <c r="AO734" t="str">
        <f t="shared" si="103"/>
        <v/>
      </c>
    </row>
    <row r="735" spans="1:41">
      <c r="A735">
        <f t="shared" si="108"/>
        <v>731</v>
      </c>
      <c r="B735" t="s">
        <v>266</v>
      </c>
      <c r="C735">
        <v>5</v>
      </c>
      <c r="D735">
        <v>5</v>
      </c>
      <c r="E735" t="s">
        <v>385</v>
      </c>
      <c r="F735">
        <v>412</v>
      </c>
      <c r="G735">
        <v>1</v>
      </c>
      <c r="H735">
        <v>40</v>
      </c>
      <c r="I735" t="s">
        <v>386</v>
      </c>
      <c r="J735" t="s">
        <v>386</v>
      </c>
      <c r="K735">
        <v>1000000</v>
      </c>
      <c r="L735">
        <v>17</v>
      </c>
      <c r="M735">
        <v>17</v>
      </c>
      <c r="N735">
        <v>28</v>
      </c>
      <c r="O735">
        <v>0</v>
      </c>
      <c r="P735">
        <v>53</v>
      </c>
      <c r="Q735">
        <v>84</v>
      </c>
      <c r="R735">
        <v>85</v>
      </c>
      <c r="S735">
        <v>60</v>
      </c>
      <c r="T735">
        <v>0</v>
      </c>
      <c r="U735">
        <v>387</v>
      </c>
      <c r="V735">
        <v>7414.5769665799999</v>
      </c>
      <c r="AH735">
        <f t="shared" si="104"/>
        <v>17</v>
      </c>
      <c r="AI735">
        <f t="shared" si="105"/>
        <v>28</v>
      </c>
      <c r="AJ735" t="str">
        <f t="shared" si="106"/>
        <v/>
      </c>
      <c r="AK735">
        <f t="shared" si="107"/>
        <v>53</v>
      </c>
      <c r="AL735">
        <f t="shared" si="100"/>
        <v>84</v>
      </c>
      <c r="AM735">
        <f t="shared" si="101"/>
        <v>85</v>
      </c>
      <c r="AN735">
        <f t="shared" si="102"/>
        <v>60</v>
      </c>
      <c r="AO735" t="str">
        <f t="shared" si="103"/>
        <v/>
      </c>
    </row>
    <row r="736" spans="1:41">
      <c r="A736">
        <f t="shared" si="108"/>
        <v>732</v>
      </c>
      <c r="B736" t="s">
        <v>266</v>
      </c>
      <c r="C736">
        <v>5</v>
      </c>
      <c r="D736">
        <v>5</v>
      </c>
      <c r="E736" t="s">
        <v>385</v>
      </c>
      <c r="F736">
        <v>412</v>
      </c>
      <c r="G736">
        <v>1</v>
      </c>
      <c r="H736">
        <v>41</v>
      </c>
      <c r="I736" t="s">
        <v>386</v>
      </c>
      <c r="J736" t="s">
        <v>386</v>
      </c>
      <c r="K736">
        <v>1000000</v>
      </c>
      <c r="L736">
        <v>19</v>
      </c>
      <c r="M736">
        <v>19</v>
      </c>
      <c r="N736">
        <v>31</v>
      </c>
      <c r="O736">
        <v>0</v>
      </c>
      <c r="P736">
        <v>60</v>
      </c>
      <c r="Q736">
        <v>91</v>
      </c>
      <c r="R736">
        <v>96</v>
      </c>
      <c r="S736">
        <v>68</v>
      </c>
      <c r="T736">
        <v>0</v>
      </c>
      <c r="U736">
        <v>394</v>
      </c>
      <c r="V736">
        <v>7442.0919274300004</v>
      </c>
      <c r="AH736">
        <f t="shared" si="104"/>
        <v>19</v>
      </c>
      <c r="AI736">
        <f t="shared" si="105"/>
        <v>31</v>
      </c>
      <c r="AJ736" t="str">
        <f t="shared" si="106"/>
        <v/>
      </c>
      <c r="AK736">
        <f t="shared" si="107"/>
        <v>60</v>
      </c>
      <c r="AL736">
        <f t="shared" si="100"/>
        <v>91</v>
      </c>
      <c r="AM736">
        <f t="shared" si="101"/>
        <v>96</v>
      </c>
      <c r="AN736">
        <f t="shared" si="102"/>
        <v>68</v>
      </c>
      <c r="AO736" t="str">
        <f t="shared" si="103"/>
        <v/>
      </c>
    </row>
    <row r="737" spans="1:41">
      <c r="A737">
        <f t="shared" si="108"/>
        <v>733</v>
      </c>
      <c r="B737" t="s">
        <v>266</v>
      </c>
      <c r="C737">
        <v>5</v>
      </c>
      <c r="D737">
        <v>5</v>
      </c>
      <c r="E737" t="s">
        <v>385</v>
      </c>
      <c r="F737">
        <v>412</v>
      </c>
      <c r="G737">
        <v>1</v>
      </c>
      <c r="H737">
        <v>42</v>
      </c>
      <c r="I737" t="s">
        <v>386</v>
      </c>
      <c r="J737" t="s">
        <v>386</v>
      </c>
      <c r="K737">
        <v>1000000</v>
      </c>
      <c r="L737">
        <v>22</v>
      </c>
      <c r="M737">
        <v>22</v>
      </c>
      <c r="N737">
        <v>35</v>
      </c>
      <c r="O737">
        <v>0</v>
      </c>
      <c r="P737">
        <v>63</v>
      </c>
      <c r="Q737">
        <v>99</v>
      </c>
      <c r="R737">
        <v>104</v>
      </c>
      <c r="S737">
        <v>68</v>
      </c>
      <c r="T737">
        <v>0</v>
      </c>
      <c r="U737">
        <v>402</v>
      </c>
      <c r="V737">
        <v>7471.0305065399998</v>
      </c>
      <c r="AH737">
        <f t="shared" si="104"/>
        <v>22</v>
      </c>
      <c r="AI737">
        <f t="shared" si="105"/>
        <v>35</v>
      </c>
      <c r="AJ737" t="str">
        <f t="shared" si="106"/>
        <v/>
      </c>
      <c r="AK737">
        <f t="shared" si="107"/>
        <v>63</v>
      </c>
      <c r="AL737">
        <f t="shared" si="100"/>
        <v>99</v>
      </c>
      <c r="AM737">
        <f t="shared" si="101"/>
        <v>104</v>
      </c>
      <c r="AN737">
        <f t="shared" si="102"/>
        <v>68</v>
      </c>
      <c r="AO737" t="str">
        <f t="shared" si="103"/>
        <v/>
      </c>
    </row>
    <row r="738" spans="1:41">
      <c r="A738">
        <f t="shared" si="108"/>
        <v>734</v>
      </c>
      <c r="B738" t="s">
        <v>266</v>
      </c>
      <c r="C738">
        <v>5</v>
      </c>
      <c r="D738">
        <v>5</v>
      </c>
      <c r="E738" t="s">
        <v>385</v>
      </c>
      <c r="F738">
        <v>412</v>
      </c>
      <c r="G738">
        <v>1</v>
      </c>
      <c r="H738">
        <v>43</v>
      </c>
      <c r="I738" t="s">
        <v>386</v>
      </c>
      <c r="J738" t="s">
        <v>386</v>
      </c>
      <c r="K738">
        <v>1000000</v>
      </c>
      <c r="L738">
        <v>25</v>
      </c>
      <c r="M738">
        <v>25</v>
      </c>
      <c r="N738">
        <v>38</v>
      </c>
      <c r="O738">
        <v>0</v>
      </c>
      <c r="P738">
        <v>69</v>
      </c>
      <c r="Q738">
        <v>107</v>
      </c>
      <c r="R738">
        <v>106</v>
      </c>
      <c r="S738">
        <v>73</v>
      </c>
      <c r="T738">
        <v>0</v>
      </c>
      <c r="U738">
        <v>411</v>
      </c>
      <c r="V738">
        <v>7501.1059352900002</v>
      </c>
      <c r="AH738">
        <f t="shared" si="104"/>
        <v>25</v>
      </c>
      <c r="AI738">
        <f t="shared" si="105"/>
        <v>38</v>
      </c>
      <c r="AJ738" t="str">
        <f t="shared" si="106"/>
        <v/>
      </c>
      <c r="AK738">
        <f t="shared" si="107"/>
        <v>69</v>
      </c>
      <c r="AL738">
        <f t="shared" si="100"/>
        <v>107</v>
      </c>
      <c r="AM738">
        <f t="shared" si="101"/>
        <v>106</v>
      </c>
      <c r="AN738">
        <f t="shared" si="102"/>
        <v>73</v>
      </c>
      <c r="AO738" t="str">
        <f t="shared" si="103"/>
        <v/>
      </c>
    </row>
    <row r="739" spans="1:41">
      <c r="A739">
        <f t="shared" si="108"/>
        <v>735</v>
      </c>
      <c r="B739" t="s">
        <v>266</v>
      </c>
      <c r="C739">
        <v>5</v>
      </c>
      <c r="D739">
        <v>5</v>
      </c>
      <c r="E739" t="s">
        <v>385</v>
      </c>
      <c r="F739">
        <v>412</v>
      </c>
      <c r="G739">
        <v>1</v>
      </c>
      <c r="H739">
        <v>44</v>
      </c>
      <c r="I739" t="s">
        <v>386</v>
      </c>
      <c r="J739" t="s">
        <v>386</v>
      </c>
      <c r="K739">
        <v>1000000</v>
      </c>
      <c r="L739">
        <v>28</v>
      </c>
      <c r="M739">
        <v>28</v>
      </c>
      <c r="N739">
        <v>42</v>
      </c>
      <c r="O739">
        <v>0</v>
      </c>
      <c r="P739">
        <v>75</v>
      </c>
      <c r="Q739">
        <v>113</v>
      </c>
      <c r="R739">
        <v>119</v>
      </c>
      <c r="S739">
        <v>87</v>
      </c>
      <c r="T739">
        <v>0</v>
      </c>
      <c r="U739">
        <v>420</v>
      </c>
      <c r="V739">
        <v>7532.9118476000003</v>
      </c>
      <c r="AH739">
        <f t="shared" si="104"/>
        <v>28</v>
      </c>
      <c r="AI739">
        <f t="shared" si="105"/>
        <v>42</v>
      </c>
      <c r="AJ739" t="str">
        <f t="shared" si="106"/>
        <v/>
      </c>
      <c r="AK739">
        <f t="shared" si="107"/>
        <v>75</v>
      </c>
      <c r="AL739">
        <f t="shared" si="100"/>
        <v>113</v>
      </c>
      <c r="AM739">
        <f t="shared" si="101"/>
        <v>119</v>
      </c>
      <c r="AN739">
        <f t="shared" si="102"/>
        <v>87</v>
      </c>
      <c r="AO739" t="str">
        <f t="shared" si="103"/>
        <v/>
      </c>
    </row>
    <row r="740" spans="1:41">
      <c r="A740">
        <f t="shared" si="108"/>
        <v>736</v>
      </c>
      <c r="B740" t="s">
        <v>266</v>
      </c>
      <c r="C740">
        <v>5</v>
      </c>
      <c r="D740">
        <v>5</v>
      </c>
      <c r="E740" t="s">
        <v>385</v>
      </c>
      <c r="F740">
        <v>412</v>
      </c>
      <c r="G740">
        <v>1</v>
      </c>
      <c r="H740">
        <v>45</v>
      </c>
      <c r="I740" t="s">
        <v>386</v>
      </c>
      <c r="J740" t="s">
        <v>386</v>
      </c>
      <c r="K740">
        <v>1000000</v>
      </c>
      <c r="L740">
        <v>32</v>
      </c>
      <c r="M740">
        <v>32</v>
      </c>
      <c r="N740">
        <v>47</v>
      </c>
      <c r="O740">
        <v>0</v>
      </c>
      <c r="P740">
        <v>83</v>
      </c>
      <c r="Q740">
        <v>136</v>
      </c>
      <c r="R740">
        <v>152</v>
      </c>
      <c r="S740">
        <v>114</v>
      </c>
      <c r="T740">
        <v>0</v>
      </c>
      <c r="U740">
        <v>432</v>
      </c>
      <c r="V740">
        <v>7567.1163503500002</v>
      </c>
      <c r="AH740">
        <f t="shared" si="104"/>
        <v>32</v>
      </c>
      <c r="AI740">
        <f t="shared" si="105"/>
        <v>47</v>
      </c>
      <c r="AJ740" t="str">
        <f t="shared" si="106"/>
        <v/>
      </c>
      <c r="AK740">
        <f t="shared" si="107"/>
        <v>83</v>
      </c>
      <c r="AL740">
        <f t="shared" si="100"/>
        <v>136</v>
      </c>
      <c r="AM740">
        <f t="shared" si="101"/>
        <v>152</v>
      </c>
      <c r="AN740">
        <f t="shared" si="102"/>
        <v>114</v>
      </c>
      <c r="AO740" t="str">
        <f t="shared" si="103"/>
        <v/>
      </c>
    </row>
    <row r="741" spans="1:41">
      <c r="A741">
        <f t="shared" si="108"/>
        <v>737</v>
      </c>
      <c r="B741" t="s">
        <v>266</v>
      </c>
      <c r="C741">
        <v>5</v>
      </c>
      <c r="D741">
        <v>5</v>
      </c>
      <c r="E741" t="s">
        <v>385</v>
      </c>
      <c r="F741">
        <v>412</v>
      </c>
      <c r="G741">
        <v>1</v>
      </c>
      <c r="H741">
        <v>46</v>
      </c>
      <c r="I741" t="s">
        <v>386</v>
      </c>
      <c r="J741" t="s">
        <v>386</v>
      </c>
      <c r="K741">
        <v>1000000</v>
      </c>
      <c r="L741">
        <v>36</v>
      </c>
      <c r="M741">
        <v>36</v>
      </c>
      <c r="N741">
        <v>53</v>
      </c>
      <c r="O741">
        <v>0</v>
      </c>
      <c r="P741">
        <v>107</v>
      </c>
      <c r="Q741">
        <v>179</v>
      </c>
      <c r="R741">
        <v>199</v>
      </c>
      <c r="S741">
        <v>143</v>
      </c>
      <c r="T741">
        <v>0</v>
      </c>
      <c r="U741">
        <v>446</v>
      </c>
      <c r="V741">
        <v>7603.9559495100002</v>
      </c>
      <c r="AH741">
        <f t="shared" si="104"/>
        <v>36</v>
      </c>
      <c r="AI741">
        <f t="shared" si="105"/>
        <v>53</v>
      </c>
      <c r="AJ741" t="str">
        <f t="shared" si="106"/>
        <v/>
      </c>
      <c r="AK741">
        <f t="shared" si="107"/>
        <v>107</v>
      </c>
      <c r="AL741">
        <f t="shared" si="100"/>
        <v>179</v>
      </c>
      <c r="AM741">
        <f t="shared" si="101"/>
        <v>199</v>
      </c>
      <c r="AN741">
        <f t="shared" si="102"/>
        <v>143</v>
      </c>
      <c r="AO741" t="str">
        <f t="shared" si="103"/>
        <v/>
      </c>
    </row>
    <row r="742" spans="1:41">
      <c r="A742">
        <f t="shared" si="108"/>
        <v>738</v>
      </c>
      <c r="B742" t="s">
        <v>266</v>
      </c>
      <c r="C742">
        <v>5</v>
      </c>
      <c r="D742">
        <v>5</v>
      </c>
      <c r="E742" t="s">
        <v>385</v>
      </c>
      <c r="F742">
        <v>412</v>
      </c>
      <c r="G742">
        <v>1</v>
      </c>
      <c r="H742">
        <v>47</v>
      </c>
      <c r="I742" t="s">
        <v>386</v>
      </c>
      <c r="J742" t="s">
        <v>386</v>
      </c>
      <c r="K742">
        <v>1000000</v>
      </c>
      <c r="L742">
        <v>42</v>
      </c>
      <c r="M742">
        <v>42</v>
      </c>
      <c r="N742">
        <v>60</v>
      </c>
      <c r="O742">
        <v>0</v>
      </c>
      <c r="P742">
        <v>136</v>
      </c>
      <c r="Q742">
        <v>222</v>
      </c>
      <c r="R742">
        <v>234</v>
      </c>
      <c r="S742">
        <v>161</v>
      </c>
      <c r="T742">
        <v>0</v>
      </c>
      <c r="U742">
        <v>463</v>
      </c>
      <c r="V742">
        <v>7643.0788188300003</v>
      </c>
      <c r="AH742">
        <f t="shared" si="104"/>
        <v>42</v>
      </c>
      <c r="AI742">
        <f t="shared" si="105"/>
        <v>60</v>
      </c>
      <c r="AJ742" t="str">
        <f t="shared" si="106"/>
        <v/>
      </c>
      <c r="AK742">
        <f t="shared" si="107"/>
        <v>136</v>
      </c>
      <c r="AL742">
        <f t="shared" si="100"/>
        <v>222</v>
      </c>
      <c r="AM742">
        <f t="shared" si="101"/>
        <v>234</v>
      </c>
      <c r="AN742">
        <f t="shared" si="102"/>
        <v>161</v>
      </c>
      <c r="AO742" t="str">
        <f t="shared" si="103"/>
        <v/>
      </c>
    </row>
    <row r="743" spans="1:41">
      <c r="A743">
        <f t="shared" si="108"/>
        <v>739</v>
      </c>
      <c r="B743" t="s">
        <v>266</v>
      </c>
      <c r="C743">
        <v>5</v>
      </c>
      <c r="D743">
        <v>5</v>
      </c>
      <c r="E743" t="s">
        <v>385</v>
      </c>
      <c r="F743">
        <v>412</v>
      </c>
      <c r="G743">
        <v>1</v>
      </c>
      <c r="H743">
        <v>48</v>
      </c>
      <c r="I743" t="s">
        <v>386</v>
      </c>
      <c r="J743" t="s">
        <v>386</v>
      </c>
      <c r="K743">
        <v>1000000</v>
      </c>
      <c r="L743">
        <v>48</v>
      </c>
      <c r="M743">
        <v>48</v>
      </c>
      <c r="N743">
        <v>68</v>
      </c>
      <c r="O743">
        <v>0</v>
      </c>
      <c r="P743">
        <v>156</v>
      </c>
      <c r="Q743">
        <v>239</v>
      </c>
      <c r="R743">
        <v>239</v>
      </c>
      <c r="S743">
        <v>153</v>
      </c>
      <c r="T743">
        <v>0</v>
      </c>
      <c r="U743">
        <v>481</v>
      </c>
      <c r="V743">
        <v>7683.2709762900004</v>
      </c>
      <c r="AH743">
        <f t="shared" si="104"/>
        <v>48</v>
      </c>
      <c r="AI743">
        <f t="shared" si="105"/>
        <v>68</v>
      </c>
      <c r="AJ743" t="str">
        <f t="shared" si="106"/>
        <v/>
      </c>
      <c r="AK743">
        <f t="shared" si="107"/>
        <v>156</v>
      </c>
      <c r="AL743">
        <f t="shared" si="100"/>
        <v>239</v>
      </c>
      <c r="AM743">
        <f t="shared" si="101"/>
        <v>239</v>
      </c>
      <c r="AN743">
        <f t="shared" si="102"/>
        <v>153</v>
      </c>
      <c r="AO743" t="str">
        <f t="shared" si="103"/>
        <v/>
      </c>
    </row>
    <row r="744" spans="1:41">
      <c r="A744">
        <f t="shared" si="108"/>
        <v>740</v>
      </c>
      <c r="B744" t="s">
        <v>266</v>
      </c>
      <c r="C744">
        <v>5</v>
      </c>
      <c r="D744">
        <v>5</v>
      </c>
      <c r="E744" t="s">
        <v>385</v>
      </c>
      <c r="F744">
        <v>412</v>
      </c>
      <c r="G744">
        <v>1</v>
      </c>
      <c r="H744">
        <v>49</v>
      </c>
      <c r="I744" t="s">
        <v>386</v>
      </c>
      <c r="J744" t="s">
        <v>386</v>
      </c>
      <c r="K744">
        <v>1000000</v>
      </c>
      <c r="L744">
        <v>54</v>
      </c>
      <c r="M744">
        <v>54</v>
      </c>
      <c r="N744">
        <v>76</v>
      </c>
      <c r="O744">
        <v>0</v>
      </c>
      <c r="P744">
        <v>156</v>
      </c>
      <c r="Q744">
        <v>229</v>
      </c>
      <c r="R744">
        <v>219</v>
      </c>
      <c r="S744">
        <v>144</v>
      </c>
      <c r="T744">
        <v>0</v>
      </c>
      <c r="U744">
        <v>499</v>
      </c>
      <c r="V744">
        <v>7723.07404425</v>
      </c>
      <c r="AH744">
        <f t="shared" si="104"/>
        <v>54</v>
      </c>
      <c r="AI744">
        <f t="shared" si="105"/>
        <v>76</v>
      </c>
      <c r="AJ744" t="str">
        <f t="shared" si="106"/>
        <v/>
      </c>
      <c r="AK744">
        <f t="shared" si="107"/>
        <v>156</v>
      </c>
      <c r="AL744">
        <f t="shared" si="100"/>
        <v>229</v>
      </c>
      <c r="AM744">
        <f t="shared" si="101"/>
        <v>219</v>
      </c>
      <c r="AN744">
        <f t="shared" si="102"/>
        <v>144</v>
      </c>
      <c r="AO744" t="str">
        <f t="shared" si="103"/>
        <v/>
      </c>
    </row>
    <row r="745" spans="1:41">
      <c r="A745">
        <f t="shared" si="108"/>
        <v>741</v>
      </c>
      <c r="B745" t="s">
        <v>266</v>
      </c>
      <c r="C745">
        <v>5</v>
      </c>
      <c r="D745">
        <v>5</v>
      </c>
      <c r="E745" t="s">
        <v>385</v>
      </c>
      <c r="F745">
        <v>412</v>
      </c>
      <c r="G745">
        <v>1</v>
      </c>
      <c r="H745">
        <v>50</v>
      </c>
      <c r="I745" t="s">
        <v>386</v>
      </c>
      <c r="J745" t="s">
        <v>386</v>
      </c>
      <c r="K745">
        <v>1000000</v>
      </c>
      <c r="L745">
        <v>60</v>
      </c>
      <c r="M745">
        <v>60</v>
      </c>
      <c r="N745">
        <v>83</v>
      </c>
      <c r="O745">
        <v>0</v>
      </c>
      <c r="P745">
        <v>141</v>
      </c>
      <c r="Q745">
        <v>200</v>
      </c>
      <c r="R745">
        <v>195</v>
      </c>
      <c r="S745">
        <v>124</v>
      </c>
      <c r="T745">
        <v>0</v>
      </c>
      <c r="U745">
        <v>517</v>
      </c>
      <c r="V745">
        <v>7762.0248314099999</v>
      </c>
      <c r="AH745">
        <f t="shared" si="104"/>
        <v>60</v>
      </c>
      <c r="AI745">
        <f t="shared" si="105"/>
        <v>83</v>
      </c>
      <c r="AJ745" t="str">
        <f t="shared" si="106"/>
        <v/>
      </c>
      <c r="AK745">
        <f t="shared" si="107"/>
        <v>141</v>
      </c>
      <c r="AL745">
        <f t="shared" si="100"/>
        <v>200</v>
      </c>
      <c r="AM745">
        <f t="shared" si="101"/>
        <v>195</v>
      </c>
      <c r="AN745">
        <f t="shared" si="102"/>
        <v>124</v>
      </c>
      <c r="AO745" t="str">
        <f t="shared" si="103"/>
        <v/>
      </c>
    </row>
    <row r="746" spans="1:41">
      <c r="A746">
        <f t="shared" si="108"/>
        <v>742</v>
      </c>
      <c r="B746" t="s">
        <v>266</v>
      </c>
      <c r="C746">
        <v>5</v>
      </c>
      <c r="D746">
        <v>5</v>
      </c>
      <c r="E746" t="s">
        <v>385</v>
      </c>
      <c r="F746">
        <v>412</v>
      </c>
      <c r="G746">
        <v>1</v>
      </c>
      <c r="H746">
        <v>51</v>
      </c>
      <c r="I746" t="s">
        <v>386</v>
      </c>
      <c r="J746" t="s">
        <v>386</v>
      </c>
      <c r="K746">
        <v>1000000</v>
      </c>
      <c r="L746">
        <v>66</v>
      </c>
      <c r="M746">
        <v>66</v>
      </c>
      <c r="N746">
        <v>90</v>
      </c>
      <c r="O746">
        <v>0</v>
      </c>
      <c r="P746">
        <v>124</v>
      </c>
      <c r="Q746">
        <v>185</v>
      </c>
      <c r="R746">
        <v>182</v>
      </c>
      <c r="S746">
        <v>128</v>
      </c>
      <c r="T746">
        <v>0</v>
      </c>
      <c r="U746">
        <v>534</v>
      </c>
      <c r="V746">
        <v>7801.22811155</v>
      </c>
      <c r="AH746">
        <f t="shared" si="104"/>
        <v>66</v>
      </c>
      <c r="AI746">
        <f t="shared" si="105"/>
        <v>90</v>
      </c>
      <c r="AJ746" t="str">
        <f t="shared" si="106"/>
        <v/>
      </c>
      <c r="AK746">
        <f t="shared" si="107"/>
        <v>124</v>
      </c>
      <c r="AL746">
        <f t="shared" si="100"/>
        <v>185</v>
      </c>
      <c r="AM746">
        <f t="shared" si="101"/>
        <v>182</v>
      </c>
      <c r="AN746">
        <f t="shared" si="102"/>
        <v>128</v>
      </c>
      <c r="AO746" t="str">
        <f t="shared" si="103"/>
        <v/>
      </c>
    </row>
    <row r="747" spans="1:41">
      <c r="A747">
        <f t="shared" si="108"/>
        <v>743</v>
      </c>
      <c r="B747" t="s">
        <v>266</v>
      </c>
      <c r="C747">
        <v>5</v>
      </c>
      <c r="D747">
        <v>5</v>
      </c>
      <c r="E747" t="s">
        <v>385</v>
      </c>
      <c r="F747">
        <v>412</v>
      </c>
      <c r="G747">
        <v>1</v>
      </c>
      <c r="H747">
        <v>52</v>
      </c>
      <c r="I747" t="s">
        <v>386</v>
      </c>
      <c r="J747" t="s">
        <v>386</v>
      </c>
      <c r="K747">
        <v>1000000</v>
      </c>
      <c r="L747">
        <v>71</v>
      </c>
      <c r="M747">
        <v>71</v>
      </c>
      <c r="N747">
        <v>97</v>
      </c>
      <c r="O747">
        <v>0</v>
      </c>
      <c r="P747">
        <v>126</v>
      </c>
      <c r="Q747">
        <v>190</v>
      </c>
      <c r="R747">
        <v>203</v>
      </c>
      <c r="S747">
        <v>145</v>
      </c>
      <c r="T747">
        <v>0</v>
      </c>
      <c r="U747">
        <v>550</v>
      </c>
      <c r="V747">
        <v>7842.8522630500001</v>
      </c>
      <c r="AH747">
        <f t="shared" si="104"/>
        <v>71</v>
      </c>
      <c r="AI747">
        <f t="shared" si="105"/>
        <v>97</v>
      </c>
      <c r="AJ747" t="str">
        <f t="shared" si="106"/>
        <v/>
      </c>
      <c r="AK747">
        <f t="shared" si="107"/>
        <v>126</v>
      </c>
      <c r="AL747">
        <f t="shared" si="100"/>
        <v>190</v>
      </c>
      <c r="AM747">
        <f t="shared" si="101"/>
        <v>203</v>
      </c>
      <c r="AN747">
        <f t="shared" si="102"/>
        <v>145</v>
      </c>
      <c r="AO747" t="str">
        <f t="shared" si="103"/>
        <v/>
      </c>
    </row>
    <row r="748" spans="1:41">
      <c r="A748">
        <f t="shared" si="108"/>
        <v>744</v>
      </c>
      <c r="B748" t="s">
        <v>266</v>
      </c>
      <c r="C748">
        <v>5</v>
      </c>
      <c r="D748">
        <v>5</v>
      </c>
      <c r="E748" t="s">
        <v>385</v>
      </c>
      <c r="F748">
        <v>412</v>
      </c>
      <c r="G748">
        <v>1</v>
      </c>
      <c r="H748">
        <v>53</v>
      </c>
      <c r="I748" t="s">
        <v>386</v>
      </c>
      <c r="J748" t="s">
        <v>386</v>
      </c>
      <c r="K748">
        <v>1000000</v>
      </c>
      <c r="L748">
        <v>77</v>
      </c>
      <c r="M748">
        <v>77</v>
      </c>
      <c r="N748">
        <v>105</v>
      </c>
      <c r="O748">
        <v>0</v>
      </c>
      <c r="P748">
        <v>135</v>
      </c>
      <c r="Q748">
        <v>221</v>
      </c>
      <c r="R748">
        <v>238</v>
      </c>
      <c r="S748">
        <v>169</v>
      </c>
      <c r="T748">
        <v>0</v>
      </c>
      <c r="U748">
        <v>569</v>
      </c>
      <c r="V748">
        <v>7889.5989339999996</v>
      </c>
      <c r="AH748">
        <f t="shared" si="104"/>
        <v>77</v>
      </c>
      <c r="AI748">
        <f t="shared" si="105"/>
        <v>105</v>
      </c>
      <c r="AJ748" t="str">
        <f t="shared" si="106"/>
        <v/>
      </c>
      <c r="AK748">
        <f t="shared" si="107"/>
        <v>135</v>
      </c>
      <c r="AL748">
        <f t="shared" si="100"/>
        <v>221</v>
      </c>
      <c r="AM748">
        <f t="shared" si="101"/>
        <v>238</v>
      </c>
      <c r="AN748">
        <f t="shared" si="102"/>
        <v>169</v>
      </c>
      <c r="AO748" t="str">
        <f t="shared" si="103"/>
        <v/>
      </c>
    </row>
    <row r="749" spans="1:41">
      <c r="A749">
        <f t="shared" si="108"/>
        <v>745</v>
      </c>
      <c r="B749" t="s">
        <v>266</v>
      </c>
      <c r="C749">
        <v>5</v>
      </c>
      <c r="D749">
        <v>5</v>
      </c>
      <c r="E749" t="s">
        <v>385</v>
      </c>
      <c r="F749">
        <v>412</v>
      </c>
      <c r="G749">
        <v>1</v>
      </c>
      <c r="H749">
        <v>54</v>
      </c>
      <c r="I749" t="s">
        <v>386</v>
      </c>
      <c r="J749" t="s">
        <v>386</v>
      </c>
      <c r="K749">
        <v>1000000</v>
      </c>
      <c r="L749">
        <v>84</v>
      </c>
      <c r="M749">
        <v>84</v>
      </c>
      <c r="N749">
        <v>113</v>
      </c>
      <c r="O749">
        <v>0</v>
      </c>
      <c r="P749">
        <v>165</v>
      </c>
      <c r="Q749">
        <v>262</v>
      </c>
      <c r="R749">
        <v>276</v>
      </c>
      <c r="S749">
        <v>192</v>
      </c>
      <c r="T749">
        <v>0</v>
      </c>
      <c r="U749">
        <v>589</v>
      </c>
      <c r="V749">
        <v>7942.9759365299997</v>
      </c>
      <c r="AH749">
        <f t="shared" si="104"/>
        <v>84</v>
      </c>
      <c r="AI749">
        <f t="shared" si="105"/>
        <v>113</v>
      </c>
      <c r="AJ749" t="str">
        <f t="shared" si="106"/>
        <v/>
      </c>
      <c r="AK749">
        <f t="shared" si="107"/>
        <v>165</v>
      </c>
      <c r="AL749">
        <f t="shared" si="100"/>
        <v>262</v>
      </c>
      <c r="AM749">
        <f t="shared" si="101"/>
        <v>276</v>
      </c>
      <c r="AN749">
        <f t="shared" si="102"/>
        <v>192</v>
      </c>
      <c r="AO749" t="str">
        <f t="shared" si="103"/>
        <v/>
      </c>
    </row>
    <row r="750" spans="1:41">
      <c r="A750">
        <f t="shared" si="108"/>
        <v>746</v>
      </c>
      <c r="B750" t="s">
        <v>266</v>
      </c>
      <c r="C750">
        <v>5</v>
      </c>
      <c r="D750">
        <v>5</v>
      </c>
      <c r="E750" t="s">
        <v>385</v>
      </c>
      <c r="F750">
        <v>412</v>
      </c>
      <c r="G750">
        <v>1</v>
      </c>
      <c r="H750">
        <v>55</v>
      </c>
      <c r="I750" t="s">
        <v>386</v>
      </c>
      <c r="J750" t="s">
        <v>386</v>
      </c>
      <c r="K750">
        <v>1000000</v>
      </c>
      <c r="L750">
        <v>92</v>
      </c>
      <c r="M750">
        <v>92</v>
      </c>
      <c r="N750">
        <v>123</v>
      </c>
      <c r="O750">
        <v>0</v>
      </c>
      <c r="P750">
        <v>186</v>
      </c>
      <c r="Q750">
        <v>290</v>
      </c>
      <c r="R750">
        <v>299</v>
      </c>
      <c r="S750">
        <v>202</v>
      </c>
      <c r="T750">
        <v>0</v>
      </c>
      <c r="U750">
        <v>612</v>
      </c>
      <c r="V750">
        <v>8002.7576652600001</v>
      </c>
      <c r="AH750">
        <f t="shared" si="104"/>
        <v>92</v>
      </c>
      <c r="AI750">
        <f t="shared" si="105"/>
        <v>123</v>
      </c>
      <c r="AJ750" t="str">
        <f t="shared" si="106"/>
        <v/>
      </c>
      <c r="AK750">
        <f t="shared" si="107"/>
        <v>186</v>
      </c>
      <c r="AL750">
        <f t="shared" si="100"/>
        <v>290</v>
      </c>
      <c r="AM750">
        <f t="shared" si="101"/>
        <v>299</v>
      </c>
      <c r="AN750">
        <f t="shared" si="102"/>
        <v>202</v>
      </c>
      <c r="AO750" t="str">
        <f t="shared" si="103"/>
        <v/>
      </c>
    </row>
    <row r="751" spans="1:41">
      <c r="A751">
        <f t="shared" si="108"/>
        <v>747</v>
      </c>
      <c r="B751" t="s">
        <v>266</v>
      </c>
      <c r="C751">
        <v>5</v>
      </c>
      <c r="D751">
        <v>5</v>
      </c>
      <c r="E751" t="s">
        <v>385</v>
      </c>
      <c r="F751">
        <v>412</v>
      </c>
      <c r="G751">
        <v>1</v>
      </c>
      <c r="H751">
        <v>56</v>
      </c>
      <c r="I751" t="s">
        <v>386</v>
      </c>
      <c r="J751" t="s">
        <v>386</v>
      </c>
      <c r="K751">
        <v>1000000</v>
      </c>
      <c r="L751">
        <v>100</v>
      </c>
      <c r="M751">
        <v>100</v>
      </c>
      <c r="N751">
        <v>134</v>
      </c>
      <c r="O751">
        <v>0</v>
      </c>
      <c r="P751">
        <v>203</v>
      </c>
      <c r="Q751">
        <v>313</v>
      </c>
      <c r="R751">
        <v>320</v>
      </c>
      <c r="S751">
        <v>225</v>
      </c>
      <c r="T751">
        <v>0</v>
      </c>
      <c r="U751">
        <v>637</v>
      </c>
      <c r="V751">
        <v>8068.0707472100003</v>
      </c>
      <c r="AH751">
        <f t="shared" si="104"/>
        <v>100</v>
      </c>
      <c r="AI751">
        <f t="shared" si="105"/>
        <v>134</v>
      </c>
      <c r="AJ751" t="str">
        <f t="shared" si="106"/>
        <v/>
      </c>
      <c r="AK751">
        <f t="shared" si="107"/>
        <v>203</v>
      </c>
      <c r="AL751">
        <f t="shared" si="100"/>
        <v>313</v>
      </c>
      <c r="AM751">
        <f t="shared" si="101"/>
        <v>320</v>
      </c>
      <c r="AN751">
        <f t="shared" si="102"/>
        <v>225</v>
      </c>
      <c r="AO751" t="str">
        <f t="shared" si="103"/>
        <v/>
      </c>
    </row>
    <row r="752" spans="1:41">
      <c r="A752">
        <f t="shared" si="108"/>
        <v>748</v>
      </c>
      <c r="B752" t="s">
        <v>266</v>
      </c>
      <c r="C752">
        <v>5</v>
      </c>
      <c r="D752">
        <v>5</v>
      </c>
      <c r="E752" t="s">
        <v>385</v>
      </c>
      <c r="F752">
        <v>412</v>
      </c>
      <c r="G752">
        <v>1</v>
      </c>
      <c r="H752">
        <v>57</v>
      </c>
      <c r="I752" t="s">
        <v>386</v>
      </c>
      <c r="J752" t="s">
        <v>386</v>
      </c>
      <c r="K752">
        <v>1000000</v>
      </c>
      <c r="L752">
        <v>110</v>
      </c>
      <c r="M752">
        <v>110</v>
      </c>
      <c r="N752">
        <v>145</v>
      </c>
      <c r="O752">
        <v>0</v>
      </c>
      <c r="P752">
        <v>218</v>
      </c>
      <c r="Q752">
        <v>335</v>
      </c>
      <c r="R752">
        <v>353</v>
      </c>
      <c r="S752">
        <v>244</v>
      </c>
      <c r="T752">
        <v>0</v>
      </c>
      <c r="U752">
        <v>665</v>
      </c>
      <c r="V752">
        <v>8139.2414703499999</v>
      </c>
      <c r="AH752">
        <f t="shared" si="104"/>
        <v>110</v>
      </c>
      <c r="AI752">
        <f t="shared" si="105"/>
        <v>145</v>
      </c>
      <c r="AJ752" t="str">
        <f t="shared" si="106"/>
        <v/>
      </c>
      <c r="AK752">
        <f t="shared" si="107"/>
        <v>218</v>
      </c>
      <c r="AL752">
        <f t="shared" si="100"/>
        <v>335</v>
      </c>
      <c r="AM752">
        <f t="shared" si="101"/>
        <v>353</v>
      </c>
      <c r="AN752">
        <f t="shared" si="102"/>
        <v>244</v>
      </c>
      <c r="AO752" t="str">
        <f t="shared" si="103"/>
        <v/>
      </c>
    </row>
    <row r="753" spans="1:41">
      <c r="A753">
        <f t="shared" si="108"/>
        <v>749</v>
      </c>
      <c r="B753" t="s">
        <v>266</v>
      </c>
      <c r="C753">
        <v>5</v>
      </c>
      <c r="D753">
        <v>5</v>
      </c>
      <c r="E753" t="s">
        <v>385</v>
      </c>
      <c r="F753">
        <v>412</v>
      </c>
      <c r="G753">
        <v>1</v>
      </c>
      <c r="H753">
        <v>58</v>
      </c>
      <c r="I753" t="s">
        <v>386</v>
      </c>
      <c r="J753" t="s">
        <v>386</v>
      </c>
      <c r="K753">
        <v>1000000</v>
      </c>
      <c r="L753">
        <v>120</v>
      </c>
      <c r="M753">
        <v>120</v>
      </c>
      <c r="N753">
        <v>159</v>
      </c>
      <c r="O753">
        <v>0</v>
      </c>
      <c r="P753">
        <v>240</v>
      </c>
      <c r="Q753">
        <v>384</v>
      </c>
      <c r="R753">
        <v>404</v>
      </c>
      <c r="S753">
        <v>292</v>
      </c>
      <c r="T753">
        <v>0</v>
      </c>
      <c r="U753">
        <v>696</v>
      </c>
      <c r="V753">
        <v>8218.2710110299995</v>
      </c>
      <c r="AH753">
        <f t="shared" si="104"/>
        <v>120</v>
      </c>
      <c r="AI753">
        <f t="shared" si="105"/>
        <v>159</v>
      </c>
      <c r="AJ753" t="str">
        <f t="shared" si="106"/>
        <v/>
      </c>
      <c r="AK753">
        <f t="shared" si="107"/>
        <v>240</v>
      </c>
      <c r="AL753">
        <f t="shared" si="100"/>
        <v>384</v>
      </c>
      <c r="AM753">
        <f t="shared" si="101"/>
        <v>404</v>
      </c>
      <c r="AN753">
        <f t="shared" si="102"/>
        <v>292</v>
      </c>
      <c r="AO753" t="str">
        <f t="shared" si="103"/>
        <v/>
      </c>
    </row>
    <row r="754" spans="1:41">
      <c r="A754">
        <f t="shared" si="108"/>
        <v>750</v>
      </c>
      <c r="B754" t="s">
        <v>266</v>
      </c>
      <c r="C754">
        <v>5</v>
      </c>
      <c r="D754">
        <v>5</v>
      </c>
      <c r="E754" t="s">
        <v>385</v>
      </c>
      <c r="F754">
        <v>412</v>
      </c>
      <c r="G754">
        <v>1</v>
      </c>
      <c r="H754">
        <v>59</v>
      </c>
      <c r="I754" t="s">
        <v>386</v>
      </c>
      <c r="J754" t="s">
        <v>386</v>
      </c>
      <c r="K754">
        <v>1000000</v>
      </c>
      <c r="L754">
        <v>133</v>
      </c>
      <c r="M754">
        <v>133</v>
      </c>
      <c r="N754">
        <v>175</v>
      </c>
      <c r="O754">
        <v>0</v>
      </c>
      <c r="P754">
        <v>290</v>
      </c>
      <c r="Q754">
        <v>461</v>
      </c>
      <c r="R754">
        <v>503</v>
      </c>
      <c r="S754">
        <v>369</v>
      </c>
      <c r="T754">
        <v>0</v>
      </c>
      <c r="U754">
        <v>734</v>
      </c>
      <c r="V754">
        <v>8308.9208901700003</v>
      </c>
      <c r="AH754">
        <f t="shared" si="104"/>
        <v>133</v>
      </c>
      <c r="AI754">
        <f t="shared" si="105"/>
        <v>175</v>
      </c>
      <c r="AJ754" t="str">
        <f t="shared" si="106"/>
        <v/>
      </c>
      <c r="AK754">
        <f t="shared" si="107"/>
        <v>290</v>
      </c>
      <c r="AL754">
        <f t="shared" si="100"/>
        <v>461</v>
      </c>
      <c r="AM754">
        <f t="shared" si="101"/>
        <v>503</v>
      </c>
      <c r="AN754">
        <f t="shared" si="102"/>
        <v>369</v>
      </c>
      <c r="AO754" t="str">
        <f t="shared" si="103"/>
        <v/>
      </c>
    </row>
    <row r="755" spans="1:41">
      <c r="A755">
        <f t="shared" si="108"/>
        <v>751</v>
      </c>
      <c r="B755" t="s">
        <v>266</v>
      </c>
      <c r="C755">
        <v>5</v>
      </c>
      <c r="D755">
        <v>5</v>
      </c>
      <c r="E755" t="s">
        <v>385</v>
      </c>
      <c r="F755">
        <v>412</v>
      </c>
      <c r="G755">
        <v>1</v>
      </c>
      <c r="H755">
        <v>60</v>
      </c>
      <c r="I755" t="s">
        <v>386</v>
      </c>
      <c r="J755" t="s">
        <v>386</v>
      </c>
      <c r="K755">
        <v>1000000</v>
      </c>
      <c r="L755">
        <v>148</v>
      </c>
      <c r="M755">
        <v>148</v>
      </c>
      <c r="N755">
        <v>194</v>
      </c>
      <c r="O755">
        <v>0</v>
      </c>
      <c r="P755">
        <v>350</v>
      </c>
      <c r="Q755">
        <v>576</v>
      </c>
      <c r="R755">
        <v>630</v>
      </c>
      <c r="S755">
        <v>454</v>
      </c>
      <c r="T755">
        <v>0</v>
      </c>
      <c r="U755">
        <v>780</v>
      </c>
      <c r="V755">
        <v>8414.0862719300003</v>
      </c>
      <c r="AH755">
        <f t="shared" si="104"/>
        <v>148</v>
      </c>
      <c r="AI755">
        <f t="shared" si="105"/>
        <v>194</v>
      </c>
      <c r="AJ755" t="str">
        <f t="shared" si="106"/>
        <v/>
      </c>
      <c r="AK755">
        <f t="shared" si="107"/>
        <v>350</v>
      </c>
      <c r="AL755">
        <f t="shared" si="100"/>
        <v>576</v>
      </c>
      <c r="AM755">
        <f t="shared" si="101"/>
        <v>630</v>
      </c>
      <c r="AN755">
        <f t="shared" si="102"/>
        <v>454</v>
      </c>
      <c r="AO755" t="str">
        <f t="shared" si="103"/>
        <v/>
      </c>
    </row>
    <row r="756" spans="1:41">
      <c r="A756">
        <f t="shared" si="108"/>
        <v>752</v>
      </c>
      <c r="B756" t="s">
        <v>266</v>
      </c>
      <c r="C756">
        <v>5</v>
      </c>
      <c r="D756">
        <v>5</v>
      </c>
      <c r="E756" t="s">
        <v>385</v>
      </c>
      <c r="F756">
        <v>412</v>
      </c>
      <c r="G756">
        <v>1</v>
      </c>
      <c r="H756">
        <v>61</v>
      </c>
      <c r="I756" t="s">
        <v>386</v>
      </c>
      <c r="J756" t="s">
        <v>386</v>
      </c>
      <c r="K756">
        <v>1000000</v>
      </c>
      <c r="L756">
        <v>166</v>
      </c>
      <c r="M756">
        <v>166</v>
      </c>
      <c r="N756">
        <v>217</v>
      </c>
      <c r="O756">
        <v>0</v>
      </c>
      <c r="P756">
        <v>440</v>
      </c>
      <c r="Q756">
        <v>713</v>
      </c>
      <c r="R756">
        <v>762</v>
      </c>
      <c r="S756">
        <v>538</v>
      </c>
      <c r="T756">
        <v>0</v>
      </c>
      <c r="U756">
        <v>834</v>
      </c>
      <c r="V756">
        <v>8534.5564244199995</v>
      </c>
      <c r="AH756">
        <f t="shared" si="104"/>
        <v>166</v>
      </c>
      <c r="AI756">
        <f t="shared" si="105"/>
        <v>217</v>
      </c>
      <c r="AJ756" t="str">
        <f t="shared" si="106"/>
        <v/>
      </c>
      <c r="AK756">
        <f t="shared" si="107"/>
        <v>440</v>
      </c>
      <c r="AL756">
        <f t="shared" si="100"/>
        <v>713</v>
      </c>
      <c r="AM756">
        <f t="shared" si="101"/>
        <v>762</v>
      </c>
      <c r="AN756">
        <f t="shared" si="102"/>
        <v>538</v>
      </c>
      <c r="AO756" t="str">
        <f t="shared" si="103"/>
        <v/>
      </c>
    </row>
    <row r="757" spans="1:41">
      <c r="A757">
        <f t="shared" si="108"/>
        <v>753</v>
      </c>
      <c r="B757" t="s">
        <v>266</v>
      </c>
      <c r="C757">
        <v>5</v>
      </c>
      <c r="D757">
        <v>5</v>
      </c>
      <c r="E757" t="s">
        <v>385</v>
      </c>
      <c r="F757">
        <v>412</v>
      </c>
      <c r="G757">
        <v>1</v>
      </c>
      <c r="H757">
        <v>62</v>
      </c>
      <c r="I757" t="s">
        <v>386</v>
      </c>
      <c r="J757" t="s">
        <v>386</v>
      </c>
      <c r="K757">
        <v>1000000</v>
      </c>
      <c r="L757">
        <v>189</v>
      </c>
      <c r="M757">
        <v>189</v>
      </c>
      <c r="N757">
        <v>245</v>
      </c>
      <c r="O757">
        <v>0</v>
      </c>
      <c r="P757">
        <v>534</v>
      </c>
      <c r="Q757">
        <v>849</v>
      </c>
      <c r="R757">
        <v>899</v>
      </c>
      <c r="S757">
        <v>641</v>
      </c>
      <c r="T757">
        <v>0</v>
      </c>
      <c r="U757">
        <v>901</v>
      </c>
      <c r="V757">
        <v>8670.7367564199994</v>
      </c>
      <c r="AH757">
        <f t="shared" si="104"/>
        <v>189</v>
      </c>
      <c r="AI757">
        <f t="shared" si="105"/>
        <v>245</v>
      </c>
      <c r="AJ757" t="str">
        <f t="shared" si="106"/>
        <v/>
      </c>
      <c r="AK757">
        <f t="shared" si="107"/>
        <v>534</v>
      </c>
      <c r="AL757">
        <f t="shared" si="100"/>
        <v>849</v>
      </c>
      <c r="AM757">
        <f t="shared" si="101"/>
        <v>899</v>
      </c>
      <c r="AN757">
        <f t="shared" si="102"/>
        <v>641</v>
      </c>
      <c r="AO757" t="str">
        <f t="shared" si="103"/>
        <v/>
      </c>
    </row>
    <row r="758" spans="1:41">
      <c r="A758">
        <f t="shared" si="108"/>
        <v>754</v>
      </c>
      <c r="B758" t="s">
        <v>266</v>
      </c>
      <c r="C758">
        <v>5</v>
      </c>
      <c r="D758">
        <v>5</v>
      </c>
      <c r="E758" t="s">
        <v>385</v>
      </c>
      <c r="F758">
        <v>412</v>
      </c>
      <c r="G758">
        <v>1</v>
      </c>
      <c r="H758">
        <v>63</v>
      </c>
      <c r="I758" t="s">
        <v>386</v>
      </c>
      <c r="J758" t="s">
        <v>386</v>
      </c>
      <c r="K758">
        <v>1000000</v>
      </c>
      <c r="L758">
        <v>216</v>
      </c>
      <c r="M758">
        <v>216</v>
      </c>
      <c r="N758">
        <v>280</v>
      </c>
      <c r="O758">
        <v>0</v>
      </c>
      <c r="P758">
        <v>635</v>
      </c>
      <c r="Q758">
        <v>1012</v>
      </c>
      <c r="R758">
        <v>1090</v>
      </c>
      <c r="S758">
        <v>793</v>
      </c>
      <c r="T758">
        <v>0</v>
      </c>
      <c r="U758">
        <v>983</v>
      </c>
      <c r="V758">
        <v>8826.20119428</v>
      </c>
      <c r="AH758">
        <f t="shared" si="104"/>
        <v>216</v>
      </c>
      <c r="AI758">
        <f t="shared" si="105"/>
        <v>280</v>
      </c>
      <c r="AJ758" t="str">
        <f t="shared" si="106"/>
        <v/>
      </c>
      <c r="AK758">
        <f t="shared" si="107"/>
        <v>635</v>
      </c>
      <c r="AL758">
        <f t="shared" si="100"/>
        <v>1012</v>
      </c>
      <c r="AM758">
        <f t="shared" si="101"/>
        <v>1090</v>
      </c>
      <c r="AN758">
        <f t="shared" si="102"/>
        <v>793</v>
      </c>
      <c r="AO758" t="str">
        <f t="shared" si="103"/>
        <v/>
      </c>
    </row>
    <row r="759" spans="1:41">
      <c r="A759">
        <f t="shared" si="108"/>
        <v>755</v>
      </c>
      <c r="B759" t="s">
        <v>266</v>
      </c>
      <c r="C759">
        <v>5</v>
      </c>
      <c r="D759">
        <v>5</v>
      </c>
      <c r="E759" t="s">
        <v>385</v>
      </c>
      <c r="F759">
        <v>412</v>
      </c>
      <c r="G759">
        <v>1</v>
      </c>
      <c r="H759">
        <v>64</v>
      </c>
      <c r="I759" t="s">
        <v>386</v>
      </c>
      <c r="J759" t="s">
        <v>386</v>
      </c>
      <c r="K759">
        <v>1000000</v>
      </c>
      <c r="L759">
        <v>251</v>
      </c>
      <c r="M759">
        <v>251</v>
      </c>
      <c r="N759">
        <v>323</v>
      </c>
      <c r="O759">
        <v>0</v>
      </c>
      <c r="P759">
        <v>783</v>
      </c>
      <c r="Q759">
        <v>1277</v>
      </c>
      <c r="R759">
        <v>1407</v>
      </c>
      <c r="S759">
        <v>1050</v>
      </c>
      <c r="T759">
        <v>0</v>
      </c>
      <c r="U759">
        <v>1087</v>
      </c>
      <c r="V759">
        <v>9009.9424892900006</v>
      </c>
      <c r="AH759">
        <f t="shared" si="104"/>
        <v>251</v>
      </c>
      <c r="AI759">
        <f t="shared" si="105"/>
        <v>323</v>
      </c>
      <c r="AJ759" t="str">
        <f t="shared" si="106"/>
        <v/>
      </c>
      <c r="AK759">
        <f t="shared" si="107"/>
        <v>783</v>
      </c>
      <c r="AL759">
        <f t="shared" si="100"/>
        <v>1277</v>
      </c>
      <c r="AM759">
        <f t="shared" si="101"/>
        <v>1407</v>
      </c>
      <c r="AN759">
        <f t="shared" si="102"/>
        <v>1050</v>
      </c>
      <c r="AO759" t="str">
        <f t="shared" si="103"/>
        <v/>
      </c>
    </row>
    <row r="760" spans="1:41">
      <c r="A760">
        <f t="shared" si="108"/>
        <v>756</v>
      </c>
      <c r="B760" t="s">
        <v>266</v>
      </c>
      <c r="C760">
        <v>5</v>
      </c>
      <c r="D760">
        <v>5</v>
      </c>
      <c r="E760" t="s">
        <v>385</v>
      </c>
      <c r="F760">
        <v>412</v>
      </c>
      <c r="G760">
        <v>1</v>
      </c>
      <c r="H760">
        <v>65</v>
      </c>
      <c r="I760" t="s">
        <v>386</v>
      </c>
      <c r="J760" t="s">
        <v>386</v>
      </c>
      <c r="K760">
        <v>1000000</v>
      </c>
      <c r="L760">
        <v>295</v>
      </c>
      <c r="M760">
        <v>295</v>
      </c>
      <c r="N760">
        <v>380</v>
      </c>
      <c r="O760">
        <v>0</v>
      </c>
      <c r="P760">
        <v>1017</v>
      </c>
      <c r="Q760">
        <v>1682</v>
      </c>
      <c r="R760">
        <v>1875</v>
      </c>
      <c r="S760">
        <v>1388</v>
      </c>
      <c r="T760">
        <v>0</v>
      </c>
      <c r="U760">
        <v>1220</v>
      </c>
      <c r="V760">
        <v>9235.3388938999997</v>
      </c>
      <c r="AH760">
        <f t="shared" si="104"/>
        <v>295</v>
      </c>
      <c r="AI760">
        <f t="shared" si="105"/>
        <v>380</v>
      </c>
      <c r="AJ760" t="str">
        <f t="shared" si="106"/>
        <v/>
      </c>
      <c r="AK760">
        <f t="shared" si="107"/>
        <v>1017</v>
      </c>
      <c r="AL760">
        <f t="shared" si="100"/>
        <v>1682</v>
      </c>
      <c r="AM760">
        <f t="shared" si="101"/>
        <v>1875</v>
      </c>
      <c r="AN760">
        <f t="shared" si="102"/>
        <v>1388</v>
      </c>
      <c r="AO760" t="str">
        <f t="shared" si="103"/>
        <v/>
      </c>
    </row>
    <row r="761" spans="1:41">
      <c r="A761">
        <f t="shared" si="108"/>
        <v>757</v>
      </c>
      <c r="B761" t="s">
        <v>266</v>
      </c>
      <c r="C761">
        <v>5</v>
      </c>
      <c r="D761">
        <v>5</v>
      </c>
      <c r="E761" t="s">
        <v>385</v>
      </c>
      <c r="F761">
        <v>412</v>
      </c>
      <c r="G761">
        <v>1</v>
      </c>
      <c r="H761">
        <v>66</v>
      </c>
      <c r="I761" t="s">
        <v>386</v>
      </c>
      <c r="J761" t="s">
        <v>386</v>
      </c>
      <c r="K761">
        <v>1000000</v>
      </c>
      <c r="L761">
        <v>352</v>
      </c>
      <c r="M761">
        <v>352</v>
      </c>
      <c r="N761">
        <v>451</v>
      </c>
      <c r="O761">
        <v>0</v>
      </c>
      <c r="P761">
        <v>1326</v>
      </c>
      <c r="Q761">
        <v>2197</v>
      </c>
      <c r="R761">
        <v>2403</v>
      </c>
      <c r="S761">
        <v>1728</v>
      </c>
      <c r="T761">
        <v>0</v>
      </c>
      <c r="U761">
        <v>1389</v>
      </c>
      <c r="V761">
        <v>9513.4848415199995</v>
      </c>
      <c r="AH761">
        <f t="shared" si="104"/>
        <v>352</v>
      </c>
      <c r="AI761">
        <f t="shared" si="105"/>
        <v>451</v>
      </c>
      <c r="AJ761" t="str">
        <f t="shared" si="106"/>
        <v/>
      </c>
      <c r="AK761">
        <f t="shared" si="107"/>
        <v>1326</v>
      </c>
      <c r="AL761">
        <f t="shared" si="100"/>
        <v>2197</v>
      </c>
      <c r="AM761">
        <f t="shared" si="101"/>
        <v>2403</v>
      </c>
      <c r="AN761">
        <f t="shared" si="102"/>
        <v>1728</v>
      </c>
      <c r="AO761" t="str">
        <f t="shared" si="103"/>
        <v/>
      </c>
    </row>
    <row r="762" spans="1:41">
      <c r="A762">
        <f t="shared" si="108"/>
        <v>758</v>
      </c>
      <c r="B762" t="s">
        <v>266</v>
      </c>
      <c r="C762">
        <v>5</v>
      </c>
      <c r="D762">
        <v>5</v>
      </c>
      <c r="E762" t="s">
        <v>385</v>
      </c>
      <c r="F762">
        <v>412</v>
      </c>
      <c r="G762">
        <v>1</v>
      </c>
      <c r="H762">
        <v>67</v>
      </c>
      <c r="I762" t="s">
        <v>386</v>
      </c>
      <c r="J762" t="s">
        <v>386</v>
      </c>
      <c r="K762">
        <v>1000000</v>
      </c>
      <c r="L762">
        <v>420</v>
      </c>
      <c r="M762">
        <v>420</v>
      </c>
      <c r="N762">
        <v>537</v>
      </c>
      <c r="O762">
        <v>0</v>
      </c>
      <c r="P762">
        <v>1667</v>
      </c>
      <c r="Q762">
        <v>2690</v>
      </c>
      <c r="R762">
        <v>2851</v>
      </c>
      <c r="S762">
        <v>1981</v>
      </c>
      <c r="T762">
        <v>0</v>
      </c>
      <c r="U762">
        <v>1593</v>
      </c>
      <c r="V762">
        <v>9845.4235498800008</v>
      </c>
      <c r="AH762">
        <f t="shared" si="104"/>
        <v>420</v>
      </c>
      <c r="AI762">
        <f t="shared" si="105"/>
        <v>537</v>
      </c>
      <c r="AJ762" t="str">
        <f t="shared" si="106"/>
        <v/>
      </c>
      <c r="AK762">
        <f t="shared" si="107"/>
        <v>1667</v>
      </c>
      <c r="AL762">
        <f t="shared" si="100"/>
        <v>2690</v>
      </c>
      <c r="AM762">
        <f t="shared" si="101"/>
        <v>2851</v>
      </c>
      <c r="AN762">
        <f t="shared" si="102"/>
        <v>1981</v>
      </c>
      <c r="AO762" t="str">
        <f t="shared" si="103"/>
        <v/>
      </c>
    </row>
    <row r="763" spans="1:41">
      <c r="A763">
        <f t="shared" si="108"/>
        <v>759</v>
      </c>
      <c r="B763" t="s">
        <v>266</v>
      </c>
      <c r="C763">
        <v>5</v>
      </c>
      <c r="D763">
        <v>5</v>
      </c>
      <c r="E763" t="s">
        <v>385</v>
      </c>
      <c r="F763">
        <v>412</v>
      </c>
      <c r="G763">
        <v>1</v>
      </c>
      <c r="H763">
        <v>68</v>
      </c>
      <c r="I763" t="s">
        <v>386</v>
      </c>
      <c r="J763" t="s">
        <v>386</v>
      </c>
      <c r="K763">
        <v>1000000</v>
      </c>
      <c r="L763">
        <v>499</v>
      </c>
      <c r="M763">
        <v>499</v>
      </c>
      <c r="N763">
        <v>636</v>
      </c>
      <c r="O763">
        <v>0</v>
      </c>
      <c r="P763">
        <v>1939</v>
      </c>
      <c r="Q763">
        <v>3038</v>
      </c>
      <c r="R763">
        <v>3130</v>
      </c>
      <c r="S763">
        <v>2135</v>
      </c>
      <c r="T763">
        <v>0</v>
      </c>
      <c r="U763">
        <v>1829</v>
      </c>
      <c r="V763">
        <v>10219.635298880001</v>
      </c>
      <c r="AH763">
        <f t="shared" si="104"/>
        <v>499</v>
      </c>
      <c r="AI763">
        <f t="shared" si="105"/>
        <v>636</v>
      </c>
      <c r="AJ763" t="str">
        <f t="shared" si="106"/>
        <v/>
      </c>
      <c r="AK763">
        <f t="shared" si="107"/>
        <v>1939</v>
      </c>
      <c r="AL763">
        <f t="shared" si="100"/>
        <v>3038</v>
      </c>
      <c r="AM763">
        <f t="shared" si="101"/>
        <v>3130</v>
      </c>
      <c r="AN763">
        <f t="shared" si="102"/>
        <v>2135</v>
      </c>
      <c r="AO763" t="str">
        <f t="shared" si="103"/>
        <v/>
      </c>
    </row>
    <row r="764" spans="1:41">
      <c r="A764">
        <f t="shared" si="108"/>
        <v>760</v>
      </c>
      <c r="B764" t="s">
        <v>266</v>
      </c>
      <c r="C764">
        <v>5</v>
      </c>
      <c r="D764">
        <v>5</v>
      </c>
      <c r="E764" t="s">
        <v>385</v>
      </c>
      <c r="F764">
        <v>412</v>
      </c>
      <c r="G764">
        <v>1</v>
      </c>
      <c r="H764">
        <v>69</v>
      </c>
      <c r="I764" t="s">
        <v>386</v>
      </c>
      <c r="J764" t="s">
        <v>386</v>
      </c>
      <c r="K764">
        <v>1000000</v>
      </c>
      <c r="L764">
        <v>585</v>
      </c>
      <c r="M764">
        <v>585</v>
      </c>
      <c r="N764">
        <v>745</v>
      </c>
      <c r="O764">
        <v>0</v>
      </c>
      <c r="P764">
        <v>2102</v>
      </c>
      <c r="Q764">
        <v>3222</v>
      </c>
      <c r="R764">
        <v>3281</v>
      </c>
      <c r="S764">
        <v>2227</v>
      </c>
      <c r="T764">
        <v>0</v>
      </c>
      <c r="U764">
        <v>2088</v>
      </c>
      <c r="V764">
        <v>10616.685841889999</v>
      </c>
      <c r="AH764">
        <f t="shared" si="104"/>
        <v>585</v>
      </c>
      <c r="AI764">
        <f t="shared" si="105"/>
        <v>745</v>
      </c>
      <c r="AJ764" t="str">
        <f t="shared" si="106"/>
        <v/>
      </c>
      <c r="AK764">
        <f t="shared" si="107"/>
        <v>2102</v>
      </c>
      <c r="AL764">
        <f t="shared" si="100"/>
        <v>3222</v>
      </c>
      <c r="AM764">
        <f t="shared" si="101"/>
        <v>3281</v>
      </c>
      <c r="AN764">
        <f t="shared" si="102"/>
        <v>2227</v>
      </c>
      <c r="AO764" t="str">
        <f t="shared" si="103"/>
        <v/>
      </c>
    </row>
    <row r="765" spans="1:41">
      <c r="A765">
        <f t="shared" si="108"/>
        <v>761</v>
      </c>
      <c r="B765" t="s">
        <v>266</v>
      </c>
      <c r="C765">
        <v>5</v>
      </c>
      <c r="D765">
        <v>5</v>
      </c>
      <c r="E765" t="s">
        <v>385</v>
      </c>
      <c r="F765">
        <v>412</v>
      </c>
      <c r="G765">
        <v>1</v>
      </c>
      <c r="H765">
        <v>70</v>
      </c>
      <c r="I765" t="s">
        <v>386</v>
      </c>
      <c r="J765" t="s">
        <v>386</v>
      </c>
      <c r="K765">
        <v>1000000</v>
      </c>
      <c r="L765">
        <v>678</v>
      </c>
      <c r="M765">
        <v>678</v>
      </c>
      <c r="N765">
        <v>863</v>
      </c>
      <c r="O765">
        <v>0</v>
      </c>
      <c r="P765">
        <v>2200</v>
      </c>
      <c r="Q765">
        <v>3366</v>
      </c>
      <c r="R765">
        <v>3447</v>
      </c>
      <c r="S765">
        <v>2383</v>
      </c>
      <c r="T765">
        <v>0</v>
      </c>
      <c r="U765">
        <v>2366</v>
      </c>
      <c r="V765">
        <v>11018.70728409</v>
      </c>
      <c r="AH765">
        <f t="shared" si="104"/>
        <v>678</v>
      </c>
      <c r="AI765">
        <f t="shared" si="105"/>
        <v>863</v>
      </c>
      <c r="AJ765" t="str">
        <f t="shared" si="106"/>
        <v/>
      </c>
      <c r="AK765">
        <f t="shared" si="107"/>
        <v>2200</v>
      </c>
      <c r="AL765">
        <f t="shared" si="100"/>
        <v>3366</v>
      </c>
      <c r="AM765">
        <f t="shared" si="101"/>
        <v>3447</v>
      </c>
      <c r="AN765">
        <f t="shared" si="102"/>
        <v>2383</v>
      </c>
      <c r="AO765" t="str">
        <f t="shared" si="103"/>
        <v/>
      </c>
    </row>
    <row r="766" spans="1:41">
      <c r="A766">
        <f t="shared" si="108"/>
        <v>762</v>
      </c>
      <c r="B766" t="s">
        <v>266</v>
      </c>
      <c r="C766">
        <v>5</v>
      </c>
      <c r="D766">
        <v>5</v>
      </c>
      <c r="E766" t="s">
        <v>385</v>
      </c>
      <c r="F766">
        <v>412</v>
      </c>
      <c r="G766">
        <v>1</v>
      </c>
      <c r="H766">
        <v>71</v>
      </c>
      <c r="I766" t="s">
        <v>386</v>
      </c>
      <c r="J766" t="s">
        <v>386</v>
      </c>
      <c r="K766">
        <v>1000000</v>
      </c>
      <c r="L766">
        <v>779</v>
      </c>
      <c r="M766">
        <v>779</v>
      </c>
      <c r="N766">
        <v>990</v>
      </c>
      <c r="O766">
        <v>0</v>
      </c>
      <c r="P766">
        <v>2337</v>
      </c>
      <c r="Q766">
        <v>3618</v>
      </c>
      <c r="R766">
        <v>3785</v>
      </c>
      <c r="S766">
        <v>2663</v>
      </c>
      <c r="T766">
        <v>0</v>
      </c>
      <c r="U766">
        <v>2668</v>
      </c>
      <c r="V766">
        <v>11418.912710910001</v>
      </c>
      <c r="AH766">
        <f t="shared" si="104"/>
        <v>779</v>
      </c>
      <c r="AI766">
        <f t="shared" si="105"/>
        <v>990</v>
      </c>
      <c r="AJ766" t="str">
        <f t="shared" si="106"/>
        <v/>
      </c>
      <c r="AK766">
        <f t="shared" si="107"/>
        <v>2337</v>
      </c>
      <c r="AL766">
        <f t="shared" si="100"/>
        <v>3618</v>
      </c>
      <c r="AM766">
        <f t="shared" si="101"/>
        <v>3785</v>
      </c>
      <c r="AN766">
        <f t="shared" si="102"/>
        <v>2663</v>
      </c>
      <c r="AO766" t="str">
        <f t="shared" si="103"/>
        <v/>
      </c>
    </row>
    <row r="767" spans="1:41">
      <c r="A767">
        <f t="shared" si="108"/>
        <v>763</v>
      </c>
      <c r="B767" t="s">
        <v>266</v>
      </c>
      <c r="C767">
        <v>5</v>
      </c>
      <c r="D767">
        <v>5</v>
      </c>
      <c r="E767" t="s">
        <v>385</v>
      </c>
      <c r="F767">
        <v>412</v>
      </c>
      <c r="G767">
        <v>1</v>
      </c>
      <c r="H767">
        <v>72</v>
      </c>
      <c r="I767" t="s">
        <v>386</v>
      </c>
      <c r="J767" t="s">
        <v>386</v>
      </c>
      <c r="K767">
        <v>1000000</v>
      </c>
      <c r="L767">
        <v>891</v>
      </c>
      <c r="M767">
        <v>891</v>
      </c>
      <c r="N767">
        <v>1132</v>
      </c>
      <c r="O767">
        <v>0</v>
      </c>
      <c r="P767">
        <v>2588</v>
      </c>
      <c r="Q767">
        <v>4095</v>
      </c>
      <c r="R767">
        <v>4347</v>
      </c>
      <c r="S767">
        <v>3092</v>
      </c>
      <c r="T767">
        <v>0</v>
      </c>
      <c r="U767">
        <v>3004</v>
      </c>
      <c r="V767">
        <v>11825.065267559999</v>
      </c>
      <c r="AH767">
        <f t="shared" si="104"/>
        <v>891</v>
      </c>
      <c r="AI767">
        <f t="shared" si="105"/>
        <v>1132</v>
      </c>
      <c r="AJ767" t="str">
        <f t="shared" si="106"/>
        <v/>
      </c>
      <c r="AK767">
        <f t="shared" si="107"/>
        <v>2588</v>
      </c>
      <c r="AL767">
        <f t="shared" si="100"/>
        <v>4095</v>
      </c>
      <c r="AM767">
        <f t="shared" si="101"/>
        <v>4347</v>
      </c>
      <c r="AN767">
        <f t="shared" si="102"/>
        <v>3092</v>
      </c>
      <c r="AO767" t="str">
        <f t="shared" si="103"/>
        <v/>
      </c>
    </row>
    <row r="768" spans="1:41">
      <c r="A768">
        <f t="shared" si="108"/>
        <v>764</v>
      </c>
      <c r="B768" t="s">
        <v>266</v>
      </c>
      <c r="C768">
        <v>5</v>
      </c>
      <c r="D768">
        <v>5</v>
      </c>
      <c r="E768" t="s">
        <v>385</v>
      </c>
      <c r="F768">
        <v>412</v>
      </c>
      <c r="G768">
        <v>1</v>
      </c>
      <c r="H768">
        <v>73</v>
      </c>
      <c r="I768" t="s">
        <v>386</v>
      </c>
      <c r="J768" t="s">
        <v>386</v>
      </c>
      <c r="K768">
        <v>1000000</v>
      </c>
      <c r="L768">
        <v>1023</v>
      </c>
      <c r="M768">
        <v>1023</v>
      </c>
      <c r="N768">
        <v>1297</v>
      </c>
      <c r="O768">
        <v>0</v>
      </c>
      <c r="P768">
        <v>3039</v>
      </c>
      <c r="Q768">
        <v>4862</v>
      </c>
      <c r="R768">
        <v>5217</v>
      </c>
      <c r="S768">
        <v>3775</v>
      </c>
      <c r="T768">
        <v>0</v>
      </c>
      <c r="U768">
        <v>3397</v>
      </c>
      <c r="V768">
        <v>12254.956888610001</v>
      </c>
      <c r="AH768">
        <f t="shared" si="104"/>
        <v>1023</v>
      </c>
      <c r="AI768">
        <f t="shared" si="105"/>
        <v>1297</v>
      </c>
      <c r="AJ768" t="str">
        <f t="shared" si="106"/>
        <v/>
      </c>
      <c r="AK768">
        <f t="shared" si="107"/>
        <v>3039</v>
      </c>
      <c r="AL768">
        <f t="shared" si="100"/>
        <v>4862</v>
      </c>
      <c r="AM768">
        <f t="shared" si="101"/>
        <v>5217</v>
      </c>
      <c r="AN768">
        <f t="shared" si="102"/>
        <v>3775</v>
      </c>
      <c r="AO768" t="str">
        <f t="shared" si="103"/>
        <v/>
      </c>
    </row>
    <row r="769" spans="1:41">
      <c r="A769">
        <f t="shared" si="108"/>
        <v>765</v>
      </c>
      <c r="B769" t="s">
        <v>266</v>
      </c>
      <c r="C769">
        <v>5</v>
      </c>
      <c r="D769">
        <v>5</v>
      </c>
      <c r="E769" t="s">
        <v>385</v>
      </c>
      <c r="F769">
        <v>412</v>
      </c>
      <c r="G769">
        <v>1</v>
      </c>
      <c r="H769">
        <v>74</v>
      </c>
      <c r="I769" t="s">
        <v>386</v>
      </c>
      <c r="J769" t="s">
        <v>386</v>
      </c>
      <c r="K769">
        <v>1000000</v>
      </c>
      <c r="L769">
        <v>1180</v>
      </c>
      <c r="M769">
        <v>1180</v>
      </c>
      <c r="N769">
        <v>1497</v>
      </c>
      <c r="O769">
        <v>0</v>
      </c>
      <c r="P769">
        <v>3667</v>
      </c>
      <c r="Q769">
        <v>5913</v>
      </c>
      <c r="R769">
        <v>6409</v>
      </c>
      <c r="S769">
        <v>4620</v>
      </c>
      <c r="T769">
        <v>0</v>
      </c>
      <c r="U769">
        <v>3870</v>
      </c>
      <c r="V769">
        <v>12726.353846100001</v>
      </c>
      <c r="AH769">
        <f t="shared" si="104"/>
        <v>1180</v>
      </c>
      <c r="AI769">
        <f t="shared" si="105"/>
        <v>1497</v>
      </c>
      <c r="AJ769" t="str">
        <f t="shared" si="106"/>
        <v/>
      </c>
      <c r="AK769">
        <f t="shared" si="107"/>
        <v>3667</v>
      </c>
      <c r="AL769">
        <f t="shared" si="100"/>
        <v>5913</v>
      </c>
      <c r="AM769">
        <f t="shared" si="101"/>
        <v>6409</v>
      </c>
      <c r="AN769">
        <f t="shared" si="102"/>
        <v>4620</v>
      </c>
      <c r="AO769" t="str">
        <f t="shared" si="103"/>
        <v/>
      </c>
    </row>
    <row r="770" spans="1:41">
      <c r="A770">
        <f t="shared" si="108"/>
        <v>766</v>
      </c>
      <c r="B770" t="s">
        <v>266</v>
      </c>
      <c r="C770">
        <v>5</v>
      </c>
      <c r="D770">
        <v>5</v>
      </c>
      <c r="E770" t="s">
        <v>385</v>
      </c>
      <c r="F770">
        <v>412</v>
      </c>
      <c r="G770">
        <v>1</v>
      </c>
      <c r="H770">
        <v>75</v>
      </c>
      <c r="I770" t="s">
        <v>386</v>
      </c>
      <c r="J770" t="s">
        <v>386</v>
      </c>
      <c r="K770">
        <v>1000000</v>
      </c>
      <c r="L770">
        <v>1367</v>
      </c>
      <c r="M770">
        <v>1367</v>
      </c>
      <c r="N770">
        <v>1732</v>
      </c>
      <c r="O770">
        <v>0</v>
      </c>
      <c r="P770">
        <v>4424</v>
      </c>
      <c r="Q770">
        <v>7154</v>
      </c>
      <c r="R770">
        <v>7654</v>
      </c>
      <c r="S770">
        <v>5380</v>
      </c>
      <c r="T770">
        <v>0</v>
      </c>
      <c r="U770">
        <v>4428</v>
      </c>
      <c r="V770">
        <v>13248.85165855</v>
      </c>
      <c r="AH770">
        <f t="shared" si="104"/>
        <v>1367</v>
      </c>
      <c r="AI770">
        <f t="shared" si="105"/>
        <v>1732</v>
      </c>
      <c r="AJ770" t="str">
        <f t="shared" si="106"/>
        <v/>
      </c>
      <c r="AK770">
        <f t="shared" si="107"/>
        <v>4424</v>
      </c>
      <c r="AL770">
        <f t="shared" si="100"/>
        <v>7154</v>
      </c>
      <c r="AM770">
        <f t="shared" si="101"/>
        <v>7654</v>
      </c>
      <c r="AN770">
        <f t="shared" si="102"/>
        <v>5380</v>
      </c>
      <c r="AO770" t="str">
        <f t="shared" si="103"/>
        <v/>
      </c>
    </row>
    <row r="771" spans="1:41">
      <c r="A771">
        <f t="shared" si="108"/>
        <v>767</v>
      </c>
      <c r="B771" t="s">
        <v>266</v>
      </c>
      <c r="C771">
        <v>4</v>
      </c>
      <c r="D771">
        <v>4</v>
      </c>
      <c r="E771" t="s">
        <v>385</v>
      </c>
      <c r="F771">
        <v>412</v>
      </c>
      <c r="G771">
        <v>1</v>
      </c>
      <c r="H771">
        <v>76</v>
      </c>
      <c r="I771" t="s">
        <v>386</v>
      </c>
      <c r="J771" t="s">
        <v>386</v>
      </c>
      <c r="K771">
        <v>1000000</v>
      </c>
      <c r="L771">
        <v>1464</v>
      </c>
      <c r="M771">
        <v>1464</v>
      </c>
      <c r="N771">
        <v>1855</v>
      </c>
      <c r="O771">
        <v>0</v>
      </c>
      <c r="P771">
        <v>3795</v>
      </c>
      <c r="Q771">
        <v>5388</v>
      </c>
      <c r="R771">
        <v>4233</v>
      </c>
      <c r="S771">
        <v>0</v>
      </c>
      <c r="T771" t="s">
        <v>386</v>
      </c>
      <c r="U771">
        <v>3862</v>
      </c>
      <c r="V771">
        <v>12268.932324089999</v>
      </c>
      <c r="AH771">
        <f t="shared" si="104"/>
        <v>1464</v>
      </c>
      <c r="AI771">
        <f t="shared" si="105"/>
        <v>1855</v>
      </c>
      <c r="AJ771" t="str">
        <f t="shared" si="106"/>
        <v/>
      </c>
      <c r="AK771">
        <f t="shared" si="107"/>
        <v>3795</v>
      </c>
      <c r="AL771">
        <f t="shared" si="100"/>
        <v>5388</v>
      </c>
      <c r="AM771">
        <f t="shared" si="101"/>
        <v>4233</v>
      </c>
      <c r="AN771" t="str">
        <f t="shared" si="102"/>
        <v/>
      </c>
      <c r="AO771" t="e">
        <f t="shared" si="103"/>
        <v>#VALUE!</v>
      </c>
    </row>
    <row r="772" spans="1:41">
      <c r="A772">
        <f t="shared" si="108"/>
        <v>768</v>
      </c>
      <c r="B772" t="s">
        <v>266</v>
      </c>
      <c r="C772">
        <v>3</v>
      </c>
      <c r="D772">
        <v>3</v>
      </c>
      <c r="E772" t="s">
        <v>385</v>
      </c>
      <c r="F772">
        <v>412</v>
      </c>
      <c r="G772">
        <v>1</v>
      </c>
      <c r="H772">
        <v>77</v>
      </c>
      <c r="I772" t="s">
        <v>386</v>
      </c>
      <c r="J772" t="s">
        <v>386</v>
      </c>
      <c r="K772">
        <v>1000000</v>
      </c>
      <c r="L772">
        <v>1573</v>
      </c>
      <c r="M772">
        <v>1573</v>
      </c>
      <c r="N772">
        <v>1996</v>
      </c>
      <c r="O772">
        <v>0</v>
      </c>
      <c r="P772">
        <v>2827</v>
      </c>
      <c r="Q772">
        <v>2937</v>
      </c>
      <c r="R772">
        <v>0</v>
      </c>
      <c r="S772" t="s">
        <v>386</v>
      </c>
      <c r="T772" t="s">
        <v>386</v>
      </c>
      <c r="U772">
        <v>3207</v>
      </c>
      <c r="V772">
        <v>11186.819542040001</v>
      </c>
      <c r="AH772">
        <f t="shared" si="104"/>
        <v>1573</v>
      </c>
      <c r="AI772">
        <f t="shared" si="105"/>
        <v>1996</v>
      </c>
      <c r="AJ772" t="str">
        <f t="shared" si="106"/>
        <v/>
      </c>
      <c r="AK772">
        <f t="shared" si="107"/>
        <v>2827</v>
      </c>
      <c r="AL772">
        <f t="shared" si="100"/>
        <v>2937</v>
      </c>
      <c r="AM772" t="str">
        <f t="shared" si="101"/>
        <v/>
      </c>
      <c r="AN772" t="e">
        <f t="shared" si="102"/>
        <v>#VALUE!</v>
      </c>
      <c r="AO772" t="e">
        <f t="shared" si="103"/>
        <v>#VALUE!</v>
      </c>
    </row>
    <row r="773" spans="1:41">
      <c r="A773">
        <f t="shared" si="108"/>
        <v>769</v>
      </c>
      <c r="B773" t="s">
        <v>266</v>
      </c>
      <c r="C773">
        <v>2</v>
      </c>
      <c r="D773">
        <v>2</v>
      </c>
      <c r="E773" t="s">
        <v>385</v>
      </c>
      <c r="F773">
        <v>412</v>
      </c>
      <c r="G773">
        <v>1</v>
      </c>
      <c r="H773">
        <v>78</v>
      </c>
      <c r="I773" t="s">
        <v>386</v>
      </c>
      <c r="J773" t="s">
        <v>386</v>
      </c>
      <c r="K773">
        <v>1000000</v>
      </c>
      <c r="L773">
        <v>1694</v>
      </c>
      <c r="M773">
        <v>1694</v>
      </c>
      <c r="N773">
        <v>2154</v>
      </c>
      <c r="O773">
        <v>0</v>
      </c>
      <c r="P773">
        <v>1506</v>
      </c>
      <c r="Q773">
        <v>0</v>
      </c>
      <c r="R773" t="s">
        <v>386</v>
      </c>
      <c r="S773" t="s">
        <v>386</v>
      </c>
      <c r="T773" t="s">
        <v>386</v>
      </c>
      <c r="U773">
        <v>2440</v>
      </c>
      <c r="V773">
        <v>9989.9775444299994</v>
      </c>
      <c r="AH773">
        <f t="shared" si="104"/>
        <v>1694</v>
      </c>
      <c r="AI773">
        <f t="shared" si="105"/>
        <v>2154</v>
      </c>
      <c r="AJ773" t="str">
        <f t="shared" si="106"/>
        <v/>
      </c>
      <c r="AK773">
        <f t="shared" si="107"/>
        <v>1506</v>
      </c>
      <c r="AL773" t="str">
        <f t="shared" ref="AL773:AL836" si="109">IF(Q773=AC773, "", Q773-AC773)</f>
        <v/>
      </c>
      <c r="AM773" t="e">
        <f t="shared" ref="AM773:AM836" si="110">IF(R773=AD773, "", R773-AD773)</f>
        <v>#VALUE!</v>
      </c>
      <c r="AN773" t="e">
        <f t="shared" ref="AN773:AN836" si="111">IF(S773=AE773, "", S773-AE773)</f>
        <v>#VALUE!</v>
      </c>
      <c r="AO773" t="e">
        <f t="shared" ref="AO773:AO836" si="112">IF(T773=AF773, "", T773-AF773)</f>
        <v>#VALUE!</v>
      </c>
    </row>
    <row r="774" spans="1:41">
      <c r="A774">
        <f t="shared" si="108"/>
        <v>770</v>
      </c>
      <c r="B774" t="s">
        <v>266</v>
      </c>
      <c r="C774">
        <v>1</v>
      </c>
      <c r="D774">
        <v>1</v>
      </c>
      <c r="E774" t="s">
        <v>385</v>
      </c>
      <c r="F774">
        <v>412</v>
      </c>
      <c r="G774">
        <v>1</v>
      </c>
      <c r="H774">
        <v>79</v>
      </c>
      <c r="I774" t="s">
        <v>386</v>
      </c>
      <c r="J774" t="s">
        <v>386</v>
      </c>
      <c r="K774">
        <v>1000000</v>
      </c>
      <c r="L774">
        <v>1821</v>
      </c>
      <c r="M774">
        <v>1821</v>
      </c>
      <c r="N774">
        <v>2334</v>
      </c>
      <c r="O774">
        <v>0</v>
      </c>
      <c r="P774">
        <v>0</v>
      </c>
      <c r="Q774" t="s">
        <v>386</v>
      </c>
      <c r="R774" t="s">
        <v>386</v>
      </c>
      <c r="S774" t="s">
        <v>386</v>
      </c>
      <c r="T774" t="s">
        <v>386</v>
      </c>
      <c r="U774">
        <v>1510</v>
      </c>
      <c r="V774">
        <v>8668.1485303499994</v>
      </c>
      <c r="AH774">
        <f t="shared" ref="AH774:AH837" si="113">IF(L774=Y774, "",L774-Y774)</f>
        <v>1821</v>
      </c>
      <c r="AI774">
        <f t="shared" ref="AI774:AI837" si="114">IF(N774=Z774, "", N774-Z774)</f>
        <v>2334</v>
      </c>
      <c r="AJ774" t="str">
        <f t="shared" ref="AJ774:AJ837" si="115">IF(O774=AA774, "", O774-AA774)</f>
        <v/>
      </c>
      <c r="AK774" t="str">
        <f t="shared" ref="AK774:AK837" si="116">IF(P774=AB774, "", P774-AB774)</f>
        <v/>
      </c>
      <c r="AL774" t="e">
        <f t="shared" si="109"/>
        <v>#VALUE!</v>
      </c>
      <c r="AM774" t="e">
        <f t="shared" si="110"/>
        <v>#VALUE!</v>
      </c>
      <c r="AN774" t="e">
        <f t="shared" si="111"/>
        <v>#VALUE!</v>
      </c>
      <c r="AO774" t="e">
        <f t="shared" si="112"/>
        <v>#VALUE!</v>
      </c>
    </row>
    <row r="775" spans="1:41">
      <c r="A775">
        <f t="shared" ref="A775:A838" si="117">A774+1</f>
        <v>771</v>
      </c>
      <c r="B775" t="s">
        <v>266</v>
      </c>
      <c r="C775">
        <v>5</v>
      </c>
      <c r="D775">
        <v>5</v>
      </c>
      <c r="E775" t="s">
        <v>387</v>
      </c>
      <c r="F775">
        <v>412</v>
      </c>
      <c r="G775">
        <v>1</v>
      </c>
      <c r="H775">
        <v>30</v>
      </c>
      <c r="I775" t="s">
        <v>386</v>
      </c>
      <c r="J775" t="s">
        <v>386</v>
      </c>
      <c r="K775">
        <v>1000000</v>
      </c>
      <c r="L775">
        <v>4</v>
      </c>
      <c r="M775">
        <v>4</v>
      </c>
      <c r="N775">
        <v>13</v>
      </c>
      <c r="O775">
        <v>0</v>
      </c>
      <c r="P775">
        <v>13</v>
      </c>
      <c r="Q775">
        <v>21</v>
      </c>
      <c r="R775">
        <v>21</v>
      </c>
      <c r="S775">
        <v>15</v>
      </c>
      <c r="T775">
        <v>0</v>
      </c>
      <c r="U775">
        <v>350</v>
      </c>
      <c r="V775">
        <v>7265.9390977200001</v>
      </c>
      <c r="AH775">
        <f t="shared" si="113"/>
        <v>4</v>
      </c>
      <c r="AI775">
        <f t="shared" si="114"/>
        <v>13</v>
      </c>
      <c r="AJ775" t="str">
        <f t="shared" si="115"/>
        <v/>
      </c>
      <c r="AK775">
        <f t="shared" si="116"/>
        <v>13</v>
      </c>
      <c r="AL775">
        <f t="shared" si="109"/>
        <v>21</v>
      </c>
      <c r="AM775">
        <f t="shared" si="110"/>
        <v>21</v>
      </c>
      <c r="AN775">
        <f t="shared" si="111"/>
        <v>15</v>
      </c>
      <c r="AO775" t="str">
        <f t="shared" si="112"/>
        <v/>
      </c>
    </row>
    <row r="776" spans="1:41">
      <c r="A776">
        <f t="shared" si="117"/>
        <v>772</v>
      </c>
      <c r="B776" t="s">
        <v>266</v>
      </c>
      <c r="C776">
        <v>5</v>
      </c>
      <c r="D776">
        <v>5</v>
      </c>
      <c r="E776" t="s">
        <v>387</v>
      </c>
      <c r="F776">
        <v>412</v>
      </c>
      <c r="G776">
        <v>1</v>
      </c>
      <c r="H776">
        <v>31</v>
      </c>
      <c r="I776" t="s">
        <v>386</v>
      </c>
      <c r="J776" t="s">
        <v>386</v>
      </c>
      <c r="K776">
        <v>1000000</v>
      </c>
      <c r="L776">
        <v>5</v>
      </c>
      <c r="M776">
        <v>5</v>
      </c>
      <c r="N776">
        <v>13</v>
      </c>
      <c r="O776">
        <v>0</v>
      </c>
      <c r="P776">
        <v>16</v>
      </c>
      <c r="Q776">
        <v>24</v>
      </c>
      <c r="R776">
        <v>26</v>
      </c>
      <c r="S776">
        <v>20</v>
      </c>
      <c r="T776">
        <v>0</v>
      </c>
      <c r="U776">
        <v>352</v>
      </c>
      <c r="V776">
        <v>7270.6678246700003</v>
      </c>
      <c r="AH776">
        <f t="shared" si="113"/>
        <v>5</v>
      </c>
      <c r="AI776">
        <f t="shared" si="114"/>
        <v>13</v>
      </c>
      <c r="AJ776" t="str">
        <f t="shared" si="115"/>
        <v/>
      </c>
      <c r="AK776">
        <f t="shared" si="116"/>
        <v>16</v>
      </c>
      <c r="AL776">
        <f t="shared" si="109"/>
        <v>24</v>
      </c>
      <c r="AM776">
        <f t="shared" si="110"/>
        <v>26</v>
      </c>
      <c r="AN776">
        <f t="shared" si="111"/>
        <v>20</v>
      </c>
      <c r="AO776" t="str">
        <f t="shared" si="112"/>
        <v/>
      </c>
    </row>
    <row r="777" spans="1:41">
      <c r="A777">
        <f t="shared" si="117"/>
        <v>773</v>
      </c>
      <c r="B777" t="s">
        <v>266</v>
      </c>
      <c r="C777">
        <v>5</v>
      </c>
      <c r="D777">
        <v>5</v>
      </c>
      <c r="E777" t="s">
        <v>387</v>
      </c>
      <c r="F777">
        <v>412</v>
      </c>
      <c r="G777">
        <v>1</v>
      </c>
      <c r="H777">
        <v>32</v>
      </c>
      <c r="I777" t="s">
        <v>386</v>
      </c>
      <c r="J777" t="s">
        <v>386</v>
      </c>
      <c r="K777">
        <v>1000000</v>
      </c>
      <c r="L777">
        <v>6</v>
      </c>
      <c r="M777">
        <v>6</v>
      </c>
      <c r="N777">
        <v>14</v>
      </c>
      <c r="O777">
        <v>0</v>
      </c>
      <c r="P777">
        <v>16</v>
      </c>
      <c r="Q777">
        <v>26</v>
      </c>
      <c r="R777">
        <v>28</v>
      </c>
      <c r="S777">
        <v>16</v>
      </c>
      <c r="T777">
        <v>0</v>
      </c>
      <c r="U777">
        <v>354</v>
      </c>
      <c r="V777">
        <v>7275.8262926899997</v>
      </c>
      <c r="AH777">
        <f t="shared" si="113"/>
        <v>6</v>
      </c>
      <c r="AI777">
        <f t="shared" si="114"/>
        <v>14</v>
      </c>
      <c r="AJ777" t="str">
        <f t="shared" si="115"/>
        <v/>
      </c>
      <c r="AK777">
        <f t="shared" si="116"/>
        <v>16</v>
      </c>
      <c r="AL777">
        <f t="shared" si="109"/>
        <v>26</v>
      </c>
      <c r="AM777">
        <f t="shared" si="110"/>
        <v>28</v>
      </c>
      <c r="AN777">
        <f t="shared" si="111"/>
        <v>16</v>
      </c>
      <c r="AO777" t="str">
        <f t="shared" si="112"/>
        <v/>
      </c>
    </row>
    <row r="778" spans="1:41">
      <c r="A778">
        <f t="shared" si="117"/>
        <v>774</v>
      </c>
      <c r="B778" t="s">
        <v>266</v>
      </c>
      <c r="C778">
        <v>5</v>
      </c>
      <c r="D778">
        <v>5</v>
      </c>
      <c r="E778" t="s">
        <v>387</v>
      </c>
      <c r="F778">
        <v>412</v>
      </c>
      <c r="G778">
        <v>1</v>
      </c>
      <c r="H778">
        <v>33</v>
      </c>
      <c r="I778" t="s">
        <v>386</v>
      </c>
      <c r="J778" t="s">
        <v>386</v>
      </c>
      <c r="K778">
        <v>1000000</v>
      </c>
      <c r="L778">
        <v>6</v>
      </c>
      <c r="M778">
        <v>6</v>
      </c>
      <c r="N778">
        <v>15</v>
      </c>
      <c r="O778">
        <v>0</v>
      </c>
      <c r="P778">
        <v>19</v>
      </c>
      <c r="Q778">
        <v>30</v>
      </c>
      <c r="R778">
        <v>27</v>
      </c>
      <c r="S778">
        <v>21</v>
      </c>
      <c r="T778">
        <v>0</v>
      </c>
      <c r="U778">
        <v>356</v>
      </c>
      <c r="V778">
        <v>7281.5192180200002</v>
      </c>
      <c r="AH778">
        <f t="shared" si="113"/>
        <v>6</v>
      </c>
      <c r="AI778">
        <f t="shared" si="114"/>
        <v>15</v>
      </c>
      <c r="AJ778" t="str">
        <f t="shared" si="115"/>
        <v/>
      </c>
      <c r="AK778">
        <f t="shared" si="116"/>
        <v>19</v>
      </c>
      <c r="AL778">
        <f t="shared" si="109"/>
        <v>30</v>
      </c>
      <c r="AM778">
        <f t="shared" si="110"/>
        <v>27</v>
      </c>
      <c r="AN778">
        <f t="shared" si="111"/>
        <v>21</v>
      </c>
      <c r="AO778" t="str">
        <f t="shared" si="112"/>
        <v/>
      </c>
    </row>
    <row r="779" spans="1:41">
      <c r="A779">
        <f t="shared" si="117"/>
        <v>775</v>
      </c>
      <c r="B779" t="s">
        <v>266</v>
      </c>
      <c r="C779">
        <v>5</v>
      </c>
      <c r="D779">
        <v>5</v>
      </c>
      <c r="E779" t="s">
        <v>387</v>
      </c>
      <c r="F779">
        <v>412</v>
      </c>
      <c r="G779">
        <v>1</v>
      </c>
      <c r="H779">
        <v>34</v>
      </c>
      <c r="I779" t="s">
        <v>386</v>
      </c>
      <c r="J779" t="s">
        <v>386</v>
      </c>
      <c r="K779">
        <v>1000000</v>
      </c>
      <c r="L779">
        <v>7</v>
      </c>
      <c r="M779">
        <v>7</v>
      </c>
      <c r="N779">
        <v>16</v>
      </c>
      <c r="O779">
        <v>0</v>
      </c>
      <c r="P779">
        <v>22</v>
      </c>
      <c r="Q779">
        <v>29</v>
      </c>
      <c r="R779">
        <v>34</v>
      </c>
      <c r="S779">
        <v>24</v>
      </c>
      <c r="T779">
        <v>0</v>
      </c>
      <c r="U779">
        <v>359</v>
      </c>
      <c r="V779">
        <v>7287.7131281299999</v>
      </c>
      <c r="AH779">
        <f t="shared" si="113"/>
        <v>7</v>
      </c>
      <c r="AI779">
        <f t="shared" si="114"/>
        <v>16</v>
      </c>
      <c r="AJ779" t="str">
        <f t="shared" si="115"/>
        <v/>
      </c>
      <c r="AK779">
        <f t="shared" si="116"/>
        <v>22</v>
      </c>
      <c r="AL779">
        <f t="shared" si="109"/>
        <v>29</v>
      </c>
      <c r="AM779">
        <f t="shared" si="110"/>
        <v>34</v>
      </c>
      <c r="AN779">
        <f t="shared" si="111"/>
        <v>24</v>
      </c>
      <c r="AO779" t="str">
        <f t="shared" si="112"/>
        <v/>
      </c>
    </row>
    <row r="780" spans="1:41">
      <c r="A780">
        <f t="shared" si="117"/>
        <v>776</v>
      </c>
      <c r="B780" t="s">
        <v>266</v>
      </c>
      <c r="C780">
        <v>5</v>
      </c>
      <c r="D780">
        <v>5</v>
      </c>
      <c r="E780" t="s">
        <v>387</v>
      </c>
      <c r="F780">
        <v>412</v>
      </c>
      <c r="G780">
        <v>1</v>
      </c>
      <c r="H780">
        <v>35</v>
      </c>
      <c r="I780" t="s">
        <v>386</v>
      </c>
      <c r="J780" t="s">
        <v>386</v>
      </c>
      <c r="K780">
        <v>1000000</v>
      </c>
      <c r="L780">
        <v>8</v>
      </c>
      <c r="M780">
        <v>8</v>
      </c>
      <c r="N780">
        <v>18</v>
      </c>
      <c r="O780">
        <v>0</v>
      </c>
      <c r="P780">
        <v>19</v>
      </c>
      <c r="Q780">
        <v>36</v>
      </c>
      <c r="R780">
        <v>38</v>
      </c>
      <c r="S780">
        <v>26</v>
      </c>
      <c r="T780">
        <v>0</v>
      </c>
      <c r="U780">
        <v>362</v>
      </c>
      <c r="V780">
        <v>7294.2204298400002</v>
      </c>
      <c r="AH780">
        <f t="shared" si="113"/>
        <v>8</v>
      </c>
      <c r="AI780">
        <f t="shared" si="114"/>
        <v>18</v>
      </c>
      <c r="AJ780" t="str">
        <f t="shared" si="115"/>
        <v/>
      </c>
      <c r="AK780">
        <f t="shared" si="116"/>
        <v>19</v>
      </c>
      <c r="AL780">
        <f t="shared" si="109"/>
        <v>36</v>
      </c>
      <c r="AM780">
        <f t="shared" si="110"/>
        <v>38</v>
      </c>
      <c r="AN780">
        <f t="shared" si="111"/>
        <v>26</v>
      </c>
      <c r="AO780" t="str">
        <f t="shared" si="112"/>
        <v/>
      </c>
    </row>
    <row r="781" spans="1:41">
      <c r="A781">
        <f t="shared" si="117"/>
        <v>777</v>
      </c>
      <c r="B781" t="s">
        <v>266</v>
      </c>
      <c r="C781">
        <v>5</v>
      </c>
      <c r="D781">
        <v>5</v>
      </c>
      <c r="E781" t="s">
        <v>387</v>
      </c>
      <c r="F781">
        <v>412</v>
      </c>
      <c r="G781">
        <v>1</v>
      </c>
      <c r="H781">
        <v>36</v>
      </c>
      <c r="I781" t="s">
        <v>386</v>
      </c>
      <c r="J781" t="s">
        <v>386</v>
      </c>
      <c r="K781">
        <v>1000000</v>
      </c>
      <c r="L781">
        <v>9</v>
      </c>
      <c r="M781">
        <v>9</v>
      </c>
      <c r="N781">
        <v>19</v>
      </c>
      <c r="O781">
        <v>0</v>
      </c>
      <c r="P781">
        <v>30</v>
      </c>
      <c r="Q781">
        <v>46</v>
      </c>
      <c r="R781">
        <v>47</v>
      </c>
      <c r="S781">
        <v>35</v>
      </c>
      <c r="T781">
        <v>0</v>
      </c>
      <c r="U781">
        <v>365</v>
      </c>
      <c r="V781">
        <v>7300.9896603899997</v>
      </c>
      <c r="AH781">
        <f t="shared" si="113"/>
        <v>9</v>
      </c>
      <c r="AI781">
        <f t="shared" si="114"/>
        <v>19</v>
      </c>
      <c r="AJ781" t="str">
        <f t="shared" si="115"/>
        <v/>
      </c>
      <c r="AK781">
        <f t="shared" si="116"/>
        <v>30</v>
      </c>
      <c r="AL781">
        <f t="shared" si="109"/>
        <v>46</v>
      </c>
      <c r="AM781">
        <f t="shared" si="110"/>
        <v>47</v>
      </c>
      <c r="AN781">
        <f t="shared" si="111"/>
        <v>35</v>
      </c>
      <c r="AO781" t="str">
        <f t="shared" si="112"/>
        <v/>
      </c>
    </row>
    <row r="782" spans="1:41">
      <c r="A782">
        <f t="shared" si="117"/>
        <v>778</v>
      </c>
      <c r="B782" t="s">
        <v>266</v>
      </c>
      <c r="C782">
        <v>5</v>
      </c>
      <c r="D782">
        <v>5</v>
      </c>
      <c r="E782" t="s">
        <v>387</v>
      </c>
      <c r="F782">
        <v>412</v>
      </c>
      <c r="G782">
        <v>1</v>
      </c>
      <c r="H782">
        <v>37</v>
      </c>
      <c r="I782" t="s">
        <v>386</v>
      </c>
      <c r="J782" t="s">
        <v>386</v>
      </c>
      <c r="K782">
        <v>1000000</v>
      </c>
      <c r="L782">
        <v>11</v>
      </c>
      <c r="M782">
        <v>11</v>
      </c>
      <c r="N782">
        <v>21</v>
      </c>
      <c r="O782">
        <v>0</v>
      </c>
      <c r="P782">
        <v>33</v>
      </c>
      <c r="Q782">
        <v>52</v>
      </c>
      <c r="R782">
        <v>58</v>
      </c>
      <c r="S782">
        <v>41</v>
      </c>
      <c r="T782">
        <v>0</v>
      </c>
      <c r="U782">
        <v>369</v>
      </c>
      <c r="V782">
        <v>7307.9492641999996</v>
      </c>
      <c r="AH782">
        <f t="shared" si="113"/>
        <v>11</v>
      </c>
      <c r="AI782">
        <f t="shared" si="114"/>
        <v>21</v>
      </c>
      <c r="AJ782" t="str">
        <f t="shared" si="115"/>
        <v/>
      </c>
      <c r="AK782">
        <f t="shared" si="116"/>
        <v>33</v>
      </c>
      <c r="AL782">
        <f t="shared" si="109"/>
        <v>52</v>
      </c>
      <c r="AM782">
        <f t="shared" si="110"/>
        <v>58</v>
      </c>
      <c r="AN782">
        <f t="shared" si="111"/>
        <v>41</v>
      </c>
      <c r="AO782" t="str">
        <f t="shared" si="112"/>
        <v/>
      </c>
    </row>
    <row r="783" spans="1:41">
      <c r="A783">
        <f t="shared" si="117"/>
        <v>779</v>
      </c>
      <c r="B783" t="s">
        <v>266</v>
      </c>
      <c r="C783">
        <v>5</v>
      </c>
      <c r="D783">
        <v>5</v>
      </c>
      <c r="E783" t="s">
        <v>387</v>
      </c>
      <c r="F783">
        <v>412</v>
      </c>
      <c r="G783">
        <v>1</v>
      </c>
      <c r="H783">
        <v>38</v>
      </c>
      <c r="I783" t="s">
        <v>386</v>
      </c>
      <c r="J783" t="s">
        <v>386</v>
      </c>
      <c r="K783">
        <v>1000000</v>
      </c>
      <c r="L783">
        <v>13</v>
      </c>
      <c r="M783">
        <v>13</v>
      </c>
      <c r="N783">
        <v>23</v>
      </c>
      <c r="O783">
        <v>0</v>
      </c>
      <c r="P783">
        <v>39</v>
      </c>
      <c r="Q783">
        <v>65</v>
      </c>
      <c r="R783">
        <v>70</v>
      </c>
      <c r="S783">
        <v>50</v>
      </c>
      <c r="T783">
        <v>0</v>
      </c>
      <c r="U783">
        <v>374</v>
      </c>
      <c r="V783">
        <v>7315.3731495000002</v>
      </c>
      <c r="AH783">
        <f t="shared" si="113"/>
        <v>13</v>
      </c>
      <c r="AI783">
        <f t="shared" si="114"/>
        <v>23</v>
      </c>
      <c r="AJ783" t="str">
        <f t="shared" si="115"/>
        <v/>
      </c>
      <c r="AK783">
        <f t="shared" si="116"/>
        <v>39</v>
      </c>
      <c r="AL783">
        <f t="shared" si="109"/>
        <v>65</v>
      </c>
      <c r="AM783">
        <f t="shared" si="110"/>
        <v>70</v>
      </c>
      <c r="AN783">
        <f t="shared" si="111"/>
        <v>50</v>
      </c>
      <c r="AO783" t="str">
        <f t="shared" si="112"/>
        <v/>
      </c>
    </row>
    <row r="784" spans="1:41">
      <c r="A784">
        <f t="shared" si="117"/>
        <v>780</v>
      </c>
      <c r="B784" t="s">
        <v>266</v>
      </c>
      <c r="C784">
        <v>5</v>
      </c>
      <c r="D784">
        <v>5</v>
      </c>
      <c r="E784" t="s">
        <v>387</v>
      </c>
      <c r="F784">
        <v>412</v>
      </c>
      <c r="G784">
        <v>1</v>
      </c>
      <c r="H784">
        <v>39</v>
      </c>
      <c r="I784" t="s">
        <v>386</v>
      </c>
      <c r="J784" t="s">
        <v>386</v>
      </c>
      <c r="K784">
        <v>1000000</v>
      </c>
      <c r="L784">
        <v>14</v>
      </c>
      <c r="M784">
        <v>14</v>
      </c>
      <c r="N784">
        <v>25</v>
      </c>
      <c r="O784">
        <v>0</v>
      </c>
      <c r="P784">
        <v>48</v>
      </c>
      <c r="Q784">
        <v>76</v>
      </c>
      <c r="R784">
        <v>79</v>
      </c>
      <c r="S784">
        <v>54</v>
      </c>
      <c r="T784">
        <v>0</v>
      </c>
      <c r="U784">
        <v>380</v>
      </c>
      <c r="V784">
        <v>7323.5608996499996</v>
      </c>
      <c r="AH784">
        <f t="shared" si="113"/>
        <v>14</v>
      </c>
      <c r="AI784">
        <f t="shared" si="114"/>
        <v>25</v>
      </c>
      <c r="AJ784" t="str">
        <f t="shared" si="115"/>
        <v/>
      </c>
      <c r="AK784">
        <f t="shared" si="116"/>
        <v>48</v>
      </c>
      <c r="AL784">
        <f t="shared" si="109"/>
        <v>76</v>
      </c>
      <c r="AM784">
        <f t="shared" si="110"/>
        <v>79</v>
      </c>
      <c r="AN784">
        <f t="shared" si="111"/>
        <v>54</v>
      </c>
      <c r="AO784" t="str">
        <f t="shared" si="112"/>
        <v/>
      </c>
    </row>
    <row r="785" spans="1:41">
      <c r="A785">
        <f t="shared" si="117"/>
        <v>781</v>
      </c>
      <c r="B785" t="s">
        <v>266</v>
      </c>
      <c r="C785">
        <v>5</v>
      </c>
      <c r="D785">
        <v>5</v>
      </c>
      <c r="E785" t="s">
        <v>387</v>
      </c>
      <c r="F785">
        <v>412</v>
      </c>
      <c r="G785">
        <v>1</v>
      </c>
      <c r="H785">
        <v>40</v>
      </c>
      <c r="I785" t="s">
        <v>386</v>
      </c>
      <c r="J785" t="s">
        <v>386</v>
      </c>
      <c r="K785">
        <v>1000000</v>
      </c>
      <c r="L785">
        <v>17</v>
      </c>
      <c r="M785">
        <v>17</v>
      </c>
      <c r="N785">
        <v>28</v>
      </c>
      <c r="O785">
        <v>0</v>
      </c>
      <c r="P785">
        <v>53</v>
      </c>
      <c r="Q785">
        <v>84</v>
      </c>
      <c r="R785">
        <v>85</v>
      </c>
      <c r="S785">
        <v>60</v>
      </c>
      <c r="T785">
        <v>0</v>
      </c>
      <c r="U785">
        <v>387</v>
      </c>
      <c r="V785">
        <v>7332.5913374199999</v>
      </c>
      <c r="AH785">
        <f t="shared" si="113"/>
        <v>17</v>
      </c>
      <c r="AI785">
        <f t="shared" si="114"/>
        <v>28</v>
      </c>
      <c r="AJ785" t="str">
        <f t="shared" si="115"/>
        <v/>
      </c>
      <c r="AK785">
        <f t="shared" si="116"/>
        <v>53</v>
      </c>
      <c r="AL785">
        <f t="shared" si="109"/>
        <v>84</v>
      </c>
      <c r="AM785">
        <f t="shared" si="110"/>
        <v>85</v>
      </c>
      <c r="AN785">
        <f t="shared" si="111"/>
        <v>60</v>
      </c>
      <c r="AO785" t="str">
        <f t="shared" si="112"/>
        <v/>
      </c>
    </row>
    <row r="786" spans="1:41">
      <c r="A786">
        <f t="shared" si="117"/>
        <v>782</v>
      </c>
      <c r="B786" t="s">
        <v>266</v>
      </c>
      <c r="C786">
        <v>5</v>
      </c>
      <c r="D786">
        <v>5</v>
      </c>
      <c r="E786" t="s">
        <v>387</v>
      </c>
      <c r="F786">
        <v>412</v>
      </c>
      <c r="G786">
        <v>1</v>
      </c>
      <c r="H786">
        <v>41</v>
      </c>
      <c r="I786" t="s">
        <v>386</v>
      </c>
      <c r="J786" t="s">
        <v>386</v>
      </c>
      <c r="K786">
        <v>1000000</v>
      </c>
      <c r="L786">
        <v>19</v>
      </c>
      <c r="M786">
        <v>19</v>
      </c>
      <c r="N786">
        <v>31</v>
      </c>
      <c r="O786">
        <v>0</v>
      </c>
      <c r="P786">
        <v>60</v>
      </c>
      <c r="Q786">
        <v>91</v>
      </c>
      <c r="R786">
        <v>96</v>
      </c>
      <c r="S786">
        <v>68</v>
      </c>
      <c r="T786">
        <v>0</v>
      </c>
      <c r="U786">
        <v>394</v>
      </c>
      <c r="V786">
        <v>7342.2919279799999</v>
      </c>
      <c r="AH786">
        <f t="shared" si="113"/>
        <v>19</v>
      </c>
      <c r="AI786">
        <f t="shared" si="114"/>
        <v>31</v>
      </c>
      <c r="AJ786" t="str">
        <f t="shared" si="115"/>
        <v/>
      </c>
      <c r="AK786">
        <f t="shared" si="116"/>
        <v>60</v>
      </c>
      <c r="AL786">
        <f t="shared" si="109"/>
        <v>91</v>
      </c>
      <c r="AM786">
        <f t="shared" si="110"/>
        <v>96</v>
      </c>
      <c r="AN786">
        <f t="shared" si="111"/>
        <v>68</v>
      </c>
      <c r="AO786" t="str">
        <f t="shared" si="112"/>
        <v/>
      </c>
    </row>
    <row r="787" spans="1:41">
      <c r="A787">
        <f t="shared" si="117"/>
        <v>783</v>
      </c>
      <c r="B787" t="s">
        <v>266</v>
      </c>
      <c r="C787">
        <v>5</v>
      </c>
      <c r="D787">
        <v>5</v>
      </c>
      <c r="E787" t="s">
        <v>387</v>
      </c>
      <c r="F787">
        <v>412</v>
      </c>
      <c r="G787">
        <v>1</v>
      </c>
      <c r="H787">
        <v>42</v>
      </c>
      <c r="I787" t="s">
        <v>386</v>
      </c>
      <c r="J787" t="s">
        <v>386</v>
      </c>
      <c r="K787">
        <v>1000000</v>
      </c>
      <c r="L787">
        <v>22</v>
      </c>
      <c r="M787">
        <v>22</v>
      </c>
      <c r="N787">
        <v>35</v>
      </c>
      <c r="O787">
        <v>0</v>
      </c>
      <c r="P787">
        <v>63</v>
      </c>
      <c r="Q787">
        <v>99</v>
      </c>
      <c r="R787">
        <v>104</v>
      </c>
      <c r="S787">
        <v>68</v>
      </c>
      <c r="T787">
        <v>0</v>
      </c>
      <c r="U787">
        <v>402</v>
      </c>
      <c r="V787">
        <v>7352.6077635900001</v>
      </c>
      <c r="AH787">
        <f t="shared" si="113"/>
        <v>22</v>
      </c>
      <c r="AI787">
        <f t="shared" si="114"/>
        <v>35</v>
      </c>
      <c r="AJ787" t="str">
        <f t="shared" si="115"/>
        <v/>
      </c>
      <c r="AK787">
        <f t="shared" si="116"/>
        <v>63</v>
      </c>
      <c r="AL787">
        <f t="shared" si="109"/>
        <v>99</v>
      </c>
      <c r="AM787">
        <f t="shared" si="110"/>
        <v>104</v>
      </c>
      <c r="AN787">
        <f t="shared" si="111"/>
        <v>68</v>
      </c>
      <c r="AO787" t="str">
        <f t="shared" si="112"/>
        <v/>
      </c>
    </row>
    <row r="788" spans="1:41">
      <c r="A788">
        <f t="shared" si="117"/>
        <v>784</v>
      </c>
      <c r="B788" t="s">
        <v>266</v>
      </c>
      <c r="C788">
        <v>5</v>
      </c>
      <c r="D788">
        <v>5</v>
      </c>
      <c r="E788" t="s">
        <v>387</v>
      </c>
      <c r="F788">
        <v>412</v>
      </c>
      <c r="G788">
        <v>1</v>
      </c>
      <c r="H788">
        <v>43</v>
      </c>
      <c r="I788" t="s">
        <v>386</v>
      </c>
      <c r="J788" t="s">
        <v>386</v>
      </c>
      <c r="K788">
        <v>1000000</v>
      </c>
      <c r="L788">
        <v>25</v>
      </c>
      <c r="M788">
        <v>25</v>
      </c>
      <c r="N788">
        <v>38</v>
      </c>
      <c r="O788">
        <v>0</v>
      </c>
      <c r="P788">
        <v>69</v>
      </c>
      <c r="Q788">
        <v>107</v>
      </c>
      <c r="R788">
        <v>106</v>
      </c>
      <c r="S788">
        <v>73</v>
      </c>
      <c r="T788">
        <v>0</v>
      </c>
      <c r="U788">
        <v>411</v>
      </c>
      <c r="V788">
        <v>7362.98805189</v>
      </c>
      <c r="AH788">
        <f t="shared" si="113"/>
        <v>25</v>
      </c>
      <c r="AI788">
        <f t="shared" si="114"/>
        <v>38</v>
      </c>
      <c r="AJ788" t="str">
        <f t="shared" si="115"/>
        <v/>
      </c>
      <c r="AK788">
        <f t="shared" si="116"/>
        <v>69</v>
      </c>
      <c r="AL788">
        <f t="shared" si="109"/>
        <v>107</v>
      </c>
      <c r="AM788">
        <f t="shared" si="110"/>
        <v>106</v>
      </c>
      <c r="AN788">
        <f t="shared" si="111"/>
        <v>73</v>
      </c>
      <c r="AO788" t="str">
        <f t="shared" si="112"/>
        <v/>
      </c>
    </row>
    <row r="789" spans="1:41">
      <c r="A789">
        <f t="shared" si="117"/>
        <v>785</v>
      </c>
      <c r="B789" t="s">
        <v>266</v>
      </c>
      <c r="C789">
        <v>5</v>
      </c>
      <c r="D789">
        <v>5</v>
      </c>
      <c r="E789" t="s">
        <v>387</v>
      </c>
      <c r="F789">
        <v>412</v>
      </c>
      <c r="G789">
        <v>1</v>
      </c>
      <c r="H789">
        <v>44</v>
      </c>
      <c r="I789" t="s">
        <v>386</v>
      </c>
      <c r="J789" t="s">
        <v>386</v>
      </c>
      <c r="K789">
        <v>1000000</v>
      </c>
      <c r="L789">
        <v>28</v>
      </c>
      <c r="M789">
        <v>28</v>
      </c>
      <c r="N789">
        <v>42</v>
      </c>
      <c r="O789">
        <v>0</v>
      </c>
      <c r="P789">
        <v>75</v>
      </c>
      <c r="Q789">
        <v>113</v>
      </c>
      <c r="R789">
        <v>119</v>
      </c>
      <c r="S789">
        <v>87</v>
      </c>
      <c r="T789">
        <v>0</v>
      </c>
      <c r="U789">
        <v>420</v>
      </c>
      <c r="V789">
        <v>7372.55840119</v>
      </c>
      <c r="AH789">
        <f t="shared" si="113"/>
        <v>28</v>
      </c>
      <c r="AI789">
        <f t="shared" si="114"/>
        <v>42</v>
      </c>
      <c r="AJ789" t="str">
        <f t="shared" si="115"/>
        <v/>
      </c>
      <c r="AK789">
        <f t="shared" si="116"/>
        <v>75</v>
      </c>
      <c r="AL789">
        <f t="shared" si="109"/>
        <v>113</v>
      </c>
      <c r="AM789">
        <f t="shared" si="110"/>
        <v>119</v>
      </c>
      <c r="AN789">
        <f t="shared" si="111"/>
        <v>87</v>
      </c>
      <c r="AO789" t="str">
        <f t="shared" si="112"/>
        <v/>
      </c>
    </row>
    <row r="790" spans="1:41">
      <c r="A790">
        <f t="shared" si="117"/>
        <v>786</v>
      </c>
      <c r="B790" t="s">
        <v>266</v>
      </c>
      <c r="C790">
        <v>5</v>
      </c>
      <c r="D790">
        <v>5</v>
      </c>
      <c r="E790" t="s">
        <v>387</v>
      </c>
      <c r="F790">
        <v>412</v>
      </c>
      <c r="G790">
        <v>1</v>
      </c>
      <c r="H790">
        <v>45</v>
      </c>
      <c r="I790" t="s">
        <v>386</v>
      </c>
      <c r="J790" t="s">
        <v>386</v>
      </c>
      <c r="K790">
        <v>1000000</v>
      </c>
      <c r="L790">
        <v>32</v>
      </c>
      <c r="M790">
        <v>32</v>
      </c>
      <c r="N790">
        <v>47</v>
      </c>
      <c r="O790">
        <v>0</v>
      </c>
      <c r="P790">
        <v>83</v>
      </c>
      <c r="Q790">
        <v>136</v>
      </c>
      <c r="R790">
        <v>152</v>
      </c>
      <c r="S790">
        <v>114</v>
      </c>
      <c r="T790">
        <v>0</v>
      </c>
      <c r="U790">
        <v>432</v>
      </c>
      <c r="V790">
        <v>7380.6946237499997</v>
      </c>
      <c r="AH790">
        <f t="shared" si="113"/>
        <v>32</v>
      </c>
      <c r="AI790">
        <f t="shared" si="114"/>
        <v>47</v>
      </c>
      <c r="AJ790" t="str">
        <f t="shared" si="115"/>
        <v/>
      </c>
      <c r="AK790">
        <f t="shared" si="116"/>
        <v>83</v>
      </c>
      <c r="AL790">
        <f t="shared" si="109"/>
        <v>136</v>
      </c>
      <c r="AM790">
        <f t="shared" si="110"/>
        <v>152</v>
      </c>
      <c r="AN790">
        <f t="shared" si="111"/>
        <v>114</v>
      </c>
      <c r="AO790" t="str">
        <f t="shared" si="112"/>
        <v/>
      </c>
    </row>
    <row r="791" spans="1:41">
      <c r="A791">
        <f t="shared" si="117"/>
        <v>787</v>
      </c>
      <c r="B791" t="s">
        <v>266</v>
      </c>
      <c r="C791">
        <v>5</v>
      </c>
      <c r="D791">
        <v>5</v>
      </c>
      <c r="E791" t="s">
        <v>387</v>
      </c>
      <c r="F791">
        <v>412</v>
      </c>
      <c r="G791">
        <v>1</v>
      </c>
      <c r="H791">
        <v>46</v>
      </c>
      <c r="I791" t="s">
        <v>386</v>
      </c>
      <c r="J791" t="s">
        <v>386</v>
      </c>
      <c r="K791">
        <v>1000000</v>
      </c>
      <c r="L791">
        <v>36</v>
      </c>
      <c r="M791">
        <v>36</v>
      </c>
      <c r="N791">
        <v>53</v>
      </c>
      <c r="O791">
        <v>0</v>
      </c>
      <c r="P791">
        <v>107</v>
      </c>
      <c r="Q791">
        <v>179</v>
      </c>
      <c r="R791">
        <v>199</v>
      </c>
      <c r="S791">
        <v>143</v>
      </c>
      <c r="T791">
        <v>0</v>
      </c>
      <c r="U791">
        <v>446</v>
      </c>
      <c r="V791">
        <v>7387.0975858299998</v>
      </c>
      <c r="AH791">
        <f t="shared" si="113"/>
        <v>36</v>
      </c>
      <c r="AI791">
        <f t="shared" si="114"/>
        <v>53</v>
      </c>
      <c r="AJ791" t="str">
        <f t="shared" si="115"/>
        <v/>
      </c>
      <c r="AK791">
        <f t="shared" si="116"/>
        <v>107</v>
      </c>
      <c r="AL791">
        <f t="shared" si="109"/>
        <v>179</v>
      </c>
      <c r="AM791">
        <f t="shared" si="110"/>
        <v>199</v>
      </c>
      <c r="AN791">
        <f t="shared" si="111"/>
        <v>143</v>
      </c>
      <c r="AO791" t="str">
        <f t="shared" si="112"/>
        <v/>
      </c>
    </row>
    <row r="792" spans="1:41">
      <c r="A792">
        <f t="shared" si="117"/>
        <v>788</v>
      </c>
      <c r="B792" t="s">
        <v>266</v>
      </c>
      <c r="C792">
        <v>5</v>
      </c>
      <c r="D792">
        <v>5</v>
      </c>
      <c r="E792" t="s">
        <v>387</v>
      </c>
      <c r="F792">
        <v>412</v>
      </c>
      <c r="G792">
        <v>1</v>
      </c>
      <c r="H792">
        <v>47</v>
      </c>
      <c r="I792" t="s">
        <v>386</v>
      </c>
      <c r="J792" t="s">
        <v>386</v>
      </c>
      <c r="K792">
        <v>1000000</v>
      </c>
      <c r="L792">
        <v>42</v>
      </c>
      <c r="M792">
        <v>42</v>
      </c>
      <c r="N792">
        <v>60</v>
      </c>
      <c r="O792">
        <v>0</v>
      </c>
      <c r="P792">
        <v>136</v>
      </c>
      <c r="Q792">
        <v>222</v>
      </c>
      <c r="R792">
        <v>234</v>
      </c>
      <c r="S792">
        <v>161</v>
      </c>
      <c r="T792">
        <v>0</v>
      </c>
      <c r="U792">
        <v>463</v>
      </c>
      <c r="V792">
        <v>7391.7506230899999</v>
      </c>
      <c r="AH792">
        <f t="shared" si="113"/>
        <v>42</v>
      </c>
      <c r="AI792">
        <f t="shared" si="114"/>
        <v>60</v>
      </c>
      <c r="AJ792" t="str">
        <f t="shared" si="115"/>
        <v/>
      </c>
      <c r="AK792">
        <f t="shared" si="116"/>
        <v>136</v>
      </c>
      <c r="AL792">
        <f t="shared" si="109"/>
        <v>222</v>
      </c>
      <c r="AM792">
        <f t="shared" si="110"/>
        <v>234</v>
      </c>
      <c r="AN792">
        <f t="shared" si="111"/>
        <v>161</v>
      </c>
      <c r="AO792" t="str">
        <f t="shared" si="112"/>
        <v/>
      </c>
    </row>
    <row r="793" spans="1:41">
      <c r="A793">
        <f t="shared" si="117"/>
        <v>789</v>
      </c>
      <c r="B793" t="s">
        <v>266</v>
      </c>
      <c r="C793">
        <v>5</v>
      </c>
      <c r="D793">
        <v>5</v>
      </c>
      <c r="E793" t="s">
        <v>387</v>
      </c>
      <c r="F793">
        <v>412</v>
      </c>
      <c r="G793">
        <v>1</v>
      </c>
      <c r="H793">
        <v>48</v>
      </c>
      <c r="I793" t="s">
        <v>386</v>
      </c>
      <c r="J793" t="s">
        <v>386</v>
      </c>
      <c r="K793">
        <v>1000000</v>
      </c>
      <c r="L793">
        <v>48</v>
      </c>
      <c r="M793">
        <v>48</v>
      </c>
      <c r="N793">
        <v>68</v>
      </c>
      <c r="O793">
        <v>0</v>
      </c>
      <c r="P793">
        <v>156</v>
      </c>
      <c r="Q793">
        <v>239</v>
      </c>
      <c r="R793">
        <v>239</v>
      </c>
      <c r="S793">
        <v>153</v>
      </c>
      <c r="T793">
        <v>0</v>
      </c>
      <c r="U793">
        <v>481</v>
      </c>
      <c r="V793">
        <v>7395.3781401400001</v>
      </c>
      <c r="AH793">
        <f t="shared" si="113"/>
        <v>48</v>
      </c>
      <c r="AI793">
        <f t="shared" si="114"/>
        <v>68</v>
      </c>
      <c r="AJ793" t="str">
        <f t="shared" si="115"/>
        <v/>
      </c>
      <c r="AK793">
        <f t="shared" si="116"/>
        <v>156</v>
      </c>
      <c r="AL793">
        <f t="shared" si="109"/>
        <v>239</v>
      </c>
      <c r="AM793">
        <f t="shared" si="110"/>
        <v>239</v>
      </c>
      <c r="AN793">
        <f t="shared" si="111"/>
        <v>153</v>
      </c>
      <c r="AO793" t="str">
        <f t="shared" si="112"/>
        <v/>
      </c>
    </row>
    <row r="794" spans="1:41">
      <c r="A794">
        <f t="shared" si="117"/>
        <v>790</v>
      </c>
      <c r="B794" t="s">
        <v>266</v>
      </c>
      <c r="C794">
        <v>5</v>
      </c>
      <c r="D794">
        <v>5</v>
      </c>
      <c r="E794" t="s">
        <v>387</v>
      </c>
      <c r="F794">
        <v>412</v>
      </c>
      <c r="G794">
        <v>1</v>
      </c>
      <c r="H794">
        <v>49</v>
      </c>
      <c r="I794" t="s">
        <v>386</v>
      </c>
      <c r="J794" t="s">
        <v>386</v>
      </c>
      <c r="K794">
        <v>1000000</v>
      </c>
      <c r="L794">
        <v>54</v>
      </c>
      <c r="M794">
        <v>54</v>
      </c>
      <c r="N794">
        <v>76</v>
      </c>
      <c r="O794">
        <v>0</v>
      </c>
      <c r="P794">
        <v>156</v>
      </c>
      <c r="Q794">
        <v>229</v>
      </c>
      <c r="R794">
        <v>219</v>
      </c>
      <c r="S794">
        <v>144</v>
      </c>
      <c r="T794">
        <v>0</v>
      </c>
      <c r="U794">
        <v>499</v>
      </c>
      <c r="V794">
        <v>7399.30267809</v>
      </c>
      <c r="AH794">
        <f t="shared" si="113"/>
        <v>54</v>
      </c>
      <c r="AI794">
        <f t="shared" si="114"/>
        <v>76</v>
      </c>
      <c r="AJ794" t="str">
        <f t="shared" si="115"/>
        <v/>
      </c>
      <c r="AK794">
        <f t="shared" si="116"/>
        <v>156</v>
      </c>
      <c r="AL794">
        <f t="shared" si="109"/>
        <v>229</v>
      </c>
      <c r="AM794">
        <f t="shared" si="110"/>
        <v>219</v>
      </c>
      <c r="AN794">
        <f t="shared" si="111"/>
        <v>144</v>
      </c>
      <c r="AO794" t="str">
        <f t="shared" si="112"/>
        <v/>
      </c>
    </row>
    <row r="795" spans="1:41">
      <c r="A795">
        <f t="shared" si="117"/>
        <v>791</v>
      </c>
      <c r="B795" t="s">
        <v>266</v>
      </c>
      <c r="C795">
        <v>5</v>
      </c>
      <c r="D795">
        <v>5</v>
      </c>
      <c r="E795" t="s">
        <v>387</v>
      </c>
      <c r="F795">
        <v>412</v>
      </c>
      <c r="G795">
        <v>1</v>
      </c>
      <c r="H795">
        <v>50</v>
      </c>
      <c r="I795" t="s">
        <v>386</v>
      </c>
      <c r="J795" t="s">
        <v>386</v>
      </c>
      <c r="K795">
        <v>1000000</v>
      </c>
      <c r="L795">
        <v>60</v>
      </c>
      <c r="M795">
        <v>60</v>
      </c>
      <c r="N795">
        <v>83</v>
      </c>
      <c r="O795">
        <v>0</v>
      </c>
      <c r="P795">
        <v>141</v>
      </c>
      <c r="Q795">
        <v>200</v>
      </c>
      <c r="R795">
        <v>195</v>
      </c>
      <c r="S795">
        <v>124</v>
      </c>
      <c r="T795">
        <v>0</v>
      </c>
      <c r="U795">
        <v>517</v>
      </c>
      <c r="V795">
        <v>7404.6995771600004</v>
      </c>
      <c r="AH795">
        <f t="shared" si="113"/>
        <v>60</v>
      </c>
      <c r="AI795">
        <f t="shared" si="114"/>
        <v>83</v>
      </c>
      <c r="AJ795" t="str">
        <f t="shared" si="115"/>
        <v/>
      </c>
      <c r="AK795">
        <f t="shared" si="116"/>
        <v>141</v>
      </c>
      <c r="AL795">
        <f t="shared" si="109"/>
        <v>200</v>
      </c>
      <c r="AM795">
        <f t="shared" si="110"/>
        <v>195</v>
      </c>
      <c r="AN795">
        <f t="shared" si="111"/>
        <v>124</v>
      </c>
      <c r="AO795" t="str">
        <f t="shared" si="112"/>
        <v/>
      </c>
    </row>
    <row r="796" spans="1:41">
      <c r="A796">
        <f t="shared" si="117"/>
        <v>792</v>
      </c>
      <c r="B796" t="s">
        <v>266</v>
      </c>
      <c r="C796">
        <v>5</v>
      </c>
      <c r="D796">
        <v>5</v>
      </c>
      <c r="E796" t="s">
        <v>387</v>
      </c>
      <c r="F796">
        <v>412</v>
      </c>
      <c r="G796">
        <v>1</v>
      </c>
      <c r="H796">
        <v>51</v>
      </c>
      <c r="I796" t="s">
        <v>386</v>
      </c>
      <c r="J796" t="s">
        <v>386</v>
      </c>
      <c r="K796">
        <v>1000000</v>
      </c>
      <c r="L796">
        <v>66</v>
      </c>
      <c r="M796">
        <v>66</v>
      </c>
      <c r="N796">
        <v>90</v>
      </c>
      <c r="O796">
        <v>0</v>
      </c>
      <c r="P796">
        <v>124</v>
      </c>
      <c r="Q796">
        <v>185</v>
      </c>
      <c r="R796">
        <v>182</v>
      </c>
      <c r="S796">
        <v>128</v>
      </c>
      <c r="T796">
        <v>0</v>
      </c>
      <c r="U796">
        <v>534</v>
      </c>
      <c r="V796">
        <v>7412.2736129200002</v>
      </c>
      <c r="AH796">
        <f t="shared" si="113"/>
        <v>66</v>
      </c>
      <c r="AI796">
        <f t="shared" si="114"/>
        <v>90</v>
      </c>
      <c r="AJ796" t="str">
        <f t="shared" si="115"/>
        <v/>
      </c>
      <c r="AK796">
        <f t="shared" si="116"/>
        <v>124</v>
      </c>
      <c r="AL796">
        <f t="shared" si="109"/>
        <v>185</v>
      </c>
      <c r="AM796">
        <f t="shared" si="110"/>
        <v>182</v>
      </c>
      <c r="AN796">
        <f t="shared" si="111"/>
        <v>128</v>
      </c>
      <c r="AO796" t="str">
        <f t="shared" si="112"/>
        <v/>
      </c>
    </row>
    <row r="797" spans="1:41">
      <c r="A797">
        <f t="shared" si="117"/>
        <v>793</v>
      </c>
      <c r="B797" t="s">
        <v>266</v>
      </c>
      <c r="C797">
        <v>5</v>
      </c>
      <c r="D797">
        <v>5</v>
      </c>
      <c r="E797" t="s">
        <v>387</v>
      </c>
      <c r="F797">
        <v>412</v>
      </c>
      <c r="G797">
        <v>1</v>
      </c>
      <c r="H797">
        <v>52</v>
      </c>
      <c r="I797" t="s">
        <v>386</v>
      </c>
      <c r="J797" t="s">
        <v>386</v>
      </c>
      <c r="K797">
        <v>1000000</v>
      </c>
      <c r="L797">
        <v>71</v>
      </c>
      <c r="M797">
        <v>71</v>
      </c>
      <c r="N797">
        <v>97</v>
      </c>
      <c r="O797">
        <v>0</v>
      </c>
      <c r="P797">
        <v>126</v>
      </c>
      <c r="Q797">
        <v>190</v>
      </c>
      <c r="R797">
        <v>203</v>
      </c>
      <c r="S797">
        <v>145</v>
      </c>
      <c r="T797">
        <v>0</v>
      </c>
      <c r="U797">
        <v>550</v>
      </c>
      <c r="V797">
        <v>7422.6181510400002</v>
      </c>
      <c r="AH797">
        <f t="shared" si="113"/>
        <v>71</v>
      </c>
      <c r="AI797">
        <f t="shared" si="114"/>
        <v>97</v>
      </c>
      <c r="AJ797" t="str">
        <f t="shared" si="115"/>
        <v/>
      </c>
      <c r="AK797">
        <f t="shared" si="116"/>
        <v>126</v>
      </c>
      <c r="AL797">
        <f t="shared" si="109"/>
        <v>190</v>
      </c>
      <c r="AM797">
        <f t="shared" si="110"/>
        <v>203</v>
      </c>
      <c r="AN797">
        <f t="shared" si="111"/>
        <v>145</v>
      </c>
      <c r="AO797" t="str">
        <f t="shared" si="112"/>
        <v/>
      </c>
    </row>
    <row r="798" spans="1:41">
      <c r="A798">
        <f t="shared" si="117"/>
        <v>794</v>
      </c>
      <c r="B798" t="s">
        <v>266</v>
      </c>
      <c r="C798">
        <v>5</v>
      </c>
      <c r="D798">
        <v>5</v>
      </c>
      <c r="E798" t="s">
        <v>387</v>
      </c>
      <c r="F798">
        <v>412</v>
      </c>
      <c r="G798">
        <v>1</v>
      </c>
      <c r="H798">
        <v>53</v>
      </c>
      <c r="I798" t="s">
        <v>386</v>
      </c>
      <c r="J798" t="s">
        <v>386</v>
      </c>
      <c r="K798">
        <v>1000000</v>
      </c>
      <c r="L798">
        <v>77</v>
      </c>
      <c r="M798">
        <v>77</v>
      </c>
      <c r="N798">
        <v>105</v>
      </c>
      <c r="O798">
        <v>0</v>
      </c>
      <c r="P798">
        <v>135</v>
      </c>
      <c r="Q798">
        <v>221</v>
      </c>
      <c r="R798">
        <v>238</v>
      </c>
      <c r="S798">
        <v>169</v>
      </c>
      <c r="T798">
        <v>0</v>
      </c>
      <c r="U798">
        <v>569</v>
      </c>
      <c r="V798">
        <v>7435.6748022299998</v>
      </c>
      <c r="AH798">
        <f t="shared" si="113"/>
        <v>77</v>
      </c>
      <c r="AI798">
        <f t="shared" si="114"/>
        <v>105</v>
      </c>
      <c r="AJ798" t="str">
        <f t="shared" si="115"/>
        <v/>
      </c>
      <c r="AK798">
        <f t="shared" si="116"/>
        <v>135</v>
      </c>
      <c r="AL798">
        <f t="shared" si="109"/>
        <v>221</v>
      </c>
      <c r="AM798">
        <f t="shared" si="110"/>
        <v>238</v>
      </c>
      <c r="AN798">
        <f t="shared" si="111"/>
        <v>169</v>
      </c>
      <c r="AO798" t="str">
        <f t="shared" si="112"/>
        <v/>
      </c>
    </row>
    <row r="799" spans="1:41">
      <c r="A799">
        <f t="shared" si="117"/>
        <v>795</v>
      </c>
      <c r="B799" t="s">
        <v>266</v>
      </c>
      <c r="C799">
        <v>5</v>
      </c>
      <c r="D799">
        <v>5</v>
      </c>
      <c r="E799" t="s">
        <v>387</v>
      </c>
      <c r="F799">
        <v>412</v>
      </c>
      <c r="G799">
        <v>1</v>
      </c>
      <c r="H799">
        <v>54</v>
      </c>
      <c r="I799" t="s">
        <v>386</v>
      </c>
      <c r="J799" t="s">
        <v>386</v>
      </c>
      <c r="K799">
        <v>1000000</v>
      </c>
      <c r="L799">
        <v>84</v>
      </c>
      <c r="M799">
        <v>84</v>
      </c>
      <c r="N799">
        <v>113</v>
      </c>
      <c r="O799">
        <v>0</v>
      </c>
      <c r="P799">
        <v>165</v>
      </c>
      <c r="Q799">
        <v>262</v>
      </c>
      <c r="R799">
        <v>276</v>
      </c>
      <c r="S799">
        <v>192</v>
      </c>
      <c r="T799">
        <v>0</v>
      </c>
      <c r="U799">
        <v>589</v>
      </c>
      <c r="V799">
        <v>7451.1427763900001</v>
      </c>
      <c r="AH799">
        <f t="shared" si="113"/>
        <v>84</v>
      </c>
      <c r="AI799">
        <f t="shared" si="114"/>
        <v>113</v>
      </c>
      <c r="AJ799" t="str">
        <f t="shared" si="115"/>
        <v/>
      </c>
      <c r="AK799">
        <f t="shared" si="116"/>
        <v>165</v>
      </c>
      <c r="AL799">
        <f t="shared" si="109"/>
        <v>262</v>
      </c>
      <c r="AM799">
        <f t="shared" si="110"/>
        <v>276</v>
      </c>
      <c r="AN799">
        <f t="shared" si="111"/>
        <v>192</v>
      </c>
      <c r="AO799" t="str">
        <f t="shared" si="112"/>
        <v/>
      </c>
    </row>
    <row r="800" spans="1:41">
      <c r="A800">
        <f t="shared" si="117"/>
        <v>796</v>
      </c>
      <c r="B800" t="s">
        <v>266</v>
      </c>
      <c r="C800">
        <v>5</v>
      </c>
      <c r="D800">
        <v>5</v>
      </c>
      <c r="E800" t="s">
        <v>387</v>
      </c>
      <c r="F800">
        <v>412</v>
      </c>
      <c r="G800">
        <v>1</v>
      </c>
      <c r="H800">
        <v>55</v>
      </c>
      <c r="I800" t="s">
        <v>386</v>
      </c>
      <c r="J800" t="s">
        <v>386</v>
      </c>
      <c r="K800">
        <v>1000000</v>
      </c>
      <c r="L800">
        <v>92</v>
      </c>
      <c r="M800">
        <v>92</v>
      </c>
      <c r="N800">
        <v>123</v>
      </c>
      <c r="O800">
        <v>0</v>
      </c>
      <c r="P800">
        <v>186</v>
      </c>
      <c r="Q800">
        <v>290</v>
      </c>
      <c r="R800">
        <v>299</v>
      </c>
      <c r="S800">
        <v>202</v>
      </c>
      <c r="T800">
        <v>0</v>
      </c>
      <c r="U800">
        <v>612</v>
      </c>
      <c r="V800">
        <v>7468.5111201199998</v>
      </c>
      <c r="AH800">
        <f t="shared" si="113"/>
        <v>92</v>
      </c>
      <c r="AI800">
        <f t="shared" si="114"/>
        <v>123</v>
      </c>
      <c r="AJ800" t="str">
        <f t="shared" si="115"/>
        <v/>
      </c>
      <c r="AK800">
        <f t="shared" si="116"/>
        <v>186</v>
      </c>
      <c r="AL800">
        <f t="shared" si="109"/>
        <v>290</v>
      </c>
      <c r="AM800">
        <f t="shared" si="110"/>
        <v>299</v>
      </c>
      <c r="AN800">
        <f t="shared" si="111"/>
        <v>202</v>
      </c>
      <c r="AO800" t="str">
        <f t="shared" si="112"/>
        <v/>
      </c>
    </row>
    <row r="801" spans="1:41">
      <c r="A801">
        <f t="shared" si="117"/>
        <v>797</v>
      </c>
      <c r="B801" t="s">
        <v>266</v>
      </c>
      <c r="C801">
        <v>5</v>
      </c>
      <c r="D801">
        <v>5</v>
      </c>
      <c r="E801" t="s">
        <v>387</v>
      </c>
      <c r="F801">
        <v>412</v>
      </c>
      <c r="G801">
        <v>1</v>
      </c>
      <c r="H801">
        <v>56</v>
      </c>
      <c r="I801" t="s">
        <v>386</v>
      </c>
      <c r="J801" t="s">
        <v>386</v>
      </c>
      <c r="K801">
        <v>1000000</v>
      </c>
      <c r="L801">
        <v>100</v>
      </c>
      <c r="M801">
        <v>100</v>
      </c>
      <c r="N801">
        <v>134</v>
      </c>
      <c r="O801">
        <v>0</v>
      </c>
      <c r="P801">
        <v>203</v>
      </c>
      <c r="Q801">
        <v>313</v>
      </c>
      <c r="R801">
        <v>320</v>
      </c>
      <c r="S801">
        <v>225</v>
      </c>
      <c r="T801">
        <v>0</v>
      </c>
      <c r="U801">
        <v>637</v>
      </c>
      <c r="V801">
        <v>7487.80371844</v>
      </c>
      <c r="AH801">
        <f t="shared" si="113"/>
        <v>100</v>
      </c>
      <c r="AI801">
        <f t="shared" si="114"/>
        <v>134</v>
      </c>
      <c r="AJ801" t="str">
        <f t="shared" si="115"/>
        <v/>
      </c>
      <c r="AK801">
        <f t="shared" si="116"/>
        <v>203</v>
      </c>
      <c r="AL801">
        <f t="shared" si="109"/>
        <v>313</v>
      </c>
      <c r="AM801">
        <f t="shared" si="110"/>
        <v>320</v>
      </c>
      <c r="AN801">
        <f t="shared" si="111"/>
        <v>225</v>
      </c>
      <c r="AO801" t="str">
        <f t="shared" si="112"/>
        <v/>
      </c>
    </row>
    <row r="802" spans="1:41">
      <c r="A802">
        <f t="shared" si="117"/>
        <v>798</v>
      </c>
      <c r="B802" t="s">
        <v>266</v>
      </c>
      <c r="C802">
        <v>5</v>
      </c>
      <c r="D802">
        <v>5</v>
      </c>
      <c r="E802" t="s">
        <v>387</v>
      </c>
      <c r="F802">
        <v>412</v>
      </c>
      <c r="G802">
        <v>1</v>
      </c>
      <c r="H802">
        <v>57</v>
      </c>
      <c r="I802" t="s">
        <v>386</v>
      </c>
      <c r="J802" t="s">
        <v>386</v>
      </c>
      <c r="K802">
        <v>1000000</v>
      </c>
      <c r="L802">
        <v>110</v>
      </c>
      <c r="M802">
        <v>110</v>
      </c>
      <c r="N802">
        <v>145</v>
      </c>
      <c r="O802">
        <v>0</v>
      </c>
      <c r="P802">
        <v>218</v>
      </c>
      <c r="Q802">
        <v>335</v>
      </c>
      <c r="R802">
        <v>353</v>
      </c>
      <c r="S802">
        <v>244</v>
      </c>
      <c r="T802">
        <v>0</v>
      </c>
      <c r="U802">
        <v>665</v>
      </c>
      <c r="V802">
        <v>7509.0148580699997</v>
      </c>
      <c r="AH802">
        <f t="shared" si="113"/>
        <v>110</v>
      </c>
      <c r="AI802">
        <f t="shared" si="114"/>
        <v>145</v>
      </c>
      <c r="AJ802" t="str">
        <f t="shared" si="115"/>
        <v/>
      </c>
      <c r="AK802">
        <f t="shared" si="116"/>
        <v>218</v>
      </c>
      <c r="AL802">
        <f t="shared" si="109"/>
        <v>335</v>
      </c>
      <c r="AM802">
        <f t="shared" si="110"/>
        <v>353</v>
      </c>
      <c r="AN802">
        <f t="shared" si="111"/>
        <v>244</v>
      </c>
      <c r="AO802" t="str">
        <f t="shared" si="112"/>
        <v/>
      </c>
    </row>
    <row r="803" spans="1:41">
      <c r="A803">
        <f t="shared" si="117"/>
        <v>799</v>
      </c>
      <c r="B803" t="s">
        <v>266</v>
      </c>
      <c r="C803">
        <v>5</v>
      </c>
      <c r="D803">
        <v>5</v>
      </c>
      <c r="E803" t="s">
        <v>387</v>
      </c>
      <c r="F803">
        <v>412</v>
      </c>
      <c r="G803">
        <v>1</v>
      </c>
      <c r="H803">
        <v>58</v>
      </c>
      <c r="I803" t="s">
        <v>386</v>
      </c>
      <c r="J803" t="s">
        <v>386</v>
      </c>
      <c r="K803">
        <v>1000000</v>
      </c>
      <c r="L803">
        <v>120</v>
      </c>
      <c r="M803">
        <v>120</v>
      </c>
      <c r="N803">
        <v>159</v>
      </c>
      <c r="O803">
        <v>0</v>
      </c>
      <c r="P803">
        <v>240</v>
      </c>
      <c r="Q803">
        <v>384</v>
      </c>
      <c r="R803">
        <v>404</v>
      </c>
      <c r="S803">
        <v>292</v>
      </c>
      <c r="T803">
        <v>0</v>
      </c>
      <c r="U803">
        <v>696</v>
      </c>
      <c r="V803">
        <v>7533.2415605200003</v>
      </c>
      <c r="AH803">
        <f t="shared" si="113"/>
        <v>120</v>
      </c>
      <c r="AI803">
        <f t="shared" si="114"/>
        <v>159</v>
      </c>
      <c r="AJ803" t="str">
        <f t="shared" si="115"/>
        <v/>
      </c>
      <c r="AK803">
        <f t="shared" si="116"/>
        <v>240</v>
      </c>
      <c r="AL803">
        <f t="shared" si="109"/>
        <v>384</v>
      </c>
      <c r="AM803">
        <f t="shared" si="110"/>
        <v>404</v>
      </c>
      <c r="AN803">
        <f t="shared" si="111"/>
        <v>292</v>
      </c>
      <c r="AO803" t="str">
        <f t="shared" si="112"/>
        <v/>
      </c>
    </row>
    <row r="804" spans="1:41">
      <c r="A804">
        <f t="shared" si="117"/>
        <v>800</v>
      </c>
      <c r="B804" t="s">
        <v>266</v>
      </c>
      <c r="C804">
        <v>5</v>
      </c>
      <c r="D804">
        <v>5</v>
      </c>
      <c r="E804" t="s">
        <v>387</v>
      </c>
      <c r="F804">
        <v>412</v>
      </c>
      <c r="G804">
        <v>1</v>
      </c>
      <c r="H804">
        <v>59</v>
      </c>
      <c r="I804" t="s">
        <v>386</v>
      </c>
      <c r="J804" t="s">
        <v>386</v>
      </c>
      <c r="K804">
        <v>1000000</v>
      </c>
      <c r="L804">
        <v>133</v>
      </c>
      <c r="M804">
        <v>133</v>
      </c>
      <c r="N804">
        <v>175</v>
      </c>
      <c r="O804">
        <v>0</v>
      </c>
      <c r="P804">
        <v>290</v>
      </c>
      <c r="Q804">
        <v>461</v>
      </c>
      <c r="R804">
        <v>503</v>
      </c>
      <c r="S804">
        <v>369</v>
      </c>
      <c r="T804">
        <v>0</v>
      </c>
      <c r="U804">
        <v>734</v>
      </c>
      <c r="V804">
        <v>7562.0090142600002</v>
      </c>
      <c r="AH804">
        <f t="shared" si="113"/>
        <v>133</v>
      </c>
      <c r="AI804">
        <f t="shared" si="114"/>
        <v>175</v>
      </c>
      <c r="AJ804" t="str">
        <f t="shared" si="115"/>
        <v/>
      </c>
      <c r="AK804">
        <f t="shared" si="116"/>
        <v>290</v>
      </c>
      <c r="AL804">
        <f t="shared" si="109"/>
        <v>461</v>
      </c>
      <c r="AM804">
        <f t="shared" si="110"/>
        <v>503</v>
      </c>
      <c r="AN804">
        <f t="shared" si="111"/>
        <v>369</v>
      </c>
      <c r="AO804" t="str">
        <f t="shared" si="112"/>
        <v/>
      </c>
    </row>
    <row r="805" spans="1:41">
      <c r="A805">
        <f t="shared" si="117"/>
        <v>801</v>
      </c>
      <c r="B805" t="s">
        <v>266</v>
      </c>
      <c r="C805">
        <v>5</v>
      </c>
      <c r="D805">
        <v>5</v>
      </c>
      <c r="E805" t="s">
        <v>387</v>
      </c>
      <c r="F805">
        <v>412</v>
      </c>
      <c r="G805">
        <v>1</v>
      </c>
      <c r="H805">
        <v>60</v>
      </c>
      <c r="I805" t="s">
        <v>386</v>
      </c>
      <c r="J805" t="s">
        <v>386</v>
      </c>
      <c r="K805">
        <v>1000000</v>
      </c>
      <c r="L805">
        <v>148</v>
      </c>
      <c r="M805">
        <v>148</v>
      </c>
      <c r="N805">
        <v>194</v>
      </c>
      <c r="O805">
        <v>0</v>
      </c>
      <c r="P805">
        <v>350</v>
      </c>
      <c r="Q805">
        <v>576</v>
      </c>
      <c r="R805">
        <v>630</v>
      </c>
      <c r="S805">
        <v>454</v>
      </c>
      <c r="T805">
        <v>0</v>
      </c>
      <c r="U805">
        <v>780</v>
      </c>
      <c r="V805">
        <v>7596.8528193599996</v>
      </c>
      <c r="AH805">
        <f t="shared" si="113"/>
        <v>148</v>
      </c>
      <c r="AI805">
        <f t="shared" si="114"/>
        <v>194</v>
      </c>
      <c r="AJ805" t="str">
        <f t="shared" si="115"/>
        <v/>
      </c>
      <c r="AK805">
        <f t="shared" si="116"/>
        <v>350</v>
      </c>
      <c r="AL805">
        <f t="shared" si="109"/>
        <v>576</v>
      </c>
      <c r="AM805">
        <f t="shared" si="110"/>
        <v>630</v>
      </c>
      <c r="AN805">
        <f t="shared" si="111"/>
        <v>454</v>
      </c>
      <c r="AO805" t="str">
        <f t="shared" si="112"/>
        <v/>
      </c>
    </row>
    <row r="806" spans="1:41">
      <c r="A806">
        <f t="shared" si="117"/>
        <v>802</v>
      </c>
      <c r="B806" t="s">
        <v>266</v>
      </c>
      <c r="C806">
        <v>5</v>
      </c>
      <c r="D806">
        <v>5</v>
      </c>
      <c r="E806" t="s">
        <v>387</v>
      </c>
      <c r="F806">
        <v>412</v>
      </c>
      <c r="G806">
        <v>1</v>
      </c>
      <c r="H806">
        <v>61</v>
      </c>
      <c r="I806" t="s">
        <v>386</v>
      </c>
      <c r="J806" t="s">
        <v>386</v>
      </c>
      <c r="K806">
        <v>1000000</v>
      </c>
      <c r="L806">
        <v>166</v>
      </c>
      <c r="M806">
        <v>166</v>
      </c>
      <c r="N806">
        <v>217</v>
      </c>
      <c r="O806">
        <v>0</v>
      </c>
      <c r="P806">
        <v>440</v>
      </c>
      <c r="Q806">
        <v>713</v>
      </c>
      <c r="R806">
        <v>762</v>
      </c>
      <c r="S806">
        <v>538</v>
      </c>
      <c r="T806">
        <v>0</v>
      </c>
      <c r="U806">
        <v>834</v>
      </c>
      <c r="V806">
        <v>7638.3271767699998</v>
      </c>
      <c r="AH806">
        <f t="shared" si="113"/>
        <v>166</v>
      </c>
      <c r="AI806">
        <f t="shared" si="114"/>
        <v>217</v>
      </c>
      <c r="AJ806" t="str">
        <f t="shared" si="115"/>
        <v/>
      </c>
      <c r="AK806">
        <f t="shared" si="116"/>
        <v>440</v>
      </c>
      <c r="AL806">
        <f t="shared" si="109"/>
        <v>713</v>
      </c>
      <c r="AM806">
        <f t="shared" si="110"/>
        <v>762</v>
      </c>
      <c r="AN806">
        <f t="shared" si="111"/>
        <v>538</v>
      </c>
      <c r="AO806" t="str">
        <f t="shared" si="112"/>
        <v/>
      </c>
    </row>
    <row r="807" spans="1:41">
      <c r="A807">
        <f t="shared" si="117"/>
        <v>803</v>
      </c>
      <c r="B807" t="s">
        <v>266</v>
      </c>
      <c r="C807">
        <v>5</v>
      </c>
      <c r="D807">
        <v>5</v>
      </c>
      <c r="E807" t="s">
        <v>387</v>
      </c>
      <c r="F807">
        <v>412</v>
      </c>
      <c r="G807">
        <v>1</v>
      </c>
      <c r="H807">
        <v>62</v>
      </c>
      <c r="I807" t="s">
        <v>386</v>
      </c>
      <c r="J807" t="s">
        <v>386</v>
      </c>
      <c r="K807">
        <v>1000000</v>
      </c>
      <c r="L807">
        <v>189</v>
      </c>
      <c r="M807">
        <v>189</v>
      </c>
      <c r="N807">
        <v>245</v>
      </c>
      <c r="O807">
        <v>0</v>
      </c>
      <c r="P807">
        <v>534</v>
      </c>
      <c r="Q807">
        <v>849</v>
      </c>
      <c r="R807">
        <v>899</v>
      </c>
      <c r="S807">
        <v>641</v>
      </c>
      <c r="T807">
        <v>0</v>
      </c>
      <c r="U807">
        <v>901</v>
      </c>
      <c r="V807">
        <v>7687.3855631899996</v>
      </c>
      <c r="AH807">
        <f t="shared" si="113"/>
        <v>189</v>
      </c>
      <c r="AI807">
        <f t="shared" si="114"/>
        <v>245</v>
      </c>
      <c r="AJ807" t="str">
        <f t="shared" si="115"/>
        <v/>
      </c>
      <c r="AK807">
        <f t="shared" si="116"/>
        <v>534</v>
      </c>
      <c r="AL807">
        <f t="shared" si="109"/>
        <v>849</v>
      </c>
      <c r="AM807">
        <f t="shared" si="110"/>
        <v>899</v>
      </c>
      <c r="AN807">
        <f t="shared" si="111"/>
        <v>641</v>
      </c>
      <c r="AO807" t="str">
        <f t="shared" si="112"/>
        <v/>
      </c>
    </row>
    <row r="808" spans="1:41">
      <c r="A808">
        <f t="shared" si="117"/>
        <v>804</v>
      </c>
      <c r="B808" t="s">
        <v>266</v>
      </c>
      <c r="C808">
        <v>5</v>
      </c>
      <c r="D808">
        <v>5</v>
      </c>
      <c r="E808" t="s">
        <v>387</v>
      </c>
      <c r="F808">
        <v>412</v>
      </c>
      <c r="G808">
        <v>1</v>
      </c>
      <c r="H808">
        <v>63</v>
      </c>
      <c r="I808" t="s">
        <v>386</v>
      </c>
      <c r="J808" t="s">
        <v>386</v>
      </c>
      <c r="K808">
        <v>1000000</v>
      </c>
      <c r="L808">
        <v>216</v>
      </c>
      <c r="M808">
        <v>216</v>
      </c>
      <c r="N808">
        <v>280</v>
      </c>
      <c r="O808">
        <v>0</v>
      </c>
      <c r="P808">
        <v>635</v>
      </c>
      <c r="Q808">
        <v>1012</v>
      </c>
      <c r="R808">
        <v>1090</v>
      </c>
      <c r="S808">
        <v>793</v>
      </c>
      <c r="T808">
        <v>0</v>
      </c>
      <c r="U808">
        <v>983</v>
      </c>
      <c r="V808">
        <v>7747.0326969999996</v>
      </c>
      <c r="AH808">
        <f t="shared" si="113"/>
        <v>216</v>
      </c>
      <c r="AI808">
        <f t="shared" si="114"/>
        <v>280</v>
      </c>
      <c r="AJ808" t="str">
        <f t="shared" si="115"/>
        <v/>
      </c>
      <c r="AK808">
        <f t="shared" si="116"/>
        <v>635</v>
      </c>
      <c r="AL808">
        <f t="shared" si="109"/>
        <v>1012</v>
      </c>
      <c r="AM808">
        <f t="shared" si="110"/>
        <v>1090</v>
      </c>
      <c r="AN808">
        <f t="shared" si="111"/>
        <v>793</v>
      </c>
      <c r="AO808" t="str">
        <f t="shared" si="112"/>
        <v/>
      </c>
    </row>
    <row r="809" spans="1:41">
      <c r="A809">
        <f t="shared" si="117"/>
        <v>805</v>
      </c>
      <c r="B809" t="s">
        <v>266</v>
      </c>
      <c r="C809">
        <v>5</v>
      </c>
      <c r="D809">
        <v>5</v>
      </c>
      <c r="E809" t="s">
        <v>387</v>
      </c>
      <c r="F809">
        <v>412</v>
      </c>
      <c r="G809">
        <v>1</v>
      </c>
      <c r="H809">
        <v>64</v>
      </c>
      <c r="I809" t="s">
        <v>386</v>
      </c>
      <c r="J809" t="s">
        <v>386</v>
      </c>
      <c r="K809">
        <v>1000000</v>
      </c>
      <c r="L809">
        <v>251</v>
      </c>
      <c r="M809">
        <v>251</v>
      </c>
      <c r="N809">
        <v>323</v>
      </c>
      <c r="O809">
        <v>0</v>
      </c>
      <c r="P809">
        <v>783</v>
      </c>
      <c r="Q809">
        <v>1277</v>
      </c>
      <c r="R809">
        <v>1407</v>
      </c>
      <c r="S809">
        <v>1050</v>
      </c>
      <c r="T809">
        <v>0</v>
      </c>
      <c r="U809">
        <v>1087</v>
      </c>
      <c r="V809">
        <v>7823.54549038</v>
      </c>
      <c r="AH809">
        <f t="shared" si="113"/>
        <v>251</v>
      </c>
      <c r="AI809">
        <f t="shared" si="114"/>
        <v>323</v>
      </c>
      <c r="AJ809" t="str">
        <f t="shared" si="115"/>
        <v/>
      </c>
      <c r="AK809">
        <f t="shared" si="116"/>
        <v>783</v>
      </c>
      <c r="AL809">
        <f t="shared" si="109"/>
        <v>1277</v>
      </c>
      <c r="AM809">
        <f t="shared" si="110"/>
        <v>1407</v>
      </c>
      <c r="AN809">
        <f t="shared" si="111"/>
        <v>1050</v>
      </c>
      <c r="AO809" t="str">
        <f t="shared" si="112"/>
        <v/>
      </c>
    </row>
    <row r="810" spans="1:41">
      <c r="A810">
        <f t="shared" si="117"/>
        <v>806</v>
      </c>
      <c r="B810" t="s">
        <v>266</v>
      </c>
      <c r="C810">
        <v>5</v>
      </c>
      <c r="D810">
        <v>5</v>
      </c>
      <c r="E810" t="s">
        <v>387</v>
      </c>
      <c r="F810">
        <v>412</v>
      </c>
      <c r="G810">
        <v>1</v>
      </c>
      <c r="H810">
        <v>65</v>
      </c>
      <c r="I810" t="s">
        <v>386</v>
      </c>
      <c r="J810" t="s">
        <v>386</v>
      </c>
      <c r="K810">
        <v>1000000</v>
      </c>
      <c r="L810">
        <v>295</v>
      </c>
      <c r="M810">
        <v>295</v>
      </c>
      <c r="N810">
        <v>380</v>
      </c>
      <c r="O810">
        <v>0</v>
      </c>
      <c r="P810">
        <v>1017</v>
      </c>
      <c r="Q810">
        <v>1682</v>
      </c>
      <c r="R810">
        <v>1875</v>
      </c>
      <c r="S810">
        <v>1388</v>
      </c>
      <c r="T810">
        <v>0</v>
      </c>
      <c r="U810">
        <v>1220</v>
      </c>
      <c r="V810">
        <v>7925.25594877</v>
      </c>
      <c r="AH810">
        <f t="shared" si="113"/>
        <v>295</v>
      </c>
      <c r="AI810">
        <f t="shared" si="114"/>
        <v>380</v>
      </c>
      <c r="AJ810" t="str">
        <f t="shared" si="115"/>
        <v/>
      </c>
      <c r="AK810">
        <f t="shared" si="116"/>
        <v>1017</v>
      </c>
      <c r="AL810">
        <f t="shared" si="109"/>
        <v>1682</v>
      </c>
      <c r="AM810">
        <f t="shared" si="110"/>
        <v>1875</v>
      </c>
      <c r="AN810">
        <f t="shared" si="111"/>
        <v>1388</v>
      </c>
      <c r="AO810" t="str">
        <f t="shared" si="112"/>
        <v/>
      </c>
    </row>
    <row r="811" spans="1:41">
      <c r="A811">
        <f t="shared" si="117"/>
        <v>807</v>
      </c>
      <c r="B811" t="s">
        <v>266</v>
      </c>
      <c r="C811">
        <v>5</v>
      </c>
      <c r="D811">
        <v>5</v>
      </c>
      <c r="E811" t="s">
        <v>387</v>
      </c>
      <c r="F811">
        <v>412</v>
      </c>
      <c r="G811">
        <v>1</v>
      </c>
      <c r="H811">
        <v>66</v>
      </c>
      <c r="I811" t="s">
        <v>386</v>
      </c>
      <c r="J811" t="s">
        <v>386</v>
      </c>
      <c r="K811">
        <v>1000000</v>
      </c>
      <c r="L811">
        <v>352</v>
      </c>
      <c r="M811">
        <v>352</v>
      </c>
      <c r="N811">
        <v>451</v>
      </c>
      <c r="O811">
        <v>0</v>
      </c>
      <c r="P811">
        <v>1326</v>
      </c>
      <c r="Q811">
        <v>2197</v>
      </c>
      <c r="R811">
        <v>2403</v>
      </c>
      <c r="S811">
        <v>1728</v>
      </c>
      <c r="T811">
        <v>0</v>
      </c>
      <c r="U811">
        <v>1389</v>
      </c>
      <c r="V811">
        <v>8059.4050851100001</v>
      </c>
      <c r="AH811">
        <f t="shared" si="113"/>
        <v>352</v>
      </c>
      <c r="AI811">
        <f t="shared" si="114"/>
        <v>451</v>
      </c>
      <c r="AJ811" t="str">
        <f t="shared" si="115"/>
        <v/>
      </c>
      <c r="AK811">
        <f t="shared" si="116"/>
        <v>1326</v>
      </c>
      <c r="AL811">
        <f t="shared" si="109"/>
        <v>2197</v>
      </c>
      <c r="AM811">
        <f t="shared" si="110"/>
        <v>2403</v>
      </c>
      <c r="AN811">
        <f t="shared" si="111"/>
        <v>1728</v>
      </c>
      <c r="AO811" t="str">
        <f t="shared" si="112"/>
        <v/>
      </c>
    </row>
    <row r="812" spans="1:41">
      <c r="A812">
        <f t="shared" si="117"/>
        <v>808</v>
      </c>
      <c r="B812" t="s">
        <v>266</v>
      </c>
      <c r="C812">
        <v>5</v>
      </c>
      <c r="D812">
        <v>5</v>
      </c>
      <c r="E812" t="s">
        <v>387</v>
      </c>
      <c r="F812">
        <v>412</v>
      </c>
      <c r="G812">
        <v>1</v>
      </c>
      <c r="H812">
        <v>67</v>
      </c>
      <c r="I812" t="s">
        <v>386</v>
      </c>
      <c r="J812" t="s">
        <v>386</v>
      </c>
      <c r="K812">
        <v>1000000</v>
      </c>
      <c r="L812">
        <v>420</v>
      </c>
      <c r="M812">
        <v>420</v>
      </c>
      <c r="N812">
        <v>537</v>
      </c>
      <c r="O812">
        <v>0</v>
      </c>
      <c r="P812">
        <v>1667</v>
      </c>
      <c r="Q812">
        <v>2690</v>
      </c>
      <c r="R812">
        <v>2851</v>
      </c>
      <c r="S812">
        <v>1981</v>
      </c>
      <c r="T812">
        <v>0</v>
      </c>
      <c r="U812">
        <v>1593</v>
      </c>
      <c r="V812">
        <v>8227.6356346600005</v>
      </c>
      <c r="AH812">
        <f t="shared" si="113"/>
        <v>420</v>
      </c>
      <c r="AI812">
        <f t="shared" si="114"/>
        <v>537</v>
      </c>
      <c r="AJ812" t="str">
        <f t="shared" si="115"/>
        <v/>
      </c>
      <c r="AK812">
        <f t="shared" si="116"/>
        <v>1667</v>
      </c>
      <c r="AL812">
        <f t="shared" si="109"/>
        <v>2690</v>
      </c>
      <c r="AM812">
        <f t="shared" si="110"/>
        <v>2851</v>
      </c>
      <c r="AN812">
        <f t="shared" si="111"/>
        <v>1981</v>
      </c>
      <c r="AO812" t="str">
        <f t="shared" si="112"/>
        <v/>
      </c>
    </row>
    <row r="813" spans="1:41">
      <c r="A813">
        <f t="shared" si="117"/>
        <v>809</v>
      </c>
      <c r="B813" t="s">
        <v>266</v>
      </c>
      <c r="C813">
        <v>5</v>
      </c>
      <c r="D813">
        <v>5</v>
      </c>
      <c r="E813" t="s">
        <v>387</v>
      </c>
      <c r="F813">
        <v>412</v>
      </c>
      <c r="G813">
        <v>1</v>
      </c>
      <c r="H813">
        <v>68</v>
      </c>
      <c r="I813" t="s">
        <v>386</v>
      </c>
      <c r="J813" t="s">
        <v>386</v>
      </c>
      <c r="K813">
        <v>1000000</v>
      </c>
      <c r="L813">
        <v>499</v>
      </c>
      <c r="M813">
        <v>499</v>
      </c>
      <c r="N813">
        <v>636</v>
      </c>
      <c r="O813">
        <v>0</v>
      </c>
      <c r="P813">
        <v>1939</v>
      </c>
      <c r="Q813">
        <v>3038</v>
      </c>
      <c r="R813">
        <v>3130</v>
      </c>
      <c r="S813">
        <v>2135</v>
      </c>
      <c r="T813">
        <v>0</v>
      </c>
      <c r="U813">
        <v>1829</v>
      </c>
      <c r="V813">
        <v>8425.1261096800008</v>
      </c>
      <c r="AH813">
        <f t="shared" si="113"/>
        <v>499</v>
      </c>
      <c r="AI813">
        <f t="shared" si="114"/>
        <v>636</v>
      </c>
      <c r="AJ813" t="str">
        <f t="shared" si="115"/>
        <v/>
      </c>
      <c r="AK813">
        <f t="shared" si="116"/>
        <v>1939</v>
      </c>
      <c r="AL813">
        <f t="shared" si="109"/>
        <v>3038</v>
      </c>
      <c r="AM813">
        <f t="shared" si="110"/>
        <v>3130</v>
      </c>
      <c r="AN813">
        <f t="shared" si="111"/>
        <v>2135</v>
      </c>
      <c r="AO813" t="str">
        <f t="shared" si="112"/>
        <v/>
      </c>
    </row>
    <row r="814" spans="1:41">
      <c r="A814">
        <f t="shared" si="117"/>
        <v>810</v>
      </c>
      <c r="B814" t="s">
        <v>266</v>
      </c>
      <c r="C814">
        <v>5</v>
      </c>
      <c r="D814">
        <v>5</v>
      </c>
      <c r="E814" t="s">
        <v>387</v>
      </c>
      <c r="F814">
        <v>412</v>
      </c>
      <c r="G814">
        <v>1</v>
      </c>
      <c r="H814">
        <v>69</v>
      </c>
      <c r="I814" t="s">
        <v>386</v>
      </c>
      <c r="J814" t="s">
        <v>386</v>
      </c>
      <c r="K814">
        <v>1000000</v>
      </c>
      <c r="L814">
        <v>585</v>
      </c>
      <c r="M814">
        <v>585</v>
      </c>
      <c r="N814">
        <v>745</v>
      </c>
      <c r="O814">
        <v>0</v>
      </c>
      <c r="P814">
        <v>2102</v>
      </c>
      <c r="Q814">
        <v>3222</v>
      </c>
      <c r="R814">
        <v>3281</v>
      </c>
      <c r="S814">
        <v>2227</v>
      </c>
      <c r="T814">
        <v>0</v>
      </c>
      <c r="U814">
        <v>2088</v>
      </c>
      <c r="V814">
        <v>8642.9643629300008</v>
      </c>
      <c r="AH814">
        <f t="shared" si="113"/>
        <v>585</v>
      </c>
      <c r="AI814">
        <f t="shared" si="114"/>
        <v>745</v>
      </c>
      <c r="AJ814" t="str">
        <f t="shared" si="115"/>
        <v/>
      </c>
      <c r="AK814">
        <f t="shared" si="116"/>
        <v>2102</v>
      </c>
      <c r="AL814">
        <f t="shared" si="109"/>
        <v>3222</v>
      </c>
      <c r="AM814">
        <f t="shared" si="110"/>
        <v>3281</v>
      </c>
      <c r="AN814">
        <f t="shared" si="111"/>
        <v>2227</v>
      </c>
      <c r="AO814" t="str">
        <f t="shared" si="112"/>
        <v/>
      </c>
    </row>
    <row r="815" spans="1:41">
      <c r="A815">
        <f t="shared" si="117"/>
        <v>811</v>
      </c>
      <c r="B815" t="s">
        <v>266</v>
      </c>
      <c r="C815">
        <v>5</v>
      </c>
      <c r="D815">
        <v>5</v>
      </c>
      <c r="E815" t="s">
        <v>387</v>
      </c>
      <c r="F815">
        <v>412</v>
      </c>
      <c r="G815">
        <v>1</v>
      </c>
      <c r="H815">
        <v>70</v>
      </c>
      <c r="I815" t="s">
        <v>386</v>
      </c>
      <c r="J815" t="s">
        <v>386</v>
      </c>
      <c r="K815">
        <v>1000000</v>
      </c>
      <c r="L815">
        <v>678</v>
      </c>
      <c r="M815">
        <v>678</v>
      </c>
      <c r="N815">
        <v>863</v>
      </c>
      <c r="O815">
        <v>0</v>
      </c>
      <c r="P815">
        <v>2200</v>
      </c>
      <c r="Q815">
        <v>3366</v>
      </c>
      <c r="R815">
        <v>3447</v>
      </c>
      <c r="S815">
        <v>2383</v>
      </c>
      <c r="T815">
        <v>0</v>
      </c>
      <c r="U815">
        <v>2366</v>
      </c>
      <c r="V815">
        <v>8873.3656677500003</v>
      </c>
      <c r="AH815">
        <f t="shared" si="113"/>
        <v>678</v>
      </c>
      <c r="AI815">
        <f t="shared" si="114"/>
        <v>863</v>
      </c>
      <c r="AJ815" t="str">
        <f t="shared" si="115"/>
        <v/>
      </c>
      <c r="AK815">
        <f t="shared" si="116"/>
        <v>2200</v>
      </c>
      <c r="AL815">
        <f t="shared" si="109"/>
        <v>3366</v>
      </c>
      <c r="AM815">
        <f t="shared" si="110"/>
        <v>3447</v>
      </c>
      <c r="AN815">
        <f t="shared" si="111"/>
        <v>2383</v>
      </c>
      <c r="AO815" t="str">
        <f t="shared" si="112"/>
        <v/>
      </c>
    </row>
    <row r="816" spans="1:41">
      <c r="A816">
        <f t="shared" si="117"/>
        <v>812</v>
      </c>
      <c r="B816" t="s">
        <v>266</v>
      </c>
      <c r="C816">
        <v>5</v>
      </c>
      <c r="D816">
        <v>5</v>
      </c>
      <c r="E816" t="s">
        <v>387</v>
      </c>
      <c r="F816">
        <v>412</v>
      </c>
      <c r="G816">
        <v>1</v>
      </c>
      <c r="H816">
        <v>71</v>
      </c>
      <c r="I816" t="s">
        <v>386</v>
      </c>
      <c r="J816" t="s">
        <v>386</v>
      </c>
      <c r="K816">
        <v>1000000</v>
      </c>
      <c r="L816">
        <v>779</v>
      </c>
      <c r="M816">
        <v>779</v>
      </c>
      <c r="N816">
        <v>990</v>
      </c>
      <c r="O816">
        <v>0</v>
      </c>
      <c r="P816">
        <v>2337</v>
      </c>
      <c r="Q816">
        <v>3618</v>
      </c>
      <c r="R816">
        <v>3785</v>
      </c>
      <c r="S816">
        <v>2663</v>
      </c>
      <c r="T816">
        <v>0</v>
      </c>
      <c r="U816">
        <v>2668</v>
      </c>
      <c r="V816">
        <v>9114.1535698700009</v>
      </c>
      <c r="AH816">
        <f t="shared" si="113"/>
        <v>779</v>
      </c>
      <c r="AI816">
        <f t="shared" si="114"/>
        <v>990</v>
      </c>
      <c r="AJ816" t="str">
        <f t="shared" si="115"/>
        <v/>
      </c>
      <c r="AK816">
        <f t="shared" si="116"/>
        <v>2337</v>
      </c>
      <c r="AL816">
        <f t="shared" si="109"/>
        <v>3618</v>
      </c>
      <c r="AM816">
        <f t="shared" si="110"/>
        <v>3785</v>
      </c>
      <c r="AN816">
        <f t="shared" si="111"/>
        <v>2663</v>
      </c>
      <c r="AO816" t="str">
        <f t="shared" si="112"/>
        <v/>
      </c>
    </row>
    <row r="817" spans="1:41">
      <c r="A817">
        <f t="shared" si="117"/>
        <v>813</v>
      </c>
      <c r="B817" t="s">
        <v>266</v>
      </c>
      <c r="C817">
        <v>5</v>
      </c>
      <c r="D817">
        <v>5</v>
      </c>
      <c r="E817" t="s">
        <v>387</v>
      </c>
      <c r="F817">
        <v>412</v>
      </c>
      <c r="G817">
        <v>1</v>
      </c>
      <c r="H817">
        <v>72</v>
      </c>
      <c r="I817" t="s">
        <v>386</v>
      </c>
      <c r="J817" t="s">
        <v>386</v>
      </c>
      <c r="K817">
        <v>1000000</v>
      </c>
      <c r="L817">
        <v>891</v>
      </c>
      <c r="M817">
        <v>891</v>
      </c>
      <c r="N817">
        <v>1132</v>
      </c>
      <c r="O817">
        <v>0</v>
      </c>
      <c r="P817">
        <v>2588</v>
      </c>
      <c r="Q817">
        <v>4095</v>
      </c>
      <c r="R817">
        <v>4347</v>
      </c>
      <c r="S817">
        <v>3092</v>
      </c>
      <c r="T817">
        <v>0</v>
      </c>
      <c r="U817">
        <v>3004</v>
      </c>
      <c r="V817">
        <v>9370.9843983999999</v>
      </c>
      <c r="AH817">
        <f t="shared" si="113"/>
        <v>891</v>
      </c>
      <c r="AI817">
        <f t="shared" si="114"/>
        <v>1132</v>
      </c>
      <c r="AJ817" t="str">
        <f t="shared" si="115"/>
        <v/>
      </c>
      <c r="AK817">
        <f t="shared" si="116"/>
        <v>2588</v>
      </c>
      <c r="AL817">
        <f t="shared" si="109"/>
        <v>4095</v>
      </c>
      <c r="AM817">
        <f t="shared" si="110"/>
        <v>4347</v>
      </c>
      <c r="AN817">
        <f t="shared" si="111"/>
        <v>3092</v>
      </c>
      <c r="AO817" t="str">
        <f t="shared" si="112"/>
        <v/>
      </c>
    </row>
    <row r="818" spans="1:41">
      <c r="A818">
        <f t="shared" si="117"/>
        <v>814</v>
      </c>
      <c r="B818" t="s">
        <v>266</v>
      </c>
      <c r="C818">
        <v>5</v>
      </c>
      <c r="D818">
        <v>5</v>
      </c>
      <c r="E818" t="s">
        <v>387</v>
      </c>
      <c r="F818">
        <v>412</v>
      </c>
      <c r="G818">
        <v>1</v>
      </c>
      <c r="H818">
        <v>73</v>
      </c>
      <c r="I818" t="s">
        <v>386</v>
      </c>
      <c r="J818" t="s">
        <v>386</v>
      </c>
      <c r="K818">
        <v>1000000</v>
      </c>
      <c r="L818">
        <v>1023</v>
      </c>
      <c r="M818">
        <v>1023</v>
      </c>
      <c r="N818">
        <v>1297</v>
      </c>
      <c r="O818">
        <v>0</v>
      </c>
      <c r="P818">
        <v>3039</v>
      </c>
      <c r="Q818">
        <v>4862</v>
      </c>
      <c r="R818">
        <v>5217</v>
      </c>
      <c r="S818">
        <v>3775</v>
      </c>
      <c r="T818">
        <v>0</v>
      </c>
      <c r="U818">
        <v>3397</v>
      </c>
      <c r="V818">
        <v>9654.3759002799998</v>
      </c>
      <c r="AH818">
        <f t="shared" si="113"/>
        <v>1023</v>
      </c>
      <c r="AI818">
        <f t="shared" si="114"/>
        <v>1297</v>
      </c>
      <c r="AJ818" t="str">
        <f t="shared" si="115"/>
        <v/>
      </c>
      <c r="AK818">
        <f t="shared" si="116"/>
        <v>3039</v>
      </c>
      <c r="AL818">
        <f t="shared" si="109"/>
        <v>4862</v>
      </c>
      <c r="AM818">
        <f t="shared" si="110"/>
        <v>5217</v>
      </c>
      <c r="AN818">
        <f t="shared" si="111"/>
        <v>3775</v>
      </c>
      <c r="AO818" t="str">
        <f t="shared" si="112"/>
        <v/>
      </c>
    </row>
    <row r="819" spans="1:41">
      <c r="A819">
        <f t="shared" si="117"/>
        <v>815</v>
      </c>
      <c r="B819" t="s">
        <v>266</v>
      </c>
      <c r="C819">
        <v>5</v>
      </c>
      <c r="D819">
        <v>5</v>
      </c>
      <c r="E819" t="s">
        <v>387</v>
      </c>
      <c r="F819">
        <v>412</v>
      </c>
      <c r="G819">
        <v>1</v>
      </c>
      <c r="H819">
        <v>74</v>
      </c>
      <c r="I819" t="s">
        <v>386</v>
      </c>
      <c r="J819" t="s">
        <v>386</v>
      </c>
      <c r="K819">
        <v>1000000</v>
      </c>
      <c r="L819">
        <v>1180</v>
      </c>
      <c r="M819">
        <v>1180</v>
      </c>
      <c r="N819">
        <v>1497</v>
      </c>
      <c r="O819">
        <v>0</v>
      </c>
      <c r="P819">
        <v>3667</v>
      </c>
      <c r="Q819">
        <v>5913</v>
      </c>
      <c r="R819">
        <v>6409</v>
      </c>
      <c r="S819">
        <v>4620</v>
      </c>
      <c r="T819">
        <v>0</v>
      </c>
      <c r="U819">
        <v>3870</v>
      </c>
      <c r="V819">
        <v>9974.4198944399996</v>
      </c>
      <c r="AH819">
        <f t="shared" si="113"/>
        <v>1180</v>
      </c>
      <c r="AI819">
        <f t="shared" si="114"/>
        <v>1497</v>
      </c>
      <c r="AJ819" t="str">
        <f t="shared" si="115"/>
        <v/>
      </c>
      <c r="AK819">
        <f t="shared" si="116"/>
        <v>3667</v>
      </c>
      <c r="AL819">
        <f t="shared" si="109"/>
        <v>5913</v>
      </c>
      <c r="AM819">
        <f t="shared" si="110"/>
        <v>6409</v>
      </c>
      <c r="AN819">
        <f t="shared" si="111"/>
        <v>4620</v>
      </c>
      <c r="AO819" t="str">
        <f t="shared" si="112"/>
        <v/>
      </c>
    </row>
    <row r="820" spans="1:41">
      <c r="A820">
        <f t="shared" si="117"/>
        <v>816</v>
      </c>
      <c r="B820" t="s">
        <v>266</v>
      </c>
      <c r="C820">
        <v>5</v>
      </c>
      <c r="D820">
        <v>5</v>
      </c>
      <c r="E820" t="s">
        <v>387</v>
      </c>
      <c r="F820">
        <v>412</v>
      </c>
      <c r="G820">
        <v>1</v>
      </c>
      <c r="H820">
        <v>75</v>
      </c>
      <c r="I820" t="s">
        <v>386</v>
      </c>
      <c r="J820" t="s">
        <v>386</v>
      </c>
      <c r="K820">
        <v>1000000</v>
      </c>
      <c r="L820">
        <v>1367</v>
      </c>
      <c r="M820">
        <v>1367</v>
      </c>
      <c r="N820">
        <v>1732</v>
      </c>
      <c r="O820">
        <v>0</v>
      </c>
      <c r="P820">
        <v>4424</v>
      </c>
      <c r="Q820">
        <v>7154</v>
      </c>
      <c r="R820">
        <v>7654</v>
      </c>
      <c r="S820">
        <v>5380</v>
      </c>
      <c r="T820">
        <v>0</v>
      </c>
      <c r="U820">
        <v>4428</v>
      </c>
      <c r="V820">
        <v>10335.74219984</v>
      </c>
      <c r="AH820">
        <f t="shared" si="113"/>
        <v>1367</v>
      </c>
      <c r="AI820">
        <f t="shared" si="114"/>
        <v>1732</v>
      </c>
      <c r="AJ820" t="str">
        <f t="shared" si="115"/>
        <v/>
      </c>
      <c r="AK820">
        <f t="shared" si="116"/>
        <v>4424</v>
      </c>
      <c r="AL820">
        <f t="shared" si="109"/>
        <v>7154</v>
      </c>
      <c r="AM820">
        <f t="shared" si="110"/>
        <v>7654</v>
      </c>
      <c r="AN820">
        <f t="shared" si="111"/>
        <v>5380</v>
      </c>
      <c r="AO820" t="str">
        <f t="shared" si="112"/>
        <v/>
      </c>
    </row>
    <row r="821" spans="1:41">
      <c r="A821">
        <f t="shared" si="117"/>
        <v>817</v>
      </c>
      <c r="B821" t="s">
        <v>266</v>
      </c>
      <c r="C821">
        <v>5</v>
      </c>
      <c r="D821">
        <v>5</v>
      </c>
      <c r="E821" t="s">
        <v>387</v>
      </c>
      <c r="F821">
        <v>412</v>
      </c>
      <c r="G821">
        <v>1</v>
      </c>
      <c r="H821">
        <v>76</v>
      </c>
      <c r="I821" t="s">
        <v>386</v>
      </c>
      <c r="J821" t="s">
        <v>386</v>
      </c>
      <c r="K821">
        <v>1000000</v>
      </c>
      <c r="L821">
        <v>1578</v>
      </c>
      <c r="M821">
        <v>1578</v>
      </c>
      <c r="N821">
        <v>1999</v>
      </c>
      <c r="O821">
        <v>0</v>
      </c>
      <c r="P821">
        <v>5188</v>
      </c>
      <c r="Q821">
        <v>8208</v>
      </c>
      <c r="R821">
        <v>8517</v>
      </c>
      <c r="S821">
        <v>5784</v>
      </c>
      <c r="T821">
        <v>0</v>
      </c>
      <c r="U821">
        <v>5060</v>
      </c>
      <c r="V821">
        <v>9865.7569362199993</v>
      </c>
      <c r="AH821">
        <f t="shared" si="113"/>
        <v>1578</v>
      </c>
      <c r="AI821">
        <f t="shared" si="114"/>
        <v>1999</v>
      </c>
      <c r="AJ821" t="str">
        <f t="shared" si="115"/>
        <v/>
      </c>
      <c r="AK821">
        <f t="shared" si="116"/>
        <v>5188</v>
      </c>
      <c r="AL821">
        <f t="shared" si="109"/>
        <v>8208</v>
      </c>
      <c r="AM821">
        <f t="shared" si="110"/>
        <v>8517</v>
      </c>
      <c r="AN821">
        <f t="shared" si="111"/>
        <v>5784</v>
      </c>
      <c r="AO821" t="str">
        <f t="shared" si="112"/>
        <v/>
      </c>
    </row>
    <row r="822" spans="1:41">
      <c r="A822">
        <f t="shared" si="117"/>
        <v>818</v>
      </c>
      <c r="B822" t="s">
        <v>266</v>
      </c>
      <c r="C822">
        <v>5</v>
      </c>
      <c r="D822">
        <v>5</v>
      </c>
      <c r="E822" t="s">
        <v>387</v>
      </c>
      <c r="F822">
        <v>412</v>
      </c>
      <c r="G822">
        <v>1</v>
      </c>
      <c r="H822">
        <v>77</v>
      </c>
      <c r="I822" t="s">
        <v>386</v>
      </c>
      <c r="J822" t="s">
        <v>386</v>
      </c>
      <c r="K822">
        <v>1000000</v>
      </c>
      <c r="L822">
        <v>1804</v>
      </c>
      <c r="M822">
        <v>1804</v>
      </c>
      <c r="N822">
        <v>2284</v>
      </c>
      <c r="O822">
        <v>0</v>
      </c>
      <c r="P822">
        <v>5638</v>
      </c>
      <c r="Q822">
        <v>8630</v>
      </c>
      <c r="R822">
        <v>8647</v>
      </c>
      <c r="S822">
        <v>5682</v>
      </c>
      <c r="T822">
        <v>0</v>
      </c>
      <c r="U822">
        <v>5736</v>
      </c>
      <c r="V822">
        <v>9327.8015867499998</v>
      </c>
      <c r="AH822">
        <f t="shared" si="113"/>
        <v>1804</v>
      </c>
      <c r="AI822">
        <f t="shared" si="114"/>
        <v>2284</v>
      </c>
      <c r="AJ822" t="str">
        <f t="shared" si="115"/>
        <v/>
      </c>
      <c r="AK822">
        <f t="shared" si="116"/>
        <v>5638</v>
      </c>
      <c r="AL822">
        <f t="shared" si="109"/>
        <v>8630</v>
      </c>
      <c r="AM822">
        <f t="shared" si="110"/>
        <v>8647</v>
      </c>
      <c r="AN822">
        <f t="shared" si="111"/>
        <v>5682</v>
      </c>
      <c r="AO822" t="str">
        <f t="shared" si="112"/>
        <v/>
      </c>
    </row>
    <row r="823" spans="1:41">
      <c r="A823">
        <f t="shared" si="117"/>
        <v>819</v>
      </c>
      <c r="B823" t="s">
        <v>266</v>
      </c>
      <c r="C823">
        <v>5</v>
      </c>
      <c r="D823">
        <v>5</v>
      </c>
      <c r="E823" t="s">
        <v>387</v>
      </c>
      <c r="F823">
        <v>412</v>
      </c>
      <c r="G823">
        <v>1</v>
      </c>
      <c r="H823">
        <v>78</v>
      </c>
      <c r="I823" t="s">
        <v>386</v>
      </c>
      <c r="J823" t="s">
        <v>386</v>
      </c>
      <c r="K823">
        <v>1000000</v>
      </c>
      <c r="L823">
        <v>2033</v>
      </c>
      <c r="M823">
        <v>2033</v>
      </c>
      <c r="N823">
        <v>2573</v>
      </c>
      <c r="O823">
        <v>0</v>
      </c>
      <c r="P823">
        <v>5637</v>
      </c>
      <c r="Q823">
        <v>8366</v>
      </c>
      <c r="R823">
        <v>8180</v>
      </c>
      <c r="S823">
        <v>5346</v>
      </c>
      <c r="T823">
        <v>0</v>
      </c>
      <c r="U823">
        <v>6422</v>
      </c>
      <c r="V823">
        <v>8711.9251221400009</v>
      </c>
      <c r="AH823">
        <f t="shared" si="113"/>
        <v>2033</v>
      </c>
      <c r="AI823">
        <f t="shared" si="114"/>
        <v>2573</v>
      </c>
      <c r="AJ823" t="str">
        <f t="shared" si="115"/>
        <v/>
      </c>
      <c r="AK823">
        <f t="shared" si="116"/>
        <v>5637</v>
      </c>
      <c r="AL823">
        <f t="shared" si="109"/>
        <v>8366</v>
      </c>
      <c r="AM823">
        <f t="shared" si="110"/>
        <v>8180</v>
      </c>
      <c r="AN823">
        <f t="shared" si="111"/>
        <v>5346</v>
      </c>
      <c r="AO823" t="str">
        <f t="shared" si="112"/>
        <v/>
      </c>
    </row>
    <row r="824" spans="1:41">
      <c r="A824">
        <f t="shared" si="117"/>
        <v>820</v>
      </c>
      <c r="B824" t="s">
        <v>266</v>
      </c>
      <c r="C824">
        <v>5</v>
      </c>
      <c r="D824">
        <v>5</v>
      </c>
      <c r="E824" t="s">
        <v>387</v>
      </c>
      <c r="F824">
        <v>412</v>
      </c>
      <c r="G824">
        <v>1</v>
      </c>
      <c r="H824">
        <v>79</v>
      </c>
      <c r="I824" t="s">
        <v>386</v>
      </c>
      <c r="J824" t="s">
        <v>386</v>
      </c>
      <c r="K824">
        <v>1000000</v>
      </c>
      <c r="L824">
        <v>2258</v>
      </c>
      <c r="M824">
        <v>2258</v>
      </c>
      <c r="N824">
        <v>2856</v>
      </c>
      <c r="O824">
        <v>0</v>
      </c>
      <c r="P824">
        <v>5318</v>
      </c>
      <c r="Q824">
        <v>7786</v>
      </c>
      <c r="R824">
        <v>7672</v>
      </c>
      <c r="S824">
        <v>5114</v>
      </c>
      <c r="T824">
        <v>0</v>
      </c>
      <c r="U824">
        <v>7094</v>
      </c>
      <c r="V824">
        <v>8009.5798217900001</v>
      </c>
      <c r="AH824">
        <f t="shared" si="113"/>
        <v>2258</v>
      </c>
      <c r="AI824">
        <f t="shared" si="114"/>
        <v>2856</v>
      </c>
      <c r="AJ824" t="str">
        <f t="shared" si="115"/>
        <v/>
      </c>
      <c r="AK824">
        <f t="shared" si="116"/>
        <v>5318</v>
      </c>
      <c r="AL824">
        <f t="shared" si="109"/>
        <v>7786</v>
      </c>
      <c r="AM824">
        <f t="shared" si="110"/>
        <v>7672</v>
      </c>
      <c r="AN824">
        <f t="shared" si="111"/>
        <v>5114</v>
      </c>
      <c r="AO824" t="str">
        <f t="shared" si="112"/>
        <v/>
      </c>
    </row>
    <row r="825" spans="1:41">
      <c r="A825">
        <f t="shared" si="117"/>
        <v>821</v>
      </c>
      <c r="B825" t="s">
        <v>266</v>
      </c>
      <c r="C825">
        <v>5</v>
      </c>
      <c r="D825">
        <v>5</v>
      </c>
      <c r="E825" t="s">
        <v>387</v>
      </c>
      <c r="F825">
        <v>412</v>
      </c>
      <c r="G825">
        <v>1</v>
      </c>
      <c r="H825">
        <v>80</v>
      </c>
      <c r="I825" t="s">
        <v>386</v>
      </c>
      <c r="J825" t="s">
        <v>386</v>
      </c>
      <c r="K825">
        <v>1000000</v>
      </c>
      <c r="L825">
        <v>2477</v>
      </c>
      <c r="M825">
        <v>2477</v>
      </c>
      <c r="N825">
        <v>3133</v>
      </c>
      <c r="O825">
        <v>0</v>
      </c>
      <c r="P825">
        <v>5006</v>
      </c>
      <c r="Q825">
        <v>7494</v>
      </c>
      <c r="R825">
        <v>7603</v>
      </c>
      <c r="S825">
        <v>5222</v>
      </c>
      <c r="T825">
        <v>0</v>
      </c>
      <c r="U825">
        <v>7751</v>
      </c>
      <c r="V825">
        <v>452.95095902999998</v>
      </c>
      <c r="AH825">
        <f t="shared" si="113"/>
        <v>2477</v>
      </c>
      <c r="AI825">
        <f t="shared" si="114"/>
        <v>3133</v>
      </c>
      <c r="AJ825" t="str">
        <f t="shared" si="115"/>
        <v/>
      </c>
      <c r="AK825">
        <f t="shared" si="116"/>
        <v>5006</v>
      </c>
      <c r="AL825">
        <f t="shared" si="109"/>
        <v>7494</v>
      </c>
      <c r="AM825">
        <f t="shared" si="110"/>
        <v>7603</v>
      </c>
      <c r="AN825">
        <f t="shared" si="111"/>
        <v>5222</v>
      </c>
      <c r="AO825" t="str">
        <f t="shared" si="112"/>
        <v/>
      </c>
    </row>
    <row r="826" spans="1:41">
      <c r="A826">
        <f t="shared" si="117"/>
        <v>822</v>
      </c>
      <c r="B826" t="s">
        <v>266</v>
      </c>
      <c r="C826">
        <v>5</v>
      </c>
      <c r="D826">
        <v>5</v>
      </c>
      <c r="E826" t="s">
        <v>387</v>
      </c>
      <c r="F826">
        <v>412</v>
      </c>
      <c r="G826">
        <v>1</v>
      </c>
      <c r="H826">
        <v>81</v>
      </c>
      <c r="I826" t="s">
        <v>386</v>
      </c>
      <c r="J826" t="s">
        <v>386</v>
      </c>
      <c r="K826">
        <v>1000000</v>
      </c>
      <c r="L826">
        <v>2696</v>
      </c>
      <c r="M826">
        <v>2696</v>
      </c>
      <c r="N826">
        <v>3408</v>
      </c>
      <c r="O826">
        <v>0</v>
      </c>
      <c r="P826">
        <v>5017</v>
      </c>
      <c r="Q826">
        <v>7719</v>
      </c>
      <c r="R826">
        <v>7996</v>
      </c>
      <c r="S826">
        <v>5498</v>
      </c>
      <c r="T826">
        <v>0</v>
      </c>
      <c r="U826">
        <v>8404</v>
      </c>
      <c r="V826">
        <v>453.43994253</v>
      </c>
      <c r="AH826">
        <f t="shared" si="113"/>
        <v>2696</v>
      </c>
      <c r="AI826">
        <f t="shared" si="114"/>
        <v>3408</v>
      </c>
      <c r="AJ826" t="str">
        <f t="shared" si="115"/>
        <v/>
      </c>
      <c r="AK826">
        <f t="shared" si="116"/>
        <v>5017</v>
      </c>
      <c r="AL826">
        <f t="shared" si="109"/>
        <v>7719</v>
      </c>
      <c r="AM826">
        <f t="shared" si="110"/>
        <v>7996</v>
      </c>
      <c r="AN826">
        <f t="shared" si="111"/>
        <v>5498</v>
      </c>
      <c r="AO826" t="str">
        <f t="shared" si="112"/>
        <v/>
      </c>
    </row>
    <row r="827" spans="1:41">
      <c r="A827">
        <f t="shared" si="117"/>
        <v>823</v>
      </c>
      <c r="B827" t="s">
        <v>266</v>
      </c>
      <c r="C827">
        <v>5</v>
      </c>
      <c r="D827">
        <v>5</v>
      </c>
      <c r="E827" t="s">
        <v>387</v>
      </c>
      <c r="F827">
        <v>412</v>
      </c>
      <c r="G827">
        <v>1</v>
      </c>
      <c r="H827">
        <v>82</v>
      </c>
      <c r="I827" t="s">
        <v>386</v>
      </c>
      <c r="J827" t="s">
        <v>386</v>
      </c>
      <c r="K827">
        <v>1000000</v>
      </c>
      <c r="L827">
        <v>2918</v>
      </c>
      <c r="M827">
        <v>2918</v>
      </c>
      <c r="N827">
        <v>3690</v>
      </c>
      <c r="O827">
        <v>0</v>
      </c>
      <c r="P827">
        <v>5286</v>
      </c>
      <c r="Q827">
        <v>8211</v>
      </c>
      <c r="R827">
        <v>8429</v>
      </c>
      <c r="S827">
        <v>5714</v>
      </c>
      <c r="T827">
        <v>0</v>
      </c>
      <c r="U827">
        <v>9071</v>
      </c>
      <c r="V827">
        <v>453.98195674999999</v>
      </c>
      <c r="AH827">
        <f t="shared" si="113"/>
        <v>2918</v>
      </c>
      <c r="AI827">
        <f t="shared" si="114"/>
        <v>3690</v>
      </c>
      <c r="AJ827" t="str">
        <f t="shared" si="115"/>
        <v/>
      </c>
      <c r="AK827">
        <f t="shared" si="116"/>
        <v>5286</v>
      </c>
      <c r="AL827">
        <f t="shared" si="109"/>
        <v>8211</v>
      </c>
      <c r="AM827">
        <f t="shared" si="110"/>
        <v>8429</v>
      </c>
      <c r="AN827">
        <f t="shared" si="111"/>
        <v>5714</v>
      </c>
      <c r="AO827" t="str">
        <f t="shared" si="112"/>
        <v/>
      </c>
    </row>
    <row r="828" spans="1:41">
      <c r="A828">
        <f t="shared" si="117"/>
        <v>824</v>
      </c>
      <c r="B828" t="s">
        <v>266</v>
      </c>
      <c r="C828">
        <v>5</v>
      </c>
      <c r="D828">
        <v>5</v>
      </c>
      <c r="E828" t="s">
        <v>387</v>
      </c>
      <c r="F828">
        <v>412</v>
      </c>
      <c r="G828">
        <v>1</v>
      </c>
      <c r="H828">
        <v>83</v>
      </c>
      <c r="I828" t="s">
        <v>386</v>
      </c>
      <c r="J828" t="s">
        <v>386</v>
      </c>
      <c r="K828">
        <v>1000000</v>
      </c>
      <c r="L828">
        <v>3150</v>
      </c>
      <c r="M828">
        <v>3150</v>
      </c>
      <c r="N828">
        <v>3982</v>
      </c>
      <c r="O828">
        <v>0</v>
      </c>
      <c r="P828">
        <v>5609</v>
      </c>
      <c r="Q828">
        <v>8577</v>
      </c>
      <c r="R828">
        <v>8681</v>
      </c>
      <c r="S828">
        <v>5856</v>
      </c>
      <c r="T828">
        <v>0</v>
      </c>
      <c r="U828">
        <v>9764</v>
      </c>
      <c r="V828">
        <v>454.61912783000002</v>
      </c>
      <c r="AH828">
        <f t="shared" si="113"/>
        <v>3150</v>
      </c>
      <c r="AI828">
        <f t="shared" si="114"/>
        <v>3982</v>
      </c>
      <c r="AJ828" t="str">
        <f t="shared" si="115"/>
        <v/>
      </c>
      <c r="AK828">
        <f t="shared" si="116"/>
        <v>5609</v>
      </c>
      <c r="AL828">
        <f t="shared" si="109"/>
        <v>8577</v>
      </c>
      <c r="AM828">
        <f t="shared" si="110"/>
        <v>8681</v>
      </c>
      <c r="AN828">
        <f t="shared" si="111"/>
        <v>5856</v>
      </c>
      <c r="AO828" t="str">
        <f t="shared" si="112"/>
        <v/>
      </c>
    </row>
    <row r="829" spans="1:41">
      <c r="A829">
        <f t="shared" si="117"/>
        <v>825</v>
      </c>
      <c r="B829" t="s">
        <v>266</v>
      </c>
      <c r="C829">
        <v>5</v>
      </c>
      <c r="D829">
        <v>5</v>
      </c>
      <c r="E829" t="s">
        <v>387</v>
      </c>
      <c r="F829">
        <v>412</v>
      </c>
      <c r="G829">
        <v>1</v>
      </c>
      <c r="H829">
        <v>84</v>
      </c>
      <c r="I829" t="s">
        <v>386</v>
      </c>
      <c r="J829" t="s">
        <v>386</v>
      </c>
      <c r="K829">
        <v>1000000</v>
      </c>
      <c r="L829">
        <v>3391</v>
      </c>
      <c r="M829">
        <v>3391</v>
      </c>
      <c r="N829">
        <v>4286</v>
      </c>
      <c r="O829">
        <v>0</v>
      </c>
      <c r="P829">
        <v>5756</v>
      </c>
      <c r="Q829">
        <v>8718</v>
      </c>
      <c r="R829">
        <v>8823</v>
      </c>
      <c r="S829">
        <v>5969</v>
      </c>
      <c r="T829">
        <v>0</v>
      </c>
      <c r="U829">
        <v>10484</v>
      </c>
      <c r="V829">
        <v>455.30685948000001</v>
      </c>
      <c r="AH829">
        <f t="shared" si="113"/>
        <v>3391</v>
      </c>
      <c r="AI829">
        <f t="shared" si="114"/>
        <v>4286</v>
      </c>
      <c r="AJ829" t="str">
        <f t="shared" si="115"/>
        <v/>
      </c>
      <c r="AK829">
        <f t="shared" si="116"/>
        <v>5756</v>
      </c>
      <c r="AL829">
        <f t="shared" si="109"/>
        <v>8718</v>
      </c>
      <c r="AM829">
        <f t="shared" si="110"/>
        <v>8823</v>
      </c>
      <c r="AN829">
        <f t="shared" si="111"/>
        <v>5969</v>
      </c>
      <c r="AO829" t="str">
        <f t="shared" si="112"/>
        <v/>
      </c>
    </row>
    <row r="830" spans="1:41">
      <c r="A830">
        <f t="shared" si="117"/>
        <v>826</v>
      </c>
      <c r="B830" t="s">
        <v>266</v>
      </c>
      <c r="C830">
        <v>5</v>
      </c>
      <c r="D830">
        <v>5</v>
      </c>
      <c r="E830" t="s">
        <v>387</v>
      </c>
      <c r="F830">
        <v>412</v>
      </c>
      <c r="G830">
        <v>1</v>
      </c>
      <c r="H830">
        <v>85</v>
      </c>
      <c r="I830" t="s">
        <v>386</v>
      </c>
      <c r="J830" t="s">
        <v>386</v>
      </c>
      <c r="K830">
        <v>1000000</v>
      </c>
      <c r="L830">
        <v>3637</v>
      </c>
      <c r="M830">
        <v>3637</v>
      </c>
      <c r="N830">
        <v>4596</v>
      </c>
      <c r="O830">
        <v>0</v>
      </c>
      <c r="P830">
        <v>5814</v>
      </c>
      <c r="Q830">
        <v>8843</v>
      </c>
      <c r="R830">
        <v>8986</v>
      </c>
      <c r="S830">
        <v>6088</v>
      </c>
      <c r="T830">
        <v>0</v>
      </c>
      <c r="U830">
        <v>11221</v>
      </c>
      <c r="V830">
        <v>456.09339282000002</v>
      </c>
      <c r="AH830">
        <f t="shared" si="113"/>
        <v>3637</v>
      </c>
      <c r="AI830">
        <f t="shared" si="114"/>
        <v>4596</v>
      </c>
      <c r="AJ830" t="str">
        <f t="shared" si="115"/>
        <v/>
      </c>
      <c r="AK830">
        <f t="shared" si="116"/>
        <v>5814</v>
      </c>
      <c r="AL830">
        <f t="shared" si="109"/>
        <v>8843</v>
      </c>
      <c r="AM830">
        <f t="shared" si="110"/>
        <v>8986</v>
      </c>
      <c r="AN830">
        <f t="shared" si="111"/>
        <v>6088</v>
      </c>
      <c r="AO830" t="str">
        <f t="shared" si="112"/>
        <v/>
      </c>
    </row>
    <row r="831" spans="1:41">
      <c r="A831">
        <f t="shared" si="117"/>
        <v>827</v>
      </c>
      <c r="B831" t="s">
        <v>266</v>
      </c>
      <c r="C831">
        <v>5</v>
      </c>
      <c r="D831">
        <v>5</v>
      </c>
      <c r="E831" t="s">
        <v>387</v>
      </c>
      <c r="F831">
        <v>412</v>
      </c>
      <c r="G831">
        <v>1</v>
      </c>
      <c r="H831">
        <v>86</v>
      </c>
      <c r="I831" t="s">
        <v>386</v>
      </c>
      <c r="J831" t="s">
        <v>386</v>
      </c>
      <c r="K831">
        <v>1000000</v>
      </c>
      <c r="L831">
        <v>3887</v>
      </c>
      <c r="M831">
        <v>3887</v>
      </c>
      <c r="N831">
        <v>4911</v>
      </c>
      <c r="O831">
        <v>0</v>
      </c>
      <c r="P831">
        <v>5920</v>
      </c>
      <c r="Q831">
        <v>9027</v>
      </c>
      <c r="R831">
        <v>9168</v>
      </c>
      <c r="S831">
        <v>6193</v>
      </c>
      <c r="T831">
        <v>0</v>
      </c>
      <c r="U831">
        <v>11969</v>
      </c>
      <c r="V831">
        <v>456.97502054</v>
      </c>
      <c r="AH831">
        <f t="shared" si="113"/>
        <v>3887</v>
      </c>
      <c r="AI831">
        <f t="shared" si="114"/>
        <v>4911</v>
      </c>
      <c r="AJ831" t="str">
        <f t="shared" si="115"/>
        <v/>
      </c>
      <c r="AK831">
        <f t="shared" si="116"/>
        <v>5920</v>
      </c>
      <c r="AL831">
        <f t="shared" si="109"/>
        <v>9027</v>
      </c>
      <c r="AM831">
        <f t="shared" si="110"/>
        <v>9168</v>
      </c>
      <c r="AN831">
        <f t="shared" si="111"/>
        <v>6193</v>
      </c>
      <c r="AO831" t="str">
        <f t="shared" si="112"/>
        <v/>
      </c>
    </row>
    <row r="832" spans="1:41">
      <c r="A832">
        <f t="shared" si="117"/>
        <v>828</v>
      </c>
      <c r="B832" t="s">
        <v>266</v>
      </c>
      <c r="C832">
        <v>5</v>
      </c>
      <c r="D832">
        <v>5</v>
      </c>
      <c r="E832" t="s">
        <v>387</v>
      </c>
      <c r="F832">
        <v>412</v>
      </c>
      <c r="G832">
        <v>1</v>
      </c>
      <c r="H832">
        <v>87</v>
      </c>
      <c r="I832" t="s">
        <v>386</v>
      </c>
      <c r="J832" t="s">
        <v>386</v>
      </c>
      <c r="K832">
        <v>1000000</v>
      </c>
      <c r="L832">
        <v>4138</v>
      </c>
      <c r="M832">
        <v>4138</v>
      </c>
      <c r="N832">
        <v>5229</v>
      </c>
      <c r="O832">
        <v>0</v>
      </c>
      <c r="P832">
        <v>6017</v>
      </c>
      <c r="Q832">
        <v>9139</v>
      </c>
      <c r="R832">
        <v>9222</v>
      </c>
      <c r="S832">
        <v>6162</v>
      </c>
      <c r="T832">
        <v>0</v>
      </c>
      <c r="U832">
        <v>12721</v>
      </c>
      <c r="V832">
        <v>458.05425160999999</v>
      </c>
      <c r="AH832">
        <f t="shared" si="113"/>
        <v>4138</v>
      </c>
      <c r="AI832">
        <f t="shared" si="114"/>
        <v>5229</v>
      </c>
      <c r="AJ832" t="str">
        <f t="shared" si="115"/>
        <v/>
      </c>
      <c r="AK832">
        <f t="shared" si="116"/>
        <v>6017</v>
      </c>
      <c r="AL832">
        <f t="shared" si="109"/>
        <v>9139</v>
      </c>
      <c r="AM832">
        <f t="shared" si="110"/>
        <v>9222</v>
      </c>
      <c r="AN832">
        <f t="shared" si="111"/>
        <v>6162</v>
      </c>
      <c r="AO832" t="str">
        <f t="shared" si="112"/>
        <v/>
      </c>
    </row>
    <row r="833" spans="1:41">
      <c r="A833">
        <f t="shared" si="117"/>
        <v>829</v>
      </c>
      <c r="B833" t="s">
        <v>266</v>
      </c>
      <c r="C833">
        <v>5</v>
      </c>
      <c r="D833">
        <v>5</v>
      </c>
      <c r="E833" t="s">
        <v>387</v>
      </c>
      <c r="F833">
        <v>412</v>
      </c>
      <c r="G833">
        <v>1</v>
      </c>
      <c r="H833">
        <v>88</v>
      </c>
      <c r="I833" t="s">
        <v>386</v>
      </c>
      <c r="J833" t="s">
        <v>386</v>
      </c>
      <c r="K833">
        <v>1000000</v>
      </c>
      <c r="L833">
        <v>4385</v>
      </c>
      <c r="M833">
        <v>4385</v>
      </c>
      <c r="N833">
        <v>5540</v>
      </c>
      <c r="O833">
        <v>0</v>
      </c>
      <c r="P833">
        <v>5976</v>
      </c>
      <c r="Q833">
        <v>8983</v>
      </c>
      <c r="R833">
        <v>8921</v>
      </c>
      <c r="S833">
        <v>5832</v>
      </c>
      <c r="T833">
        <v>0</v>
      </c>
      <c r="U833">
        <v>13460</v>
      </c>
      <c r="V833">
        <v>459.22971983000002</v>
      </c>
      <c r="AH833">
        <f t="shared" si="113"/>
        <v>4385</v>
      </c>
      <c r="AI833">
        <f t="shared" si="114"/>
        <v>5540</v>
      </c>
      <c r="AJ833" t="str">
        <f t="shared" si="115"/>
        <v/>
      </c>
      <c r="AK833">
        <f t="shared" si="116"/>
        <v>5976</v>
      </c>
      <c r="AL833">
        <f t="shared" si="109"/>
        <v>8983</v>
      </c>
      <c r="AM833">
        <f t="shared" si="110"/>
        <v>8921</v>
      </c>
      <c r="AN833">
        <f t="shared" si="111"/>
        <v>5832</v>
      </c>
      <c r="AO833" t="str">
        <f t="shared" si="112"/>
        <v/>
      </c>
    </row>
    <row r="834" spans="1:41">
      <c r="A834">
        <f t="shared" si="117"/>
        <v>830</v>
      </c>
      <c r="B834" t="s">
        <v>266</v>
      </c>
      <c r="C834">
        <v>5</v>
      </c>
      <c r="D834">
        <v>5</v>
      </c>
      <c r="E834" t="s">
        <v>387</v>
      </c>
      <c r="F834">
        <v>412</v>
      </c>
      <c r="G834">
        <v>1</v>
      </c>
      <c r="H834">
        <v>89</v>
      </c>
      <c r="I834" t="s">
        <v>386</v>
      </c>
      <c r="J834" t="s">
        <v>386</v>
      </c>
      <c r="K834">
        <v>1000000</v>
      </c>
      <c r="L834">
        <v>4616</v>
      </c>
      <c r="M834">
        <v>4616</v>
      </c>
      <c r="N834">
        <v>5832</v>
      </c>
      <c r="O834">
        <v>0</v>
      </c>
      <c r="P834">
        <v>5667</v>
      </c>
      <c r="Q834">
        <v>8331</v>
      </c>
      <c r="R834">
        <v>8037</v>
      </c>
      <c r="S834">
        <v>5069</v>
      </c>
      <c r="T834">
        <v>0</v>
      </c>
      <c r="U834">
        <v>14151</v>
      </c>
      <c r="V834">
        <v>460.60396395999999</v>
      </c>
      <c r="AH834">
        <f t="shared" si="113"/>
        <v>4616</v>
      </c>
      <c r="AI834">
        <f t="shared" si="114"/>
        <v>5832</v>
      </c>
      <c r="AJ834" t="str">
        <f t="shared" si="115"/>
        <v/>
      </c>
      <c r="AK834">
        <f t="shared" si="116"/>
        <v>5667</v>
      </c>
      <c r="AL834">
        <f t="shared" si="109"/>
        <v>8331</v>
      </c>
      <c r="AM834">
        <f t="shared" si="110"/>
        <v>8037</v>
      </c>
      <c r="AN834">
        <f t="shared" si="111"/>
        <v>5069</v>
      </c>
      <c r="AO834" t="str">
        <f t="shared" si="112"/>
        <v/>
      </c>
    </row>
    <row r="835" spans="1:41">
      <c r="A835">
        <f t="shared" si="117"/>
        <v>831</v>
      </c>
      <c r="B835" t="s">
        <v>266</v>
      </c>
      <c r="C835">
        <v>5</v>
      </c>
      <c r="D835">
        <v>5</v>
      </c>
      <c r="E835" t="s">
        <v>387</v>
      </c>
      <c r="F835">
        <v>412</v>
      </c>
      <c r="G835">
        <v>1</v>
      </c>
      <c r="H835">
        <v>90</v>
      </c>
      <c r="I835" t="s">
        <v>386</v>
      </c>
      <c r="J835" t="s">
        <v>386</v>
      </c>
      <c r="K835">
        <v>1000000</v>
      </c>
      <c r="L835">
        <v>4829</v>
      </c>
      <c r="M835">
        <v>4829</v>
      </c>
      <c r="N835">
        <v>6101</v>
      </c>
      <c r="O835">
        <v>0</v>
      </c>
      <c r="P835">
        <v>5117</v>
      </c>
      <c r="Q835">
        <v>7337</v>
      </c>
      <c r="R835">
        <v>6946</v>
      </c>
      <c r="S835">
        <v>4518</v>
      </c>
      <c r="T835">
        <v>0</v>
      </c>
      <c r="U835">
        <v>14790</v>
      </c>
      <c r="V835">
        <v>462.12880469999999</v>
      </c>
      <c r="AH835">
        <f t="shared" si="113"/>
        <v>4829</v>
      </c>
      <c r="AI835">
        <f t="shared" si="114"/>
        <v>6101</v>
      </c>
      <c r="AJ835" t="str">
        <f t="shared" si="115"/>
        <v/>
      </c>
      <c r="AK835">
        <f t="shared" si="116"/>
        <v>5117</v>
      </c>
      <c r="AL835">
        <f t="shared" si="109"/>
        <v>7337</v>
      </c>
      <c r="AM835">
        <f t="shared" si="110"/>
        <v>6946</v>
      </c>
      <c r="AN835">
        <f t="shared" si="111"/>
        <v>4518</v>
      </c>
      <c r="AO835" t="str">
        <f t="shared" si="112"/>
        <v/>
      </c>
    </row>
    <row r="836" spans="1:41">
      <c r="A836">
        <f t="shared" si="117"/>
        <v>832</v>
      </c>
      <c r="B836" t="s">
        <v>266</v>
      </c>
      <c r="C836">
        <v>5</v>
      </c>
      <c r="D836">
        <v>5</v>
      </c>
      <c r="E836" t="s">
        <v>387</v>
      </c>
      <c r="F836">
        <v>412</v>
      </c>
      <c r="G836">
        <v>1</v>
      </c>
      <c r="H836">
        <v>91</v>
      </c>
      <c r="I836" t="s">
        <v>386</v>
      </c>
      <c r="J836" t="s">
        <v>386</v>
      </c>
      <c r="K836">
        <v>1000000</v>
      </c>
      <c r="L836">
        <v>5038</v>
      </c>
      <c r="M836">
        <v>5038</v>
      </c>
      <c r="N836">
        <v>6364</v>
      </c>
      <c r="O836">
        <v>0</v>
      </c>
      <c r="P836">
        <v>4632</v>
      </c>
      <c r="Q836">
        <v>6715</v>
      </c>
      <c r="R836">
        <v>6822</v>
      </c>
      <c r="S836">
        <v>4902</v>
      </c>
      <c r="T836">
        <v>0</v>
      </c>
      <c r="U836">
        <v>15415</v>
      </c>
      <c r="V836">
        <v>463.75485749000001</v>
      </c>
      <c r="AH836">
        <f t="shared" si="113"/>
        <v>5038</v>
      </c>
      <c r="AI836">
        <f t="shared" si="114"/>
        <v>6364</v>
      </c>
      <c r="AJ836" t="str">
        <f t="shared" si="115"/>
        <v/>
      </c>
      <c r="AK836">
        <f t="shared" si="116"/>
        <v>4632</v>
      </c>
      <c r="AL836">
        <f t="shared" si="109"/>
        <v>6715</v>
      </c>
      <c r="AM836">
        <f t="shared" si="110"/>
        <v>6822</v>
      </c>
      <c r="AN836">
        <f t="shared" si="111"/>
        <v>4902</v>
      </c>
      <c r="AO836" t="str">
        <f t="shared" si="112"/>
        <v/>
      </c>
    </row>
    <row r="837" spans="1:41">
      <c r="A837">
        <f t="shared" si="117"/>
        <v>833</v>
      </c>
      <c r="B837" t="s">
        <v>266</v>
      </c>
      <c r="C837">
        <v>5</v>
      </c>
      <c r="D837">
        <v>5</v>
      </c>
      <c r="E837" t="s">
        <v>387</v>
      </c>
      <c r="F837">
        <v>412</v>
      </c>
      <c r="G837">
        <v>1</v>
      </c>
      <c r="H837">
        <v>92</v>
      </c>
      <c r="I837" t="s">
        <v>386</v>
      </c>
      <c r="J837" t="s">
        <v>386</v>
      </c>
      <c r="K837">
        <v>1000000</v>
      </c>
      <c r="L837">
        <v>5264</v>
      </c>
      <c r="M837">
        <v>5264</v>
      </c>
      <c r="N837">
        <v>6649</v>
      </c>
      <c r="O837">
        <v>0</v>
      </c>
      <c r="P837">
        <v>4710</v>
      </c>
      <c r="Q837">
        <v>7509</v>
      </c>
      <c r="R837">
        <v>8350</v>
      </c>
      <c r="S837">
        <v>6276</v>
      </c>
      <c r="T837">
        <v>0</v>
      </c>
      <c r="U837">
        <v>16090</v>
      </c>
      <c r="V837">
        <v>465.43150066999999</v>
      </c>
      <c r="AH837">
        <f t="shared" si="113"/>
        <v>5264</v>
      </c>
      <c r="AI837">
        <f t="shared" si="114"/>
        <v>6649</v>
      </c>
      <c r="AJ837" t="str">
        <f t="shared" si="115"/>
        <v/>
      </c>
      <c r="AK837">
        <f t="shared" si="116"/>
        <v>4710</v>
      </c>
      <c r="AL837">
        <f t="shared" ref="AL837:AL900" si="118">IF(Q837=AC837, "", Q837-AC837)</f>
        <v>7509</v>
      </c>
      <c r="AM837">
        <f t="shared" ref="AM837:AM900" si="119">IF(R837=AD837, "", R837-AD837)</f>
        <v>8350</v>
      </c>
      <c r="AN837">
        <f t="shared" ref="AN837:AN900" si="120">IF(S837=AE837, "", S837-AE837)</f>
        <v>6276</v>
      </c>
      <c r="AO837" t="str">
        <f t="shared" ref="AO837:AO900" si="121">IF(T837=AF837, "", T837-AF837)</f>
        <v/>
      </c>
    </row>
    <row r="838" spans="1:41">
      <c r="A838">
        <f t="shared" si="117"/>
        <v>834</v>
      </c>
      <c r="B838" t="s">
        <v>266</v>
      </c>
      <c r="C838">
        <v>5</v>
      </c>
      <c r="D838">
        <v>5</v>
      </c>
      <c r="E838" t="s">
        <v>387</v>
      </c>
      <c r="F838">
        <v>412</v>
      </c>
      <c r="G838">
        <v>1</v>
      </c>
      <c r="H838">
        <v>93</v>
      </c>
      <c r="I838" t="s">
        <v>386</v>
      </c>
      <c r="J838" t="s">
        <v>386</v>
      </c>
      <c r="K838">
        <v>1000000</v>
      </c>
      <c r="L838">
        <v>5526</v>
      </c>
      <c r="M838">
        <v>5526</v>
      </c>
      <c r="N838">
        <v>6980</v>
      </c>
      <c r="O838">
        <v>0</v>
      </c>
      <c r="P838">
        <v>5874</v>
      </c>
      <c r="Q838">
        <v>9866</v>
      </c>
      <c r="R838">
        <v>11023</v>
      </c>
      <c r="S838">
        <v>8058</v>
      </c>
      <c r="T838">
        <v>0</v>
      </c>
      <c r="U838">
        <v>16875</v>
      </c>
      <c r="V838">
        <v>467.16000329000002</v>
      </c>
      <c r="AH838">
        <f t="shared" ref="AH838:AH901" si="122">IF(L838=Y838, "",L838-Y838)</f>
        <v>5526</v>
      </c>
      <c r="AI838">
        <f t="shared" ref="AI838:AI901" si="123">IF(N838=Z838, "", N838-Z838)</f>
        <v>6980</v>
      </c>
      <c r="AJ838" t="str">
        <f t="shared" ref="AJ838:AJ901" si="124">IF(O838=AA838, "", O838-AA838)</f>
        <v/>
      </c>
      <c r="AK838">
        <f t="shared" ref="AK838:AK901" si="125">IF(P838=AB838, "", P838-AB838)</f>
        <v>5874</v>
      </c>
      <c r="AL838">
        <f t="shared" si="118"/>
        <v>9866</v>
      </c>
      <c r="AM838">
        <f t="shared" si="119"/>
        <v>11023</v>
      </c>
      <c r="AN838">
        <f t="shared" si="120"/>
        <v>8058</v>
      </c>
      <c r="AO838" t="str">
        <f t="shared" si="121"/>
        <v/>
      </c>
    </row>
    <row r="839" spans="1:41">
      <c r="A839">
        <f t="shared" ref="A839:A902" si="126">A838+1</f>
        <v>835</v>
      </c>
      <c r="B839" t="s">
        <v>266</v>
      </c>
      <c r="C839">
        <v>5</v>
      </c>
      <c r="D839">
        <v>5</v>
      </c>
      <c r="E839" t="s">
        <v>387</v>
      </c>
      <c r="F839">
        <v>412</v>
      </c>
      <c r="G839">
        <v>1</v>
      </c>
      <c r="H839">
        <v>94</v>
      </c>
      <c r="I839" t="s">
        <v>386</v>
      </c>
      <c r="J839" t="s">
        <v>386</v>
      </c>
      <c r="K839">
        <v>1000000</v>
      </c>
      <c r="L839">
        <v>5840</v>
      </c>
      <c r="M839">
        <v>5840</v>
      </c>
      <c r="N839">
        <v>7376</v>
      </c>
      <c r="O839">
        <v>0</v>
      </c>
      <c r="P839">
        <v>7660</v>
      </c>
      <c r="Q839">
        <v>12577</v>
      </c>
      <c r="R839">
        <v>13465</v>
      </c>
      <c r="S839">
        <v>9358</v>
      </c>
      <c r="T839">
        <v>0</v>
      </c>
      <c r="U839">
        <v>17814</v>
      </c>
      <c r="V839">
        <v>469.07638835</v>
      </c>
      <c r="AH839">
        <f t="shared" si="122"/>
        <v>5840</v>
      </c>
      <c r="AI839">
        <f t="shared" si="123"/>
        <v>7376</v>
      </c>
      <c r="AJ839" t="str">
        <f t="shared" si="124"/>
        <v/>
      </c>
      <c r="AK839">
        <f t="shared" si="125"/>
        <v>7660</v>
      </c>
      <c r="AL839">
        <f t="shared" si="118"/>
        <v>12577</v>
      </c>
      <c r="AM839">
        <f t="shared" si="119"/>
        <v>13465</v>
      </c>
      <c r="AN839">
        <f t="shared" si="120"/>
        <v>9358</v>
      </c>
      <c r="AO839" t="str">
        <f t="shared" si="121"/>
        <v/>
      </c>
    </row>
    <row r="840" spans="1:41">
      <c r="A840">
        <f t="shared" si="126"/>
        <v>836</v>
      </c>
      <c r="B840" t="s">
        <v>266</v>
      </c>
      <c r="C840">
        <v>5</v>
      </c>
      <c r="D840">
        <v>5</v>
      </c>
      <c r="E840" t="s">
        <v>387</v>
      </c>
      <c r="F840">
        <v>412</v>
      </c>
      <c r="G840">
        <v>1</v>
      </c>
      <c r="H840">
        <v>95</v>
      </c>
      <c r="I840" t="s">
        <v>386</v>
      </c>
      <c r="J840" t="s">
        <v>386</v>
      </c>
      <c r="K840">
        <v>1000000</v>
      </c>
      <c r="L840">
        <v>6197</v>
      </c>
      <c r="M840">
        <v>6197</v>
      </c>
      <c r="N840">
        <v>7826</v>
      </c>
      <c r="O840">
        <v>0</v>
      </c>
      <c r="P840">
        <v>9064</v>
      </c>
      <c r="Q840">
        <v>14203</v>
      </c>
      <c r="R840">
        <v>14453</v>
      </c>
      <c r="S840">
        <v>9562</v>
      </c>
      <c r="T840">
        <v>0</v>
      </c>
      <c r="U840">
        <v>18882</v>
      </c>
      <c r="V840">
        <v>471.42020765000001</v>
      </c>
      <c r="AH840">
        <f t="shared" si="122"/>
        <v>6197</v>
      </c>
      <c r="AI840">
        <f t="shared" si="123"/>
        <v>7826</v>
      </c>
      <c r="AJ840" t="str">
        <f t="shared" si="124"/>
        <v/>
      </c>
      <c r="AK840">
        <f t="shared" si="125"/>
        <v>9064</v>
      </c>
      <c r="AL840">
        <f t="shared" si="118"/>
        <v>14203</v>
      </c>
      <c r="AM840">
        <f t="shared" si="119"/>
        <v>14453</v>
      </c>
      <c r="AN840">
        <f t="shared" si="120"/>
        <v>9562</v>
      </c>
      <c r="AO840" t="str">
        <f t="shared" si="121"/>
        <v/>
      </c>
    </row>
    <row r="841" spans="1:41">
      <c r="A841">
        <f t="shared" si="126"/>
        <v>837</v>
      </c>
      <c r="B841" t="s">
        <v>266</v>
      </c>
      <c r="C841">
        <v>4</v>
      </c>
      <c r="D841">
        <v>4</v>
      </c>
      <c r="E841" t="s">
        <v>387</v>
      </c>
      <c r="F841">
        <v>412</v>
      </c>
      <c r="G841">
        <v>1</v>
      </c>
      <c r="H841">
        <v>96</v>
      </c>
      <c r="I841" t="s">
        <v>386</v>
      </c>
      <c r="J841" t="s">
        <v>386</v>
      </c>
      <c r="K841">
        <v>1000000</v>
      </c>
      <c r="L841">
        <v>6395</v>
      </c>
      <c r="M841">
        <v>6395</v>
      </c>
      <c r="N841">
        <v>8075</v>
      </c>
      <c r="O841">
        <v>0</v>
      </c>
      <c r="P841">
        <v>7322</v>
      </c>
      <c r="Q841">
        <v>9809</v>
      </c>
      <c r="R841">
        <v>7211</v>
      </c>
      <c r="S841">
        <v>0</v>
      </c>
      <c r="T841" t="s">
        <v>386</v>
      </c>
      <c r="U841">
        <v>15738</v>
      </c>
      <c r="V841">
        <v>474.29610022999998</v>
      </c>
      <c r="AH841">
        <f t="shared" si="122"/>
        <v>6395</v>
      </c>
      <c r="AI841">
        <f t="shared" si="123"/>
        <v>8075</v>
      </c>
      <c r="AJ841" t="str">
        <f t="shared" si="124"/>
        <v/>
      </c>
      <c r="AK841">
        <f t="shared" si="125"/>
        <v>7322</v>
      </c>
      <c r="AL841">
        <f t="shared" si="118"/>
        <v>9809</v>
      </c>
      <c r="AM841">
        <f t="shared" si="119"/>
        <v>7211</v>
      </c>
      <c r="AN841" t="str">
        <f t="shared" si="120"/>
        <v/>
      </c>
      <c r="AO841" t="e">
        <f t="shared" si="121"/>
        <v>#VALUE!</v>
      </c>
    </row>
    <row r="842" spans="1:41">
      <c r="A842">
        <f t="shared" si="126"/>
        <v>838</v>
      </c>
      <c r="B842" t="s">
        <v>266</v>
      </c>
      <c r="C842">
        <v>3</v>
      </c>
      <c r="D842">
        <v>3</v>
      </c>
      <c r="E842" t="s">
        <v>387</v>
      </c>
      <c r="F842">
        <v>412</v>
      </c>
      <c r="G842">
        <v>1</v>
      </c>
      <c r="H842">
        <v>97</v>
      </c>
      <c r="I842" t="s">
        <v>386</v>
      </c>
      <c r="J842" t="s">
        <v>386</v>
      </c>
      <c r="K842">
        <v>1000000</v>
      </c>
      <c r="L842">
        <v>6606</v>
      </c>
      <c r="M842">
        <v>6606</v>
      </c>
      <c r="N842">
        <v>8343</v>
      </c>
      <c r="O842">
        <v>0</v>
      </c>
      <c r="P842">
        <v>4868</v>
      </c>
      <c r="Q842">
        <v>4710</v>
      </c>
      <c r="R842">
        <v>0</v>
      </c>
      <c r="S842" t="s">
        <v>386</v>
      </c>
      <c r="T842" t="s">
        <v>386</v>
      </c>
      <c r="U842">
        <v>12391</v>
      </c>
      <c r="V842">
        <v>477.62346452000003</v>
      </c>
      <c r="AH842">
        <f t="shared" si="122"/>
        <v>6606</v>
      </c>
      <c r="AI842">
        <f t="shared" si="123"/>
        <v>8343</v>
      </c>
      <c r="AJ842" t="str">
        <f t="shared" si="124"/>
        <v/>
      </c>
      <c r="AK842">
        <f t="shared" si="125"/>
        <v>4868</v>
      </c>
      <c r="AL842">
        <f t="shared" si="118"/>
        <v>4710</v>
      </c>
      <c r="AM842" t="str">
        <f t="shared" si="119"/>
        <v/>
      </c>
      <c r="AN842" t="e">
        <f t="shared" si="120"/>
        <v>#VALUE!</v>
      </c>
      <c r="AO842" t="e">
        <f t="shared" si="121"/>
        <v>#VALUE!</v>
      </c>
    </row>
    <row r="843" spans="1:41">
      <c r="A843">
        <f t="shared" si="126"/>
        <v>839</v>
      </c>
      <c r="B843" t="s">
        <v>266</v>
      </c>
      <c r="C843">
        <v>2</v>
      </c>
      <c r="D843">
        <v>2</v>
      </c>
      <c r="E843" t="s">
        <v>387</v>
      </c>
      <c r="F843">
        <v>412</v>
      </c>
      <c r="G843">
        <v>1</v>
      </c>
      <c r="H843">
        <v>98</v>
      </c>
      <c r="I843" t="s">
        <v>386</v>
      </c>
      <c r="J843" t="s">
        <v>386</v>
      </c>
      <c r="K843">
        <v>1000000</v>
      </c>
      <c r="L843">
        <v>6813</v>
      </c>
      <c r="M843">
        <v>6813</v>
      </c>
      <c r="N843">
        <v>8614</v>
      </c>
      <c r="O843">
        <v>0</v>
      </c>
      <c r="P843">
        <v>2246</v>
      </c>
      <c r="Q843">
        <v>0</v>
      </c>
      <c r="R843" t="s">
        <v>386</v>
      </c>
      <c r="S843" t="s">
        <v>386</v>
      </c>
      <c r="T843" t="s">
        <v>386</v>
      </c>
      <c r="U843">
        <v>8799</v>
      </c>
      <c r="V843">
        <v>481.17881590000002</v>
      </c>
      <c r="AH843">
        <f t="shared" si="122"/>
        <v>6813</v>
      </c>
      <c r="AI843">
        <f t="shared" si="123"/>
        <v>8614</v>
      </c>
      <c r="AJ843" t="str">
        <f t="shared" si="124"/>
        <v/>
      </c>
      <c r="AK843">
        <f t="shared" si="125"/>
        <v>2246</v>
      </c>
      <c r="AL843" t="str">
        <f t="shared" si="118"/>
        <v/>
      </c>
      <c r="AM843" t="e">
        <f t="shared" si="119"/>
        <v>#VALUE!</v>
      </c>
      <c r="AN843" t="e">
        <f t="shared" si="120"/>
        <v>#VALUE!</v>
      </c>
      <c r="AO843" t="e">
        <f t="shared" si="121"/>
        <v>#VALUE!</v>
      </c>
    </row>
    <row r="844" spans="1:41">
      <c r="A844">
        <f t="shared" si="126"/>
        <v>840</v>
      </c>
      <c r="B844" t="s">
        <v>266</v>
      </c>
      <c r="C844">
        <v>1</v>
      </c>
      <c r="D844">
        <v>1</v>
      </c>
      <c r="E844" t="s">
        <v>387</v>
      </c>
      <c r="F844">
        <v>412</v>
      </c>
      <c r="G844">
        <v>1</v>
      </c>
      <c r="H844">
        <v>99</v>
      </c>
      <c r="I844" t="s">
        <v>386</v>
      </c>
      <c r="J844" t="s">
        <v>386</v>
      </c>
      <c r="K844">
        <v>1000000</v>
      </c>
      <c r="L844">
        <v>7003</v>
      </c>
      <c r="M844">
        <v>7003</v>
      </c>
      <c r="N844">
        <v>8881</v>
      </c>
      <c r="O844">
        <v>0</v>
      </c>
      <c r="P844">
        <v>0</v>
      </c>
      <c r="Q844" t="s">
        <v>386</v>
      </c>
      <c r="R844" t="s">
        <v>386</v>
      </c>
      <c r="S844" t="s">
        <v>386</v>
      </c>
      <c r="T844" t="s">
        <v>386</v>
      </c>
      <c r="U844">
        <v>4849</v>
      </c>
      <c r="V844">
        <v>484.61436355000001</v>
      </c>
      <c r="AH844">
        <f t="shared" si="122"/>
        <v>7003</v>
      </c>
      <c r="AI844">
        <f t="shared" si="123"/>
        <v>8881</v>
      </c>
      <c r="AJ844" t="str">
        <f t="shared" si="124"/>
        <v/>
      </c>
      <c r="AK844" t="str">
        <f t="shared" si="125"/>
        <v/>
      </c>
      <c r="AL844" t="e">
        <f t="shared" si="118"/>
        <v>#VALUE!</v>
      </c>
      <c r="AM844" t="e">
        <f t="shared" si="119"/>
        <v>#VALUE!</v>
      </c>
      <c r="AN844" t="e">
        <f t="shared" si="120"/>
        <v>#VALUE!</v>
      </c>
      <c r="AO844" t="e">
        <f t="shared" si="121"/>
        <v>#VALUE!</v>
      </c>
    </row>
    <row r="845" spans="1:41">
      <c r="A845">
        <f t="shared" si="126"/>
        <v>841</v>
      </c>
      <c r="B845" t="s">
        <v>266</v>
      </c>
      <c r="C845">
        <v>5</v>
      </c>
      <c r="D845">
        <v>5</v>
      </c>
      <c r="E845" t="s">
        <v>385</v>
      </c>
      <c r="F845">
        <v>412</v>
      </c>
      <c r="G845">
        <v>2</v>
      </c>
      <c r="H845">
        <v>30</v>
      </c>
      <c r="I845" t="s">
        <v>386</v>
      </c>
      <c r="J845" t="s">
        <v>386</v>
      </c>
      <c r="K845">
        <v>1000000</v>
      </c>
      <c r="L845">
        <v>4</v>
      </c>
      <c r="M845">
        <v>4</v>
      </c>
      <c r="N845">
        <v>12</v>
      </c>
      <c r="O845">
        <v>0</v>
      </c>
      <c r="P845">
        <v>9</v>
      </c>
      <c r="Q845">
        <v>14</v>
      </c>
      <c r="R845">
        <v>15</v>
      </c>
      <c r="S845">
        <v>9</v>
      </c>
      <c r="T845">
        <v>0</v>
      </c>
      <c r="U845">
        <v>348</v>
      </c>
      <c r="V845">
        <v>487.56735450999997</v>
      </c>
      <c r="AH845">
        <f t="shared" si="122"/>
        <v>4</v>
      </c>
      <c r="AI845">
        <f t="shared" si="123"/>
        <v>12</v>
      </c>
      <c r="AJ845" t="str">
        <f t="shared" si="124"/>
        <v/>
      </c>
      <c r="AK845">
        <f t="shared" si="125"/>
        <v>9</v>
      </c>
      <c r="AL845">
        <f t="shared" si="118"/>
        <v>14</v>
      </c>
      <c r="AM845">
        <f t="shared" si="119"/>
        <v>15</v>
      </c>
      <c r="AN845">
        <f t="shared" si="120"/>
        <v>9</v>
      </c>
      <c r="AO845" t="str">
        <f t="shared" si="121"/>
        <v/>
      </c>
    </row>
    <row r="846" spans="1:41">
      <c r="A846">
        <f t="shared" si="126"/>
        <v>842</v>
      </c>
      <c r="B846" t="s">
        <v>266</v>
      </c>
      <c r="C846">
        <v>5</v>
      </c>
      <c r="D846">
        <v>5</v>
      </c>
      <c r="E846" t="s">
        <v>385</v>
      </c>
      <c r="F846">
        <v>412</v>
      </c>
      <c r="G846">
        <v>2</v>
      </c>
      <c r="H846">
        <v>31</v>
      </c>
      <c r="I846" t="s">
        <v>386</v>
      </c>
      <c r="J846" t="s">
        <v>386</v>
      </c>
      <c r="K846">
        <v>1000000</v>
      </c>
      <c r="L846">
        <v>4</v>
      </c>
      <c r="M846">
        <v>4</v>
      </c>
      <c r="N846">
        <v>12</v>
      </c>
      <c r="O846">
        <v>0</v>
      </c>
      <c r="P846">
        <v>10</v>
      </c>
      <c r="Q846">
        <v>18</v>
      </c>
      <c r="R846">
        <v>17</v>
      </c>
      <c r="S846">
        <v>14</v>
      </c>
      <c r="T846">
        <v>0</v>
      </c>
      <c r="U846">
        <v>349</v>
      </c>
      <c r="V846">
        <v>490.0601949</v>
      </c>
      <c r="AH846">
        <f t="shared" si="122"/>
        <v>4</v>
      </c>
      <c r="AI846">
        <f t="shared" si="123"/>
        <v>12</v>
      </c>
      <c r="AJ846" t="str">
        <f t="shared" si="124"/>
        <v/>
      </c>
      <c r="AK846">
        <f t="shared" si="125"/>
        <v>10</v>
      </c>
      <c r="AL846">
        <f t="shared" si="118"/>
        <v>18</v>
      </c>
      <c r="AM846">
        <f t="shared" si="119"/>
        <v>17</v>
      </c>
      <c r="AN846">
        <f t="shared" si="120"/>
        <v>14</v>
      </c>
      <c r="AO846" t="str">
        <f t="shared" si="121"/>
        <v/>
      </c>
    </row>
    <row r="847" spans="1:41">
      <c r="A847">
        <f t="shared" si="126"/>
        <v>843</v>
      </c>
      <c r="B847" t="s">
        <v>266</v>
      </c>
      <c r="C847">
        <v>5</v>
      </c>
      <c r="D847">
        <v>5</v>
      </c>
      <c r="E847" t="s">
        <v>385</v>
      </c>
      <c r="F847">
        <v>412</v>
      </c>
      <c r="G847">
        <v>2</v>
      </c>
      <c r="H847">
        <v>32</v>
      </c>
      <c r="I847" t="s">
        <v>386</v>
      </c>
      <c r="J847" t="s">
        <v>386</v>
      </c>
      <c r="K847">
        <v>1000000</v>
      </c>
      <c r="L847">
        <v>5</v>
      </c>
      <c r="M847">
        <v>5</v>
      </c>
      <c r="N847">
        <v>13</v>
      </c>
      <c r="O847">
        <v>0</v>
      </c>
      <c r="P847">
        <v>13</v>
      </c>
      <c r="Q847">
        <v>19</v>
      </c>
      <c r="R847">
        <v>22</v>
      </c>
      <c r="S847">
        <v>15</v>
      </c>
      <c r="T847">
        <v>0</v>
      </c>
      <c r="U847">
        <v>351</v>
      </c>
      <c r="V847">
        <v>492.18762871000001</v>
      </c>
      <c r="AH847">
        <f t="shared" si="122"/>
        <v>5</v>
      </c>
      <c r="AI847">
        <f t="shared" si="123"/>
        <v>13</v>
      </c>
      <c r="AJ847" t="str">
        <f t="shared" si="124"/>
        <v/>
      </c>
      <c r="AK847">
        <f t="shared" si="125"/>
        <v>13</v>
      </c>
      <c r="AL847">
        <f t="shared" si="118"/>
        <v>19</v>
      </c>
      <c r="AM847">
        <f t="shared" si="119"/>
        <v>22</v>
      </c>
      <c r="AN847">
        <f t="shared" si="120"/>
        <v>15</v>
      </c>
      <c r="AO847" t="str">
        <f t="shared" si="121"/>
        <v/>
      </c>
    </row>
    <row r="848" spans="1:41">
      <c r="A848">
        <f t="shared" si="126"/>
        <v>844</v>
      </c>
      <c r="B848" t="s">
        <v>266</v>
      </c>
      <c r="C848">
        <v>5</v>
      </c>
      <c r="D848">
        <v>5</v>
      </c>
      <c r="E848" t="s">
        <v>385</v>
      </c>
      <c r="F848">
        <v>412</v>
      </c>
      <c r="G848">
        <v>2</v>
      </c>
      <c r="H848">
        <v>33</v>
      </c>
      <c r="I848" t="s">
        <v>386</v>
      </c>
      <c r="J848" t="s">
        <v>386</v>
      </c>
      <c r="K848">
        <v>1000000</v>
      </c>
      <c r="L848">
        <v>5</v>
      </c>
      <c r="M848">
        <v>5</v>
      </c>
      <c r="N848">
        <v>14</v>
      </c>
      <c r="O848">
        <v>0</v>
      </c>
      <c r="P848">
        <v>13</v>
      </c>
      <c r="Q848">
        <v>22</v>
      </c>
      <c r="R848">
        <v>22</v>
      </c>
      <c r="S848">
        <v>15</v>
      </c>
      <c r="T848">
        <v>0</v>
      </c>
      <c r="U848">
        <v>353</v>
      </c>
      <c r="V848">
        <v>494.30024172999998</v>
      </c>
      <c r="AH848">
        <f t="shared" si="122"/>
        <v>5</v>
      </c>
      <c r="AI848">
        <f t="shared" si="123"/>
        <v>14</v>
      </c>
      <c r="AJ848" t="str">
        <f t="shared" si="124"/>
        <v/>
      </c>
      <c r="AK848">
        <f t="shared" si="125"/>
        <v>13</v>
      </c>
      <c r="AL848">
        <f t="shared" si="118"/>
        <v>22</v>
      </c>
      <c r="AM848">
        <f t="shared" si="119"/>
        <v>22</v>
      </c>
      <c r="AN848">
        <f t="shared" si="120"/>
        <v>15</v>
      </c>
      <c r="AO848" t="str">
        <f t="shared" si="121"/>
        <v/>
      </c>
    </row>
    <row r="849" spans="1:41">
      <c r="A849">
        <f t="shared" si="126"/>
        <v>845</v>
      </c>
      <c r="B849" t="s">
        <v>266</v>
      </c>
      <c r="C849">
        <v>5</v>
      </c>
      <c r="D849">
        <v>5</v>
      </c>
      <c r="E849" t="s">
        <v>385</v>
      </c>
      <c r="F849">
        <v>412</v>
      </c>
      <c r="G849">
        <v>2</v>
      </c>
      <c r="H849">
        <v>34</v>
      </c>
      <c r="I849" t="s">
        <v>386</v>
      </c>
      <c r="J849" t="s">
        <v>386</v>
      </c>
      <c r="K849">
        <v>1000000</v>
      </c>
      <c r="L849">
        <v>6</v>
      </c>
      <c r="M849">
        <v>6</v>
      </c>
      <c r="N849">
        <v>15</v>
      </c>
      <c r="O849">
        <v>0</v>
      </c>
      <c r="P849">
        <v>17</v>
      </c>
      <c r="Q849">
        <v>25</v>
      </c>
      <c r="R849">
        <v>26</v>
      </c>
      <c r="S849">
        <v>19</v>
      </c>
      <c r="T849">
        <v>0</v>
      </c>
      <c r="U849">
        <v>355</v>
      </c>
      <c r="V849">
        <v>496.55718180000002</v>
      </c>
      <c r="AH849">
        <f t="shared" si="122"/>
        <v>6</v>
      </c>
      <c r="AI849">
        <f t="shared" si="123"/>
        <v>15</v>
      </c>
      <c r="AJ849" t="str">
        <f t="shared" si="124"/>
        <v/>
      </c>
      <c r="AK849">
        <f t="shared" si="125"/>
        <v>17</v>
      </c>
      <c r="AL849">
        <f t="shared" si="118"/>
        <v>25</v>
      </c>
      <c r="AM849">
        <f t="shared" si="119"/>
        <v>26</v>
      </c>
      <c r="AN849">
        <f t="shared" si="120"/>
        <v>19</v>
      </c>
      <c r="AO849" t="str">
        <f t="shared" si="121"/>
        <v/>
      </c>
    </row>
    <row r="850" spans="1:41">
      <c r="A850">
        <f t="shared" si="126"/>
        <v>846</v>
      </c>
      <c r="B850" t="s">
        <v>266</v>
      </c>
      <c r="C850">
        <v>5</v>
      </c>
      <c r="D850">
        <v>5</v>
      </c>
      <c r="E850" t="s">
        <v>385</v>
      </c>
      <c r="F850">
        <v>412</v>
      </c>
      <c r="G850">
        <v>2</v>
      </c>
      <c r="H850">
        <v>35</v>
      </c>
      <c r="I850" t="s">
        <v>386</v>
      </c>
      <c r="J850" t="s">
        <v>386</v>
      </c>
      <c r="K850">
        <v>1000000</v>
      </c>
      <c r="L850">
        <v>7</v>
      </c>
      <c r="M850">
        <v>7</v>
      </c>
      <c r="N850">
        <v>16</v>
      </c>
      <c r="O850">
        <v>0</v>
      </c>
      <c r="P850">
        <v>17</v>
      </c>
      <c r="Q850">
        <v>28</v>
      </c>
      <c r="R850">
        <v>31</v>
      </c>
      <c r="S850">
        <v>23</v>
      </c>
      <c r="T850">
        <v>0</v>
      </c>
      <c r="U850">
        <v>357</v>
      </c>
      <c r="V850">
        <v>499.06844057000001</v>
      </c>
      <c r="AH850">
        <f t="shared" si="122"/>
        <v>7</v>
      </c>
      <c r="AI850">
        <f t="shared" si="123"/>
        <v>16</v>
      </c>
      <c r="AJ850" t="str">
        <f t="shared" si="124"/>
        <v/>
      </c>
      <c r="AK850">
        <f t="shared" si="125"/>
        <v>17</v>
      </c>
      <c r="AL850">
        <f t="shared" si="118"/>
        <v>28</v>
      </c>
      <c r="AM850">
        <f t="shared" si="119"/>
        <v>31</v>
      </c>
      <c r="AN850">
        <f t="shared" si="120"/>
        <v>23</v>
      </c>
      <c r="AO850" t="str">
        <f t="shared" si="121"/>
        <v/>
      </c>
    </row>
    <row r="851" spans="1:41">
      <c r="A851">
        <f t="shared" si="126"/>
        <v>847</v>
      </c>
      <c r="B851" t="s">
        <v>266</v>
      </c>
      <c r="C851">
        <v>5</v>
      </c>
      <c r="D851">
        <v>5</v>
      </c>
      <c r="E851" t="s">
        <v>385</v>
      </c>
      <c r="F851">
        <v>412</v>
      </c>
      <c r="G851">
        <v>2</v>
      </c>
      <c r="H851">
        <v>36</v>
      </c>
      <c r="I851" t="s">
        <v>386</v>
      </c>
      <c r="J851" t="s">
        <v>386</v>
      </c>
      <c r="K851">
        <v>1000000</v>
      </c>
      <c r="L851">
        <v>8</v>
      </c>
      <c r="M851">
        <v>8</v>
      </c>
      <c r="N851">
        <v>17</v>
      </c>
      <c r="O851">
        <v>0</v>
      </c>
      <c r="P851">
        <v>22</v>
      </c>
      <c r="Q851">
        <v>37</v>
      </c>
      <c r="R851">
        <v>41</v>
      </c>
      <c r="S851">
        <v>31</v>
      </c>
      <c r="T851">
        <v>0</v>
      </c>
      <c r="U851">
        <v>360</v>
      </c>
      <c r="V851">
        <v>501.72784881000001</v>
      </c>
      <c r="AH851">
        <f t="shared" si="122"/>
        <v>8</v>
      </c>
      <c r="AI851">
        <f t="shared" si="123"/>
        <v>17</v>
      </c>
      <c r="AJ851" t="str">
        <f t="shared" si="124"/>
        <v/>
      </c>
      <c r="AK851">
        <f t="shared" si="125"/>
        <v>22</v>
      </c>
      <c r="AL851">
        <f t="shared" si="118"/>
        <v>37</v>
      </c>
      <c r="AM851">
        <f t="shared" si="119"/>
        <v>41</v>
      </c>
      <c r="AN851">
        <f t="shared" si="120"/>
        <v>31</v>
      </c>
      <c r="AO851" t="str">
        <f t="shared" si="121"/>
        <v/>
      </c>
    </row>
    <row r="852" spans="1:41">
      <c r="A852">
        <f t="shared" si="126"/>
        <v>848</v>
      </c>
      <c r="B852" t="s">
        <v>266</v>
      </c>
      <c r="C852">
        <v>5</v>
      </c>
      <c r="D852">
        <v>5</v>
      </c>
      <c r="E852" t="s">
        <v>385</v>
      </c>
      <c r="F852">
        <v>412</v>
      </c>
      <c r="G852">
        <v>2</v>
      </c>
      <c r="H852">
        <v>37</v>
      </c>
      <c r="I852" t="s">
        <v>386</v>
      </c>
      <c r="J852" t="s">
        <v>386</v>
      </c>
      <c r="K852">
        <v>1000000</v>
      </c>
      <c r="L852">
        <v>9</v>
      </c>
      <c r="M852">
        <v>9</v>
      </c>
      <c r="N852">
        <v>18</v>
      </c>
      <c r="O852">
        <v>0</v>
      </c>
      <c r="P852">
        <v>29</v>
      </c>
      <c r="Q852">
        <v>47</v>
      </c>
      <c r="R852">
        <v>51</v>
      </c>
      <c r="S852">
        <v>35</v>
      </c>
      <c r="T852">
        <v>0</v>
      </c>
      <c r="U852">
        <v>364</v>
      </c>
      <c r="V852">
        <v>504.53914193999998</v>
      </c>
      <c r="AH852">
        <f t="shared" si="122"/>
        <v>9</v>
      </c>
      <c r="AI852">
        <f t="shared" si="123"/>
        <v>18</v>
      </c>
      <c r="AJ852" t="str">
        <f t="shared" si="124"/>
        <v/>
      </c>
      <c r="AK852">
        <f t="shared" si="125"/>
        <v>29</v>
      </c>
      <c r="AL852">
        <f t="shared" si="118"/>
        <v>47</v>
      </c>
      <c r="AM852">
        <f t="shared" si="119"/>
        <v>51</v>
      </c>
      <c r="AN852">
        <f t="shared" si="120"/>
        <v>35</v>
      </c>
      <c r="AO852" t="str">
        <f t="shared" si="121"/>
        <v/>
      </c>
    </row>
    <row r="853" spans="1:41">
      <c r="A853">
        <f t="shared" si="126"/>
        <v>849</v>
      </c>
      <c r="B853" t="s">
        <v>266</v>
      </c>
      <c r="C853">
        <v>5</v>
      </c>
      <c r="D853">
        <v>5</v>
      </c>
      <c r="E853" t="s">
        <v>385</v>
      </c>
      <c r="F853">
        <v>412</v>
      </c>
      <c r="G853">
        <v>2</v>
      </c>
      <c r="H853">
        <v>38</v>
      </c>
      <c r="I853" t="s">
        <v>386</v>
      </c>
      <c r="J853" t="s">
        <v>386</v>
      </c>
      <c r="K853">
        <v>1000000</v>
      </c>
      <c r="L853">
        <v>10</v>
      </c>
      <c r="M853">
        <v>10</v>
      </c>
      <c r="N853">
        <v>20</v>
      </c>
      <c r="O853">
        <v>0</v>
      </c>
      <c r="P853">
        <v>35</v>
      </c>
      <c r="Q853">
        <v>57</v>
      </c>
      <c r="R853">
        <v>60</v>
      </c>
      <c r="S853">
        <v>43</v>
      </c>
      <c r="T853">
        <v>0</v>
      </c>
      <c r="U853">
        <v>368</v>
      </c>
      <c r="V853">
        <v>507.49369760000002</v>
      </c>
      <c r="AH853">
        <f t="shared" si="122"/>
        <v>10</v>
      </c>
      <c r="AI853">
        <f t="shared" si="123"/>
        <v>20</v>
      </c>
      <c r="AJ853" t="str">
        <f t="shared" si="124"/>
        <v/>
      </c>
      <c r="AK853">
        <f t="shared" si="125"/>
        <v>35</v>
      </c>
      <c r="AL853">
        <f t="shared" si="118"/>
        <v>57</v>
      </c>
      <c r="AM853">
        <f t="shared" si="119"/>
        <v>60</v>
      </c>
      <c r="AN853">
        <f t="shared" si="120"/>
        <v>43</v>
      </c>
      <c r="AO853" t="str">
        <f t="shared" si="121"/>
        <v/>
      </c>
    </row>
    <row r="854" spans="1:41">
      <c r="A854">
        <f t="shared" si="126"/>
        <v>850</v>
      </c>
      <c r="B854" t="s">
        <v>266</v>
      </c>
      <c r="C854">
        <v>5</v>
      </c>
      <c r="D854">
        <v>5</v>
      </c>
      <c r="E854" t="s">
        <v>385</v>
      </c>
      <c r="F854">
        <v>412</v>
      </c>
      <c r="G854">
        <v>2</v>
      </c>
      <c r="H854">
        <v>39</v>
      </c>
      <c r="I854" t="s">
        <v>386</v>
      </c>
      <c r="J854" t="s">
        <v>386</v>
      </c>
      <c r="K854">
        <v>1000000</v>
      </c>
      <c r="L854">
        <v>12</v>
      </c>
      <c r="M854">
        <v>12</v>
      </c>
      <c r="N854">
        <v>22</v>
      </c>
      <c r="O854">
        <v>0</v>
      </c>
      <c r="P854">
        <v>41</v>
      </c>
      <c r="Q854">
        <v>63</v>
      </c>
      <c r="R854">
        <v>67</v>
      </c>
      <c r="S854">
        <v>45</v>
      </c>
      <c r="T854">
        <v>0</v>
      </c>
      <c r="U854">
        <v>373</v>
      </c>
      <c r="V854">
        <v>510.68903319999998</v>
      </c>
      <c r="AH854">
        <f t="shared" si="122"/>
        <v>12</v>
      </c>
      <c r="AI854">
        <f t="shared" si="123"/>
        <v>22</v>
      </c>
      <c r="AJ854" t="str">
        <f t="shared" si="124"/>
        <v/>
      </c>
      <c r="AK854">
        <f t="shared" si="125"/>
        <v>41</v>
      </c>
      <c r="AL854">
        <f t="shared" si="118"/>
        <v>63</v>
      </c>
      <c r="AM854">
        <f t="shared" si="119"/>
        <v>67</v>
      </c>
      <c r="AN854">
        <f t="shared" si="120"/>
        <v>45</v>
      </c>
      <c r="AO854" t="str">
        <f t="shared" si="121"/>
        <v/>
      </c>
    </row>
    <row r="855" spans="1:41">
      <c r="A855">
        <f t="shared" si="126"/>
        <v>851</v>
      </c>
      <c r="B855" t="s">
        <v>266</v>
      </c>
      <c r="C855">
        <v>5</v>
      </c>
      <c r="D855">
        <v>5</v>
      </c>
      <c r="E855" t="s">
        <v>385</v>
      </c>
      <c r="F855">
        <v>412</v>
      </c>
      <c r="G855">
        <v>2</v>
      </c>
      <c r="H855">
        <v>40</v>
      </c>
      <c r="I855" t="s">
        <v>386</v>
      </c>
      <c r="J855" t="s">
        <v>386</v>
      </c>
      <c r="K855">
        <v>1000000</v>
      </c>
      <c r="L855">
        <v>14</v>
      </c>
      <c r="M855">
        <v>14</v>
      </c>
      <c r="N855">
        <v>25</v>
      </c>
      <c r="O855">
        <v>0</v>
      </c>
      <c r="P855">
        <v>43</v>
      </c>
      <c r="Q855">
        <v>67</v>
      </c>
      <c r="R855">
        <v>67</v>
      </c>
      <c r="S855">
        <v>44</v>
      </c>
      <c r="T855">
        <v>0</v>
      </c>
      <c r="U855">
        <v>378</v>
      </c>
      <c r="V855">
        <v>514.17817170000001</v>
      </c>
      <c r="AH855">
        <f t="shared" si="122"/>
        <v>14</v>
      </c>
      <c r="AI855">
        <f t="shared" si="123"/>
        <v>25</v>
      </c>
      <c r="AJ855" t="str">
        <f t="shared" si="124"/>
        <v/>
      </c>
      <c r="AK855">
        <f t="shared" si="125"/>
        <v>43</v>
      </c>
      <c r="AL855">
        <f t="shared" si="118"/>
        <v>67</v>
      </c>
      <c r="AM855">
        <f t="shared" si="119"/>
        <v>67</v>
      </c>
      <c r="AN855">
        <f t="shared" si="120"/>
        <v>44</v>
      </c>
      <c r="AO855" t="str">
        <f t="shared" si="121"/>
        <v/>
      </c>
    </row>
    <row r="856" spans="1:41">
      <c r="A856">
        <f t="shared" si="126"/>
        <v>852</v>
      </c>
      <c r="B856" t="s">
        <v>266</v>
      </c>
      <c r="C856">
        <v>5</v>
      </c>
      <c r="D856">
        <v>5</v>
      </c>
      <c r="E856" t="s">
        <v>385</v>
      </c>
      <c r="F856">
        <v>412</v>
      </c>
      <c r="G856">
        <v>2</v>
      </c>
      <c r="H856">
        <v>41</v>
      </c>
      <c r="I856" t="s">
        <v>386</v>
      </c>
      <c r="J856" t="s">
        <v>386</v>
      </c>
      <c r="K856">
        <v>1000000</v>
      </c>
      <c r="L856">
        <v>16</v>
      </c>
      <c r="M856">
        <v>16</v>
      </c>
      <c r="N856">
        <v>27</v>
      </c>
      <c r="O856">
        <v>0</v>
      </c>
      <c r="P856">
        <v>47</v>
      </c>
      <c r="Q856">
        <v>70</v>
      </c>
      <c r="R856">
        <v>71</v>
      </c>
      <c r="S856">
        <v>51</v>
      </c>
      <c r="T856">
        <v>0</v>
      </c>
      <c r="U856">
        <v>384</v>
      </c>
      <c r="V856">
        <v>517.86838845</v>
      </c>
      <c r="AH856">
        <f t="shared" si="122"/>
        <v>16</v>
      </c>
      <c r="AI856">
        <f t="shared" si="123"/>
        <v>27</v>
      </c>
      <c r="AJ856" t="str">
        <f t="shared" si="124"/>
        <v/>
      </c>
      <c r="AK856">
        <f t="shared" si="125"/>
        <v>47</v>
      </c>
      <c r="AL856">
        <f t="shared" si="118"/>
        <v>70</v>
      </c>
      <c r="AM856">
        <f t="shared" si="119"/>
        <v>71</v>
      </c>
      <c r="AN856">
        <f t="shared" si="120"/>
        <v>51</v>
      </c>
      <c r="AO856" t="str">
        <f t="shared" si="121"/>
        <v/>
      </c>
    </row>
    <row r="857" spans="1:41">
      <c r="A857">
        <f t="shared" si="126"/>
        <v>853</v>
      </c>
      <c r="B857" t="s">
        <v>266</v>
      </c>
      <c r="C857">
        <v>5</v>
      </c>
      <c r="D857">
        <v>5</v>
      </c>
      <c r="E857" t="s">
        <v>385</v>
      </c>
      <c r="F857">
        <v>412</v>
      </c>
      <c r="G857">
        <v>2</v>
      </c>
      <c r="H857">
        <v>42</v>
      </c>
      <c r="I857" t="s">
        <v>386</v>
      </c>
      <c r="J857" t="s">
        <v>386</v>
      </c>
      <c r="K857">
        <v>1000000</v>
      </c>
      <c r="L857">
        <v>18</v>
      </c>
      <c r="M857">
        <v>18</v>
      </c>
      <c r="N857">
        <v>30</v>
      </c>
      <c r="O857">
        <v>0</v>
      </c>
      <c r="P857">
        <v>47</v>
      </c>
      <c r="Q857">
        <v>72</v>
      </c>
      <c r="R857">
        <v>77</v>
      </c>
      <c r="S857">
        <v>52</v>
      </c>
      <c r="T857">
        <v>0</v>
      </c>
      <c r="U857">
        <v>390</v>
      </c>
      <c r="V857">
        <v>521.85867255000005</v>
      </c>
      <c r="AH857">
        <f t="shared" si="122"/>
        <v>18</v>
      </c>
      <c r="AI857">
        <f t="shared" si="123"/>
        <v>30</v>
      </c>
      <c r="AJ857" t="str">
        <f t="shared" si="124"/>
        <v/>
      </c>
      <c r="AK857">
        <f t="shared" si="125"/>
        <v>47</v>
      </c>
      <c r="AL857">
        <f t="shared" si="118"/>
        <v>72</v>
      </c>
      <c r="AM857">
        <f t="shared" si="119"/>
        <v>77</v>
      </c>
      <c r="AN857">
        <f t="shared" si="120"/>
        <v>52</v>
      </c>
      <c r="AO857" t="str">
        <f t="shared" si="121"/>
        <v/>
      </c>
    </row>
    <row r="858" spans="1:41">
      <c r="A858">
        <f t="shared" si="126"/>
        <v>854</v>
      </c>
      <c r="B858" t="s">
        <v>266</v>
      </c>
      <c r="C858">
        <v>5</v>
      </c>
      <c r="D858">
        <v>5</v>
      </c>
      <c r="E858" t="s">
        <v>385</v>
      </c>
      <c r="F858">
        <v>412</v>
      </c>
      <c r="G858">
        <v>2</v>
      </c>
      <c r="H858">
        <v>43</v>
      </c>
      <c r="I858" t="s">
        <v>386</v>
      </c>
      <c r="J858" t="s">
        <v>386</v>
      </c>
      <c r="K858">
        <v>1000000</v>
      </c>
      <c r="L858">
        <v>20</v>
      </c>
      <c r="M858">
        <v>20</v>
      </c>
      <c r="N858">
        <v>32</v>
      </c>
      <c r="O858">
        <v>0</v>
      </c>
      <c r="P858">
        <v>50</v>
      </c>
      <c r="Q858">
        <v>81</v>
      </c>
      <c r="R858">
        <v>82</v>
      </c>
      <c r="S858">
        <v>56</v>
      </c>
      <c r="T858">
        <v>0</v>
      </c>
      <c r="U858">
        <v>397</v>
      </c>
      <c r="V858">
        <v>526.23802398999999</v>
      </c>
      <c r="AH858">
        <f t="shared" si="122"/>
        <v>20</v>
      </c>
      <c r="AI858">
        <f t="shared" si="123"/>
        <v>32</v>
      </c>
      <c r="AJ858" t="str">
        <f t="shared" si="124"/>
        <v/>
      </c>
      <c r="AK858">
        <f t="shared" si="125"/>
        <v>50</v>
      </c>
      <c r="AL858">
        <f t="shared" si="118"/>
        <v>81</v>
      </c>
      <c r="AM858">
        <f t="shared" si="119"/>
        <v>82</v>
      </c>
      <c r="AN858">
        <f t="shared" si="120"/>
        <v>56</v>
      </c>
      <c r="AO858" t="str">
        <f t="shared" si="121"/>
        <v/>
      </c>
    </row>
    <row r="859" spans="1:41">
      <c r="A859">
        <f t="shared" si="126"/>
        <v>855</v>
      </c>
      <c r="B859" t="s">
        <v>266</v>
      </c>
      <c r="C859">
        <v>5</v>
      </c>
      <c r="D859">
        <v>5</v>
      </c>
      <c r="E859" t="s">
        <v>385</v>
      </c>
      <c r="F859">
        <v>412</v>
      </c>
      <c r="G859">
        <v>2</v>
      </c>
      <c r="H859">
        <v>44</v>
      </c>
      <c r="I859" t="s">
        <v>386</v>
      </c>
      <c r="J859" t="s">
        <v>386</v>
      </c>
      <c r="K859">
        <v>1000000</v>
      </c>
      <c r="L859">
        <v>22</v>
      </c>
      <c r="M859">
        <v>22</v>
      </c>
      <c r="N859">
        <v>35</v>
      </c>
      <c r="O859">
        <v>0</v>
      </c>
      <c r="P859">
        <v>57</v>
      </c>
      <c r="Q859">
        <v>86</v>
      </c>
      <c r="R859">
        <v>88</v>
      </c>
      <c r="S859">
        <v>61</v>
      </c>
      <c r="T859">
        <v>0</v>
      </c>
      <c r="U859">
        <v>404</v>
      </c>
      <c r="V859">
        <v>531.33240066999997</v>
      </c>
      <c r="AH859">
        <f t="shared" si="122"/>
        <v>22</v>
      </c>
      <c r="AI859">
        <f t="shared" si="123"/>
        <v>35</v>
      </c>
      <c r="AJ859" t="str">
        <f t="shared" si="124"/>
        <v/>
      </c>
      <c r="AK859">
        <f t="shared" si="125"/>
        <v>57</v>
      </c>
      <c r="AL859">
        <f t="shared" si="118"/>
        <v>86</v>
      </c>
      <c r="AM859">
        <f t="shared" si="119"/>
        <v>88</v>
      </c>
      <c r="AN859">
        <f t="shared" si="120"/>
        <v>61</v>
      </c>
      <c r="AO859" t="str">
        <f t="shared" si="121"/>
        <v/>
      </c>
    </row>
    <row r="860" spans="1:41">
      <c r="A860">
        <f t="shared" si="126"/>
        <v>856</v>
      </c>
      <c r="B860" t="s">
        <v>266</v>
      </c>
      <c r="C860">
        <v>5</v>
      </c>
      <c r="D860">
        <v>5</v>
      </c>
      <c r="E860" t="s">
        <v>385</v>
      </c>
      <c r="F860">
        <v>412</v>
      </c>
      <c r="G860">
        <v>2</v>
      </c>
      <c r="H860">
        <v>45</v>
      </c>
      <c r="I860" t="s">
        <v>386</v>
      </c>
      <c r="J860" t="s">
        <v>386</v>
      </c>
      <c r="K860">
        <v>1000000</v>
      </c>
      <c r="L860">
        <v>25</v>
      </c>
      <c r="M860">
        <v>25</v>
      </c>
      <c r="N860">
        <v>38</v>
      </c>
      <c r="O860">
        <v>0</v>
      </c>
      <c r="P860">
        <v>55</v>
      </c>
      <c r="Q860">
        <v>85</v>
      </c>
      <c r="R860">
        <v>85</v>
      </c>
      <c r="S860">
        <v>53</v>
      </c>
      <c r="T860">
        <v>0</v>
      </c>
      <c r="U860">
        <v>410</v>
      </c>
      <c r="V860">
        <v>537.48220134999997</v>
      </c>
      <c r="AH860">
        <f t="shared" si="122"/>
        <v>25</v>
      </c>
      <c r="AI860">
        <f t="shared" si="123"/>
        <v>38</v>
      </c>
      <c r="AJ860" t="str">
        <f t="shared" si="124"/>
        <v/>
      </c>
      <c r="AK860">
        <f t="shared" si="125"/>
        <v>55</v>
      </c>
      <c r="AL860">
        <f t="shared" si="118"/>
        <v>85</v>
      </c>
      <c r="AM860">
        <f t="shared" si="119"/>
        <v>85</v>
      </c>
      <c r="AN860">
        <f t="shared" si="120"/>
        <v>53</v>
      </c>
      <c r="AO860" t="str">
        <f t="shared" si="121"/>
        <v/>
      </c>
    </row>
    <row r="861" spans="1:41">
      <c r="A861">
        <f t="shared" si="126"/>
        <v>857</v>
      </c>
      <c r="B861" t="s">
        <v>266</v>
      </c>
      <c r="C861">
        <v>5</v>
      </c>
      <c r="D861">
        <v>5</v>
      </c>
      <c r="E861" t="s">
        <v>385</v>
      </c>
      <c r="F861">
        <v>412</v>
      </c>
      <c r="G861">
        <v>2</v>
      </c>
      <c r="H861">
        <v>46</v>
      </c>
      <c r="I861" t="s">
        <v>386</v>
      </c>
      <c r="J861" t="s">
        <v>386</v>
      </c>
      <c r="K861">
        <v>1000000</v>
      </c>
      <c r="L861">
        <v>27</v>
      </c>
      <c r="M861">
        <v>27</v>
      </c>
      <c r="N861">
        <v>41</v>
      </c>
      <c r="O861">
        <v>0</v>
      </c>
      <c r="P861">
        <v>55</v>
      </c>
      <c r="Q861">
        <v>81</v>
      </c>
      <c r="R861">
        <v>75</v>
      </c>
      <c r="S861">
        <v>48</v>
      </c>
      <c r="T861">
        <v>0</v>
      </c>
      <c r="U861">
        <v>417</v>
      </c>
      <c r="V861">
        <v>544.95504779999999</v>
      </c>
      <c r="AH861">
        <f t="shared" si="122"/>
        <v>27</v>
      </c>
      <c r="AI861">
        <f t="shared" si="123"/>
        <v>41</v>
      </c>
      <c r="AJ861" t="str">
        <f t="shared" si="124"/>
        <v/>
      </c>
      <c r="AK861">
        <f t="shared" si="125"/>
        <v>55</v>
      </c>
      <c r="AL861">
        <f t="shared" si="118"/>
        <v>81</v>
      </c>
      <c r="AM861">
        <f t="shared" si="119"/>
        <v>75</v>
      </c>
      <c r="AN861">
        <f t="shared" si="120"/>
        <v>48</v>
      </c>
      <c r="AO861" t="str">
        <f t="shared" si="121"/>
        <v/>
      </c>
    </row>
    <row r="862" spans="1:41">
      <c r="A862">
        <f t="shared" si="126"/>
        <v>858</v>
      </c>
      <c r="B862" t="s">
        <v>266</v>
      </c>
      <c r="C862">
        <v>5</v>
      </c>
      <c r="D862">
        <v>5</v>
      </c>
      <c r="E862" t="s">
        <v>385</v>
      </c>
      <c r="F862">
        <v>412</v>
      </c>
      <c r="G862">
        <v>2</v>
      </c>
      <c r="H862">
        <v>47</v>
      </c>
      <c r="I862" t="s">
        <v>386</v>
      </c>
      <c r="J862" t="s">
        <v>386</v>
      </c>
      <c r="K862">
        <v>1000000</v>
      </c>
      <c r="L862">
        <v>29</v>
      </c>
      <c r="M862">
        <v>29</v>
      </c>
      <c r="N862">
        <v>44</v>
      </c>
      <c r="O862">
        <v>0</v>
      </c>
      <c r="P862">
        <v>50</v>
      </c>
      <c r="Q862">
        <v>69</v>
      </c>
      <c r="R862">
        <v>68</v>
      </c>
      <c r="S862">
        <v>45</v>
      </c>
      <c r="T862">
        <v>0</v>
      </c>
      <c r="U862">
        <v>423</v>
      </c>
      <c r="V862">
        <v>553.49029056999996</v>
      </c>
      <c r="AH862">
        <f t="shared" si="122"/>
        <v>29</v>
      </c>
      <c r="AI862">
        <f t="shared" si="123"/>
        <v>44</v>
      </c>
      <c r="AJ862" t="str">
        <f t="shared" si="124"/>
        <v/>
      </c>
      <c r="AK862">
        <f t="shared" si="125"/>
        <v>50</v>
      </c>
      <c r="AL862">
        <f t="shared" si="118"/>
        <v>69</v>
      </c>
      <c r="AM862">
        <f t="shared" si="119"/>
        <v>68</v>
      </c>
      <c r="AN862">
        <f t="shared" si="120"/>
        <v>45</v>
      </c>
      <c r="AO862" t="str">
        <f t="shared" si="121"/>
        <v/>
      </c>
    </row>
    <row r="863" spans="1:41">
      <c r="A863">
        <f t="shared" si="126"/>
        <v>859</v>
      </c>
      <c r="B863" t="s">
        <v>266</v>
      </c>
      <c r="C863">
        <v>5</v>
      </c>
      <c r="D863">
        <v>5</v>
      </c>
      <c r="E863" t="s">
        <v>385</v>
      </c>
      <c r="F863">
        <v>412</v>
      </c>
      <c r="G863">
        <v>2</v>
      </c>
      <c r="H863">
        <v>48</v>
      </c>
      <c r="I863" t="s">
        <v>386</v>
      </c>
      <c r="J863" t="s">
        <v>386</v>
      </c>
      <c r="K863">
        <v>1000000</v>
      </c>
      <c r="L863">
        <v>31</v>
      </c>
      <c r="M863">
        <v>31</v>
      </c>
      <c r="N863">
        <v>46</v>
      </c>
      <c r="O863">
        <v>0</v>
      </c>
      <c r="P863">
        <v>43</v>
      </c>
      <c r="Q863">
        <v>67</v>
      </c>
      <c r="R863">
        <v>71</v>
      </c>
      <c r="S863">
        <v>52</v>
      </c>
      <c r="T863">
        <v>0</v>
      </c>
      <c r="U863">
        <v>430</v>
      </c>
      <c r="V863">
        <v>562.62056480000001</v>
      </c>
      <c r="AH863">
        <f t="shared" si="122"/>
        <v>31</v>
      </c>
      <c r="AI863">
        <f t="shared" si="123"/>
        <v>46</v>
      </c>
      <c r="AJ863" t="str">
        <f t="shared" si="124"/>
        <v/>
      </c>
      <c r="AK863">
        <f t="shared" si="125"/>
        <v>43</v>
      </c>
      <c r="AL863">
        <f t="shared" si="118"/>
        <v>67</v>
      </c>
      <c r="AM863">
        <f t="shared" si="119"/>
        <v>71</v>
      </c>
      <c r="AN863">
        <f t="shared" si="120"/>
        <v>52</v>
      </c>
      <c r="AO863" t="str">
        <f t="shared" si="121"/>
        <v/>
      </c>
    </row>
    <row r="864" spans="1:41">
      <c r="A864">
        <f t="shared" si="126"/>
        <v>860</v>
      </c>
      <c r="B864" t="s">
        <v>266</v>
      </c>
      <c r="C864">
        <v>5</v>
      </c>
      <c r="D864">
        <v>5</v>
      </c>
      <c r="E864" t="s">
        <v>385</v>
      </c>
      <c r="F864">
        <v>412</v>
      </c>
      <c r="G864">
        <v>2</v>
      </c>
      <c r="H864">
        <v>49</v>
      </c>
      <c r="I864" t="s">
        <v>386</v>
      </c>
      <c r="J864" t="s">
        <v>386</v>
      </c>
      <c r="K864">
        <v>1000000</v>
      </c>
      <c r="L864">
        <v>33</v>
      </c>
      <c r="M864">
        <v>33</v>
      </c>
      <c r="N864">
        <v>49</v>
      </c>
      <c r="O864">
        <v>0</v>
      </c>
      <c r="P864">
        <v>51</v>
      </c>
      <c r="Q864">
        <v>82</v>
      </c>
      <c r="R864">
        <v>91</v>
      </c>
      <c r="S864">
        <v>68</v>
      </c>
      <c r="T864">
        <v>0</v>
      </c>
      <c r="U864">
        <v>436</v>
      </c>
      <c r="V864">
        <v>571.69455539</v>
      </c>
      <c r="AH864">
        <f t="shared" si="122"/>
        <v>33</v>
      </c>
      <c r="AI864">
        <f t="shared" si="123"/>
        <v>49</v>
      </c>
      <c r="AJ864" t="str">
        <f t="shared" si="124"/>
        <v/>
      </c>
      <c r="AK864">
        <f t="shared" si="125"/>
        <v>51</v>
      </c>
      <c r="AL864">
        <f t="shared" si="118"/>
        <v>82</v>
      </c>
      <c r="AM864">
        <f t="shared" si="119"/>
        <v>91</v>
      </c>
      <c r="AN864">
        <f t="shared" si="120"/>
        <v>68</v>
      </c>
      <c r="AO864" t="str">
        <f t="shared" si="121"/>
        <v/>
      </c>
    </row>
    <row r="865" spans="1:41">
      <c r="A865">
        <f t="shared" si="126"/>
        <v>861</v>
      </c>
      <c r="B865" t="s">
        <v>266</v>
      </c>
      <c r="C865">
        <v>5</v>
      </c>
      <c r="D865">
        <v>5</v>
      </c>
      <c r="E865" t="s">
        <v>385</v>
      </c>
      <c r="F865">
        <v>412</v>
      </c>
      <c r="G865">
        <v>2</v>
      </c>
      <c r="H865">
        <v>50</v>
      </c>
      <c r="I865" t="s">
        <v>386</v>
      </c>
      <c r="J865" t="s">
        <v>386</v>
      </c>
      <c r="K865">
        <v>1000000</v>
      </c>
      <c r="L865">
        <v>36</v>
      </c>
      <c r="M865">
        <v>36</v>
      </c>
      <c r="N865">
        <v>53</v>
      </c>
      <c r="O865">
        <v>0</v>
      </c>
      <c r="P865">
        <v>64</v>
      </c>
      <c r="Q865">
        <v>108</v>
      </c>
      <c r="R865">
        <v>120</v>
      </c>
      <c r="S865">
        <v>88</v>
      </c>
      <c r="T865">
        <v>0</v>
      </c>
      <c r="U865">
        <v>445</v>
      </c>
      <c r="V865">
        <v>580.56677305000005</v>
      </c>
      <c r="AH865">
        <f t="shared" si="122"/>
        <v>36</v>
      </c>
      <c r="AI865">
        <f t="shared" si="123"/>
        <v>53</v>
      </c>
      <c r="AJ865" t="str">
        <f t="shared" si="124"/>
        <v/>
      </c>
      <c r="AK865">
        <f t="shared" si="125"/>
        <v>64</v>
      </c>
      <c r="AL865">
        <f t="shared" si="118"/>
        <v>108</v>
      </c>
      <c r="AM865">
        <f t="shared" si="119"/>
        <v>120</v>
      </c>
      <c r="AN865">
        <f t="shared" si="120"/>
        <v>88</v>
      </c>
      <c r="AO865" t="str">
        <f t="shared" si="121"/>
        <v/>
      </c>
    </row>
    <row r="866" spans="1:41">
      <c r="A866">
        <f t="shared" si="126"/>
        <v>862</v>
      </c>
      <c r="B866" t="s">
        <v>266</v>
      </c>
      <c r="C866">
        <v>5</v>
      </c>
      <c r="D866">
        <v>5</v>
      </c>
      <c r="E866" t="s">
        <v>385</v>
      </c>
      <c r="F866">
        <v>412</v>
      </c>
      <c r="G866">
        <v>2</v>
      </c>
      <c r="H866">
        <v>51</v>
      </c>
      <c r="I866" t="s">
        <v>386</v>
      </c>
      <c r="J866" t="s">
        <v>386</v>
      </c>
      <c r="K866">
        <v>1000000</v>
      </c>
      <c r="L866">
        <v>40</v>
      </c>
      <c r="M866">
        <v>40</v>
      </c>
      <c r="N866">
        <v>57</v>
      </c>
      <c r="O866">
        <v>0</v>
      </c>
      <c r="P866">
        <v>85</v>
      </c>
      <c r="Q866">
        <v>139</v>
      </c>
      <c r="R866">
        <v>150</v>
      </c>
      <c r="S866">
        <v>107</v>
      </c>
      <c r="T866">
        <v>0</v>
      </c>
      <c r="U866">
        <v>455</v>
      </c>
      <c r="V866">
        <v>589.58220047999998</v>
      </c>
      <c r="AH866">
        <f t="shared" si="122"/>
        <v>40</v>
      </c>
      <c r="AI866">
        <f t="shared" si="123"/>
        <v>57</v>
      </c>
      <c r="AJ866" t="str">
        <f t="shared" si="124"/>
        <v/>
      </c>
      <c r="AK866">
        <f t="shared" si="125"/>
        <v>85</v>
      </c>
      <c r="AL866">
        <f t="shared" si="118"/>
        <v>139</v>
      </c>
      <c r="AM866">
        <f t="shared" si="119"/>
        <v>150</v>
      </c>
      <c r="AN866">
        <f t="shared" si="120"/>
        <v>107</v>
      </c>
      <c r="AO866" t="str">
        <f t="shared" si="121"/>
        <v/>
      </c>
    </row>
    <row r="867" spans="1:41">
      <c r="A867">
        <f t="shared" si="126"/>
        <v>863</v>
      </c>
      <c r="B867" t="s">
        <v>266</v>
      </c>
      <c r="C867">
        <v>5</v>
      </c>
      <c r="D867">
        <v>5</v>
      </c>
      <c r="E867" t="s">
        <v>385</v>
      </c>
      <c r="F867">
        <v>412</v>
      </c>
      <c r="G867">
        <v>2</v>
      </c>
      <c r="H867">
        <v>52</v>
      </c>
      <c r="I867" t="s">
        <v>386</v>
      </c>
      <c r="J867" t="s">
        <v>386</v>
      </c>
      <c r="K867">
        <v>1000000</v>
      </c>
      <c r="L867">
        <v>44</v>
      </c>
      <c r="M867">
        <v>44</v>
      </c>
      <c r="N867">
        <v>63</v>
      </c>
      <c r="O867">
        <v>0</v>
      </c>
      <c r="P867">
        <v>108</v>
      </c>
      <c r="Q867">
        <v>173</v>
      </c>
      <c r="R867">
        <v>186</v>
      </c>
      <c r="S867">
        <v>136</v>
      </c>
      <c r="T867">
        <v>0</v>
      </c>
      <c r="U867">
        <v>469</v>
      </c>
      <c r="V867">
        <v>599.61409198000001</v>
      </c>
      <c r="AH867">
        <f t="shared" si="122"/>
        <v>44</v>
      </c>
      <c r="AI867">
        <f t="shared" si="123"/>
        <v>63</v>
      </c>
      <c r="AJ867" t="str">
        <f t="shared" si="124"/>
        <v/>
      </c>
      <c r="AK867">
        <f t="shared" si="125"/>
        <v>108</v>
      </c>
      <c r="AL867">
        <f t="shared" si="118"/>
        <v>173</v>
      </c>
      <c r="AM867">
        <f t="shared" si="119"/>
        <v>186</v>
      </c>
      <c r="AN867">
        <f t="shared" si="120"/>
        <v>136</v>
      </c>
      <c r="AO867" t="str">
        <f t="shared" si="121"/>
        <v/>
      </c>
    </row>
    <row r="868" spans="1:41">
      <c r="A868">
        <f t="shared" si="126"/>
        <v>864</v>
      </c>
      <c r="B868" t="s">
        <v>266</v>
      </c>
      <c r="C868">
        <v>5</v>
      </c>
      <c r="D868">
        <v>5</v>
      </c>
      <c r="E868" t="s">
        <v>385</v>
      </c>
      <c r="F868">
        <v>412</v>
      </c>
      <c r="G868">
        <v>2</v>
      </c>
      <c r="H868">
        <v>53</v>
      </c>
      <c r="I868" t="s">
        <v>386</v>
      </c>
      <c r="J868" t="s">
        <v>386</v>
      </c>
      <c r="K868">
        <v>1000000</v>
      </c>
      <c r="L868">
        <v>50</v>
      </c>
      <c r="M868">
        <v>50</v>
      </c>
      <c r="N868">
        <v>70</v>
      </c>
      <c r="O868">
        <v>0</v>
      </c>
      <c r="P868">
        <v>130</v>
      </c>
      <c r="Q868">
        <v>208</v>
      </c>
      <c r="R868">
        <v>225</v>
      </c>
      <c r="S868">
        <v>158</v>
      </c>
      <c r="T868">
        <v>0</v>
      </c>
      <c r="U868">
        <v>485</v>
      </c>
      <c r="V868">
        <v>611.66440297999998</v>
      </c>
      <c r="AH868">
        <f t="shared" si="122"/>
        <v>50</v>
      </c>
      <c r="AI868">
        <f t="shared" si="123"/>
        <v>70</v>
      </c>
      <c r="AJ868" t="str">
        <f t="shared" si="124"/>
        <v/>
      </c>
      <c r="AK868">
        <f t="shared" si="125"/>
        <v>130</v>
      </c>
      <c r="AL868">
        <f t="shared" si="118"/>
        <v>208</v>
      </c>
      <c r="AM868">
        <f t="shared" si="119"/>
        <v>225</v>
      </c>
      <c r="AN868">
        <f t="shared" si="120"/>
        <v>158</v>
      </c>
      <c r="AO868" t="str">
        <f t="shared" si="121"/>
        <v/>
      </c>
    </row>
    <row r="869" spans="1:41">
      <c r="A869">
        <f t="shared" si="126"/>
        <v>865</v>
      </c>
      <c r="B869" t="s">
        <v>266</v>
      </c>
      <c r="C869">
        <v>5</v>
      </c>
      <c r="D869">
        <v>5</v>
      </c>
      <c r="E869" t="s">
        <v>385</v>
      </c>
      <c r="F869">
        <v>412</v>
      </c>
      <c r="G869">
        <v>2</v>
      </c>
      <c r="H869">
        <v>54</v>
      </c>
      <c r="I869" t="s">
        <v>386</v>
      </c>
      <c r="J869" t="s">
        <v>386</v>
      </c>
      <c r="K869">
        <v>1000000</v>
      </c>
      <c r="L869">
        <v>56</v>
      </c>
      <c r="M869">
        <v>56</v>
      </c>
      <c r="N869">
        <v>78</v>
      </c>
      <c r="O869">
        <v>0</v>
      </c>
      <c r="P869">
        <v>153</v>
      </c>
      <c r="Q869">
        <v>247</v>
      </c>
      <c r="R869">
        <v>258</v>
      </c>
      <c r="S869">
        <v>181</v>
      </c>
      <c r="T869">
        <v>0</v>
      </c>
      <c r="U869">
        <v>505</v>
      </c>
      <c r="V869">
        <v>626.70116942000004</v>
      </c>
      <c r="AH869">
        <f t="shared" si="122"/>
        <v>56</v>
      </c>
      <c r="AI869">
        <f t="shared" si="123"/>
        <v>78</v>
      </c>
      <c r="AJ869" t="str">
        <f t="shared" si="124"/>
        <v/>
      </c>
      <c r="AK869">
        <f t="shared" si="125"/>
        <v>153</v>
      </c>
      <c r="AL869">
        <f t="shared" si="118"/>
        <v>247</v>
      </c>
      <c r="AM869">
        <f t="shared" si="119"/>
        <v>258</v>
      </c>
      <c r="AN869">
        <f t="shared" si="120"/>
        <v>181</v>
      </c>
      <c r="AO869" t="str">
        <f t="shared" si="121"/>
        <v/>
      </c>
    </row>
    <row r="870" spans="1:41">
      <c r="A870">
        <f t="shared" si="126"/>
        <v>866</v>
      </c>
      <c r="B870" t="s">
        <v>266</v>
      </c>
      <c r="C870">
        <v>5</v>
      </c>
      <c r="D870">
        <v>5</v>
      </c>
      <c r="E870" t="s">
        <v>385</v>
      </c>
      <c r="F870">
        <v>412</v>
      </c>
      <c r="G870">
        <v>2</v>
      </c>
      <c r="H870">
        <v>55</v>
      </c>
      <c r="I870" t="s">
        <v>386</v>
      </c>
      <c r="J870" t="s">
        <v>386</v>
      </c>
      <c r="K870">
        <v>1000000</v>
      </c>
      <c r="L870">
        <v>63</v>
      </c>
      <c r="M870">
        <v>63</v>
      </c>
      <c r="N870">
        <v>87</v>
      </c>
      <c r="O870">
        <v>0</v>
      </c>
      <c r="P870">
        <v>178</v>
      </c>
      <c r="Q870">
        <v>275</v>
      </c>
      <c r="R870">
        <v>285</v>
      </c>
      <c r="S870">
        <v>194</v>
      </c>
      <c r="T870">
        <v>0</v>
      </c>
      <c r="U870">
        <v>526</v>
      </c>
      <c r="V870">
        <v>645.60697511000001</v>
      </c>
      <c r="AH870">
        <f t="shared" si="122"/>
        <v>63</v>
      </c>
      <c r="AI870">
        <f t="shared" si="123"/>
        <v>87</v>
      </c>
      <c r="AJ870" t="str">
        <f t="shared" si="124"/>
        <v/>
      </c>
      <c r="AK870">
        <f t="shared" si="125"/>
        <v>178</v>
      </c>
      <c r="AL870">
        <f t="shared" si="118"/>
        <v>275</v>
      </c>
      <c r="AM870">
        <f t="shared" si="119"/>
        <v>285</v>
      </c>
      <c r="AN870">
        <f t="shared" si="120"/>
        <v>194</v>
      </c>
      <c r="AO870" t="str">
        <f t="shared" si="121"/>
        <v/>
      </c>
    </row>
    <row r="871" spans="1:41">
      <c r="A871">
        <f t="shared" si="126"/>
        <v>867</v>
      </c>
      <c r="B871" t="s">
        <v>266</v>
      </c>
      <c r="C871">
        <v>5</v>
      </c>
      <c r="D871">
        <v>5</v>
      </c>
      <c r="E871" t="s">
        <v>385</v>
      </c>
      <c r="F871">
        <v>412</v>
      </c>
      <c r="G871">
        <v>2</v>
      </c>
      <c r="H871">
        <v>56</v>
      </c>
      <c r="I871" t="s">
        <v>386</v>
      </c>
      <c r="J871" t="s">
        <v>386</v>
      </c>
      <c r="K871">
        <v>1000000</v>
      </c>
      <c r="L871">
        <v>71</v>
      </c>
      <c r="M871">
        <v>71</v>
      </c>
      <c r="N871">
        <v>97</v>
      </c>
      <c r="O871">
        <v>0</v>
      </c>
      <c r="P871">
        <v>191</v>
      </c>
      <c r="Q871">
        <v>297</v>
      </c>
      <c r="R871">
        <v>305</v>
      </c>
      <c r="S871">
        <v>211</v>
      </c>
      <c r="T871">
        <v>0</v>
      </c>
      <c r="U871">
        <v>550</v>
      </c>
      <c r="V871">
        <v>614.22983312999997</v>
      </c>
      <c r="AH871">
        <f t="shared" si="122"/>
        <v>71</v>
      </c>
      <c r="AI871">
        <f t="shared" si="123"/>
        <v>97</v>
      </c>
      <c r="AJ871" t="str">
        <f t="shared" si="124"/>
        <v/>
      </c>
      <c r="AK871">
        <f t="shared" si="125"/>
        <v>191</v>
      </c>
      <c r="AL871">
        <f t="shared" si="118"/>
        <v>297</v>
      </c>
      <c r="AM871">
        <f t="shared" si="119"/>
        <v>305</v>
      </c>
      <c r="AN871">
        <f t="shared" si="120"/>
        <v>211</v>
      </c>
      <c r="AO871" t="str">
        <f t="shared" si="121"/>
        <v/>
      </c>
    </row>
    <row r="872" spans="1:41">
      <c r="A872">
        <f t="shared" si="126"/>
        <v>868</v>
      </c>
      <c r="B872" t="s">
        <v>266</v>
      </c>
      <c r="C872">
        <v>5</v>
      </c>
      <c r="D872">
        <v>5</v>
      </c>
      <c r="E872" t="s">
        <v>385</v>
      </c>
      <c r="F872">
        <v>412</v>
      </c>
      <c r="G872">
        <v>2</v>
      </c>
      <c r="H872">
        <v>57</v>
      </c>
      <c r="I872" t="s">
        <v>386</v>
      </c>
      <c r="J872" t="s">
        <v>386</v>
      </c>
      <c r="K872">
        <v>1000000</v>
      </c>
      <c r="L872">
        <v>80</v>
      </c>
      <c r="M872">
        <v>80</v>
      </c>
      <c r="N872">
        <v>108</v>
      </c>
      <c r="O872">
        <v>0</v>
      </c>
      <c r="P872">
        <v>210</v>
      </c>
      <c r="Q872">
        <v>325</v>
      </c>
      <c r="R872">
        <v>340</v>
      </c>
      <c r="S872">
        <v>241</v>
      </c>
      <c r="T872">
        <v>0</v>
      </c>
      <c r="U872">
        <v>577</v>
      </c>
      <c r="V872">
        <v>579.68856731000005</v>
      </c>
      <c r="AH872">
        <f t="shared" si="122"/>
        <v>80</v>
      </c>
      <c r="AI872">
        <f t="shared" si="123"/>
        <v>108</v>
      </c>
      <c r="AJ872" t="str">
        <f t="shared" si="124"/>
        <v/>
      </c>
      <c r="AK872">
        <f t="shared" si="125"/>
        <v>210</v>
      </c>
      <c r="AL872">
        <f t="shared" si="118"/>
        <v>325</v>
      </c>
      <c r="AM872">
        <f t="shared" si="119"/>
        <v>340</v>
      </c>
      <c r="AN872">
        <f t="shared" si="120"/>
        <v>241</v>
      </c>
      <c r="AO872" t="str">
        <f t="shared" si="121"/>
        <v/>
      </c>
    </row>
    <row r="873" spans="1:41">
      <c r="A873">
        <f t="shared" si="126"/>
        <v>869</v>
      </c>
      <c r="B873" t="s">
        <v>266</v>
      </c>
      <c r="C873">
        <v>5</v>
      </c>
      <c r="D873">
        <v>5</v>
      </c>
      <c r="E873" t="s">
        <v>385</v>
      </c>
      <c r="F873">
        <v>412</v>
      </c>
      <c r="G873">
        <v>2</v>
      </c>
      <c r="H873">
        <v>58</v>
      </c>
      <c r="I873" t="s">
        <v>386</v>
      </c>
      <c r="J873" t="s">
        <v>386</v>
      </c>
      <c r="K873">
        <v>1000000</v>
      </c>
      <c r="L873">
        <v>90</v>
      </c>
      <c r="M873">
        <v>90</v>
      </c>
      <c r="N873">
        <v>121</v>
      </c>
      <c r="O873">
        <v>0</v>
      </c>
      <c r="P873">
        <v>233</v>
      </c>
      <c r="Q873">
        <v>371</v>
      </c>
      <c r="R873">
        <v>397</v>
      </c>
      <c r="S873">
        <v>283</v>
      </c>
      <c r="T873">
        <v>0</v>
      </c>
      <c r="U873">
        <v>608</v>
      </c>
      <c r="V873">
        <v>541.30272393999996</v>
      </c>
      <c r="AH873">
        <f t="shared" si="122"/>
        <v>90</v>
      </c>
      <c r="AI873">
        <f t="shared" si="123"/>
        <v>121</v>
      </c>
      <c r="AJ873" t="str">
        <f t="shared" si="124"/>
        <v/>
      </c>
      <c r="AK873">
        <f t="shared" si="125"/>
        <v>233</v>
      </c>
      <c r="AL873">
        <f t="shared" si="118"/>
        <v>371</v>
      </c>
      <c r="AM873">
        <f t="shared" si="119"/>
        <v>397</v>
      </c>
      <c r="AN873">
        <f t="shared" si="120"/>
        <v>283</v>
      </c>
      <c r="AO873" t="str">
        <f t="shared" si="121"/>
        <v/>
      </c>
    </row>
    <row r="874" spans="1:41">
      <c r="A874">
        <f t="shared" si="126"/>
        <v>870</v>
      </c>
      <c r="B874" t="s">
        <v>266</v>
      </c>
      <c r="C874">
        <v>5</v>
      </c>
      <c r="D874">
        <v>5</v>
      </c>
      <c r="E874" t="s">
        <v>385</v>
      </c>
      <c r="F874">
        <v>412</v>
      </c>
      <c r="G874">
        <v>2</v>
      </c>
      <c r="H874">
        <v>59</v>
      </c>
      <c r="I874" t="s">
        <v>386</v>
      </c>
      <c r="J874" t="s">
        <v>386</v>
      </c>
      <c r="K874">
        <v>1000000</v>
      </c>
      <c r="L874">
        <v>102</v>
      </c>
      <c r="M874">
        <v>102</v>
      </c>
      <c r="N874">
        <v>136</v>
      </c>
      <c r="O874">
        <v>0</v>
      </c>
      <c r="P874">
        <v>276</v>
      </c>
      <c r="Q874">
        <v>444</v>
      </c>
      <c r="R874">
        <v>476</v>
      </c>
      <c r="S874">
        <v>342</v>
      </c>
      <c r="T874">
        <v>0</v>
      </c>
      <c r="U874">
        <v>643</v>
      </c>
      <c r="V874">
        <v>498.35905947999998</v>
      </c>
      <c r="AH874">
        <f t="shared" si="122"/>
        <v>102</v>
      </c>
      <c r="AI874">
        <f t="shared" si="123"/>
        <v>136</v>
      </c>
      <c r="AJ874" t="str">
        <f t="shared" si="124"/>
        <v/>
      </c>
      <c r="AK874">
        <f t="shared" si="125"/>
        <v>276</v>
      </c>
      <c r="AL874">
        <f t="shared" si="118"/>
        <v>444</v>
      </c>
      <c r="AM874">
        <f t="shared" si="119"/>
        <v>476</v>
      </c>
      <c r="AN874">
        <f t="shared" si="120"/>
        <v>342</v>
      </c>
      <c r="AO874" t="str">
        <f t="shared" si="121"/>
        <v/>
      </c>
    </row>
    <row r="875" spans="1:41">
      <c r="A875">
        <f t="shared" si="126"/>
        <v>871</v>
      </c>
      <c r="B875" t="s">
        <v>266</v>
      </c>
      <c r="C875">
        <v>5</v>
      </c>
      <c r="D875">
        <v>5</v>
      </c>
      <c r="E875" t="s">
        <v>385</v>
      </c>
      <c r="F875">
        <v>412</v>
      </c>
      <c r="G875">
        <v>2</v>
      </c>
      <c r="H875">
        <v>60</v>
      </c>
      <c r="I875" t="s">
        <v>386</v>
      </c>
      <c r="J875" t="s">
        <v>386</v>
      </c>
      <c r="K875">
        <v>1000000</v>
      </c>
      <c r="L875">
        <v>116</v>
      </c>
      <c r="M875">
        <v>116</v>
      </c>
      <c r="N875">
        <v>154</v>
      </c>
      <c r="O875">
        <v>0</v>
      </c>
      <c r="P875">
        <v>332</v>
      </c>
      <c r="Q875">
        <v>533</v>
      </c>
      <c r="R875">
        <v>572</v>
      </c>
      <c r="S875">
        <v>408</v>
      </c>
      <c r="T875">
        <v>0</v>
      </c>
      <c r="U875">
        <v>685</v>
      </c>
      <c r="V875">
        <v>452.95095902999998</v>
      </c>
      <c r="AH875">
        <f t="shared" si="122"/>
        <v>116</v>
      </c>
      <c r="AI875">
        <f t="shared" si="123"/>
        <v>154</v>
      </c>
      <c r="AJ875" t="str">
        <f t="shared" si="124"/>
        <v/>
      </c>
      <c r="AK875">
        <f t="shared" si="125"/>
        <v>332</v>
      </c>
      <c r="AL875">
        <f t="shared" si="118"/>
        <v>533</v>
      </c>
      <c r="AM875">
        <f t="shared" si="119"/>
        <v>572</v>
      </c>
      <c r="AN875">
        <f t="shared" si="120"/>
        <v>408</v>
      </c>
      <c r="AO875" t="str">
        <f t="shared" si="121"/>
        <v/>
      </c>
    </row>
    <row r="876" spans="1:41">
      <c r="A876">
        <f t="shared" si="126"/>
        <v>872</v>
      </c>
      <c r="B876" t="s">
        <v>266</v>
      </c>
      <c r="C876">
        <v>5</v>
      </c>
      <c r="D876">
        <v>5</v>
      </c>
      <c r="E876" t="s">
        <v>385</v>
      </c>
      <c r="F876">
        <v>412</v>
      </c>
      <c r="G876">
        <v>2</v>
      </c>
      <c r="H876">
        <v>61</v>
      </c>
      <c r="I876" t="s">
        <v>386</v>
      </c>
      <c r="J876" t="s">
        <v>386</v>
      </c>
      <c r="K876">
        <v>1000000</v>
      </c>
      <c r="L876">
        <v>133</v>
      </c>
      <c r="M876">
        <v>133</v>
      </c>
      <c r="N876">
        <v>175</v>
      </c>
      <c r="O876">
        <v>0</v>
      </c>
      <c r="P876">
        <v>391</v>
      </c>
      <c r="Q876">
        <v>624</v>
      </c>
      <c r="R876">
        <v>659</v>
      </c>
      <c r="S876">
        <v>456</v>
      </c>
      <c r="T876">
        <v>0</v>
      </c>
      <c r="U876">
        <v>734</v>
      </c>
      <c r="V876">
        <v>453.43994253</v>
      </c>
      <c r="AH876">
        <f t="shared" si="122"/>
        <v>133</v>
      </c>
      <c r="AI876">
        <f t="shared" si="123"/>
        <v>175</v>
      </c>
      <c r="AJ876" t="str">
        <f t="shared" si="124"/>
        <v/>
      </c>
      <c r="AK876">
        <f t="shared" si="125"/>
        <v>391</v>
      </c>
      <c r="AL876">
        <f t="shared" si="118"/>
        <v>624</v>
      </c>
      <c r="AM876">
        <f t="shared" si="119"/>
        <v>659</v>
      </c>
      <c r="AN876">
        <f t="shared" si="120"/>
        <v>456</v>
      </c>
      <c r="AO876" t="str">
        <f t="shared" si="121"/>
        <v/>
      </c>
    </row>
    <row r="877" spans="1:41">
      <c r="A877">
        <f t="shared" si="126"/>
        <v>873</v>
      </c>
      <c r="B877" t="s">
        <v>266</v>
      </c>
      <c r="C877">
        <v>5</v>
      </c>
      <c r="D877">
        <v>5</v>
      </c>
      <c r="E877" t="s">
        <v>385</v>
      </c>
      <c r="F877">
        <v>412</v>
      </c>
      <c r="G877">
        <v>2</v>
      </c>
      <c r="H877">
        <v>62</v>
      </c>
      <c r="I877" t="s">
        <v>386</v>
      </c>
      <c r="J877" t="s">
        <v>386</v>
      </c>
      <c r="K877">
        <v>1000000</v>
      </c>
      <c r="L877">
        <v>151</v>
      </c>
      <c r="M877">
        <v>151</v>
      </c>
      <c r="N877">
        <v>198</v>
      </c>
      <c r="O877">
        <v>0</v>
      </c>
      <c r="P877">
        <v>450</v>
      </c>
      <c r="Q877">
        <v>707</v>
      </c>
      <c r="R877">
        <v>731</v>
      </c>
      <c r="S877">
        <v>508</v>
      </c>
      <c r="T877">
        <v>0</v>
      </c>
      <c r="U877">
        <v>790</v>
      </c>
      <c r="V877">
        <v>453.98195674999999</v>
      </c>
      <c r="AH877">
        <f t="shared" si="122"/>
        <v>151</v>
      </c>
      <c r="AI877">
        <f t="shared" si="123"/>
        <v>198</v>
      </c>
      <c r="AJ877" t="str">
        <f t="shared" si="124"/>
        <v/>
      </c>
      <c r="AK877">
        <f t="shared" si="125"/>
        <v>450</v>
      </c>
      <c r="AL877">
        <f t="shared" si="118"/>
        <v>707</v>
      </c>
      <c r="AM877">
        <f t="shared" si="119"/>
        <v>731</v>
      </c>
      <c r="AN877">
        <f t="shared" si="120"/>
        <v>508</v>
      </c>
      <c r="AO877" t="str">
        <f t="shared" si="121"/>
        <v/>
      </c>
    </row>
    <row r="878" spans="1:41">
      <c r="A878">
        <f t="shared" si="126"/>
        <v>874</v>
      </c>
      <c r="B878" t="s">
        <v>266</v>
      </c>
      <c r="C878">
        <v>5</v>
      </c>
      <c r="D878">
        <v>5</v>
      </c>
      <c r="E878" t="s">
        <v>385</v>
      </c>
      <c r="F878">
        <v>412</v>
      </c>
      <c r="G878">
        <v>2</v>
      </c>
      <c r="H878">
        <v>63</v>
      </c>
      <c r="I878" t="s">
        <v>386</v>
      </c>
      <c r="J878" t="s">
        <v>386</v>
      </c>
      <c r="K878">
        <v>1000000</v>
      </c>
      <c r="L878">
        <v>173</v>
      </c>
      <c r="M878">
        <v>173</v>
      </c>
      <c r="N878">
        <v>225</v>
      </c>
      <c r="O878">
        <v>0</v>
      </c>
      <c r="P878">
        <v>509</v>
      </c>
      <c r="Q878">
        <v>792</v>
      </c>
      <c r="R878">
        <v>835</v>
      </c>
      <c r="S878">
        <v>598</v>
      </c>
      <c r="T878">
        <v>0</v>
      </c>
      <c r="U878">
        <v>855</v>
      </c>
      <c r="V878">
        <v>454.61912783000002</v>
      </c>
      <c r="AH878">
        <f t="shared" si="122"/>
        <v>173</v>
      </c>
      <c r="AI878">
        <f t="shared" si="123"/>
        <v>225</v>
      </c>
      <c r="AJ878" t="str">
        <f t="shared" si="124"/>
        <v/>
      </c>
      <c r="AK878">
        <f t="shared" si="125"/>
        <v>509</v>
      </c>
      <c r="AL878">
        <f t="shared" si="118"/>
        <v>792</v>
      </c>
      <c r="AM878">
        <f t="shared" si="119"/>
        <v>835</v>
      </c>
      <c r="AN878">
        <f t="shared" si="120"/>
        <v>598</v>
      </c>
      <c r="AO878" t="str">
        <f t="shared" si="121"/>
        <v/>
      </c>
    </row>
    <row r="879" spans="1:41">
      <c r="A879">
        <f t="shared" si="126"/>
        <v>875</v>
      </c>
      <c r="B879" t="s">
        <v>266</v>
      </c>
      <c r="C879">
        <v>5</v>
      </c>
      <c r="D879">
        <v>5</v>
      </c>
      <c r="E879" t="s">
        <v>385</v>
      </c>
      <c r="F879">
        <v>412</v>
      </c>
      <c r="G879">
        <v>2</v>
      </c>
      <c r="H879">
        <v>64</v>
      </c>
      <c r="I879" t="s">
        <v>386</v>
      </c>
      <c r="J879" t="s">
        <v>386</v>
      </c>
      <c r="K879">
        <v>1000000</v>
      </c>
      <c r="L879">
        <v>201</v>
      </c>
      <c r="M879">
        <v>201</v>
      </c>
      <c r="N879">
        <v>260</v>
      </c>
      <c r="O879">
        <v>0</v>
      </c>
      <c r="P879">
        <v>606</v>
      </c>
      <c r="Q879">
        <v>979</v>
      </c>
      <c r="R879">
        <v>1083</v>
      </c>
      <c r="S879">
        <v>832</v>
      </c>
      <c r="T879">
        <v>0</v>
      </c>
      <c r="U879">
        <v>937</v>
      </c>
      <c r="V879">
        <v>455.30685948000001</v>
      </c>
      <c r="AH879">
        <f t="shared" si="122"/>
        <v>201</v>
      </c>
      <c r="AI879">
        <f t="shared" si="123"/>
        <v>260</v>
      </c>
      <c r="AJ879" t="str">
        <f t="shared" si="124"/>
        <v/>
      </c>
      <c r="AK879">
        <f t="shared" si="125"/>
        <v>606</v>
      </c>
      <c r="AL879">
        <f t="shared" si="118"/>
        <v>979</v>
      </c>
      <c r="AM879">
        <f t="shared" si="119"/>
        <v>1083</v>
      </c>
      <c r="AN879">
        <f t="shared" si="120"/>
        <v>832</v>
      </c>
      <c r="AO879" t="str">
        <f t="shared" si="121"/>
        <v/>
      </c>
    </row>
    <row r="880" spans="1:41">
      <c r="A880">
        <f t="shared" si="126"/>
        <v>876</v>
      </c>
      <c r="B880" t="s">
        <v>266</v>
      </c>
      <c r="C880">
        <v>5</v>
      </c>
      <c r="D880">
        <v>5</v>
      </c>
      <c r="E880" t="s">
        <v>385</v>
      </c>
      <c r="F880">
        <v>412</v>
      </c>
      <c r="G880">
        <v>2</v>
      </c>
      <c r="H880">
        <v>65</v>
      </c>
      <c r="I880" t="s">
        <v>386</v>
      </c>
      <c r="J880" t="s">
        <v>386</v>
      </c>
      <c r="K880">
        <v>1000000</v>
      </c>
      <c r="L880">
        <v>237</v>
      </c>
      <c r="M880">
        <v>237</v>
      </c>
      <c r="N880">
        <v>307</v>
      </c>
      <c r="O880">
        <v>0</v>
      </c>
      <c r="P880">
        <v>807</v>
      </c>
      <c r="Q880">
        <v>1354</v>
      </c>
      <c r="R880">
        <v>1559</v>
      </c>
      <c r="S880">
        <v>1193</v>
      </c>
      <c r="T880">
        <v>0</v>
      </c>
      <c r="U880">
        <v>1048</v>
      </c>
      <c r="V880">
        <v>456.09339282000002</v>
      </c>
      <c r="AH880">
        <f t="shared" si="122"/>
        <v>237</v>
      </c>
      <c r="AI880">
        <f t="shared" si="123"/>
        <v>307</v>
      </c>
      <c r="AJ880" t="str">
        <f t="shared" si="124"/>
        <v/>
      </c>
      <c r="AK880">
        <f t="shared" si="125"/>
        <v>807</v>
      </c>
      <c r="AL880">
        <f t="shared" si="118"/>
        <v>1354</v>
      </c>
      <c r="AM880">
        <f t="shared" si="119"/>
        <v>1559</v>
      </c>
      <c r="AN880">
        <f t="shared" si="120"/>
        <v>1193</v>
      </c>
      <c r="AO880" t="str">
        <f t="shared" si="121"/>
        <v/>
      </c>
    </row>
    <row r="881" spans="1:41">
      <c r="A881">
        <f t="shared" si="126"/>
        <v>877</v>
      </c>
      <c r="B881" t="s">
        <v>266</v>
      </c>
      <c r="C881">
        <v>5</v>
      </c>
      <c r="D881">
        <v>5</v>
      </c>
      <c r="E881" t="s">
        <v>385</v>
      </c>
      <c r="F881">
        <v>412</v>
      </c>
      <c r="G881">
        <v>2</v>
      </c>
      <c r="H881">
        <v>66</v>
      </c>
      <c r="I881" t="s">
        <v>386</v>
      </c>
      <c r="J881" t="s">
        <v>386</v>
      </c>
      <c r="K881">
        <v>1000000</v>
      </c>
      <c r="L881">
        <v>287</v>
      </c>
      <c r="M881">
        <v>287</v>
      </c>
      <c r="N881">
        <v>370</v>
      </c>
      <c r="O881">
        <v>0</v>
      </c>
      <c r="P881">
        <v>1133</v>
      </c>
      <c r="Q881">
        <v>1938</v>
      </c>
      <c r="R881">
        <v>2188</v>
      </c>
      <c r="S881">
        <v>1625</v>
      </c>
      <c r="T881">
        <v>0</v>
      </c>
      <c r="U881">
        <v>1197</v>
      </c>
      <c r="V881">
        <v>456.97502054</v>
      </c>
      <c r="AH881">
        <f t="shared" si="122"/>
        <v>287</v>
      </c>
      <c r="AI881">
        <f t="shared" si="123"/>
        <v>370</v>
      </c>
      <c r="AJ881" t="str">
        <f t="shared" si="124"/>
        <v/>
      </c>
      <c r="AK881">
        <f t="shared" si="125"/>
        <v>1133</v>
      </c>
      <c r="AL881">
        <f t="shared" si="118"/>
        <v>1938</v>
      </c>
      <c r="AM881">
        <f t="shared" si="119"/>
        <v>2188</v>
      </c>
      <c r="AN881">
        <f t="shared" si="120"/>
        <v>1625</v>
      </c>
      <c r="AO881" t="str">
        <f t="shared" si="121"/>
        <v/>
      </c>
    </row>
    <row r="882" spans="1:41">
      <c r="A882">
        <f t="shared" si="126"/>
        <v>878</v>
      </c>
      <c r="B882" t="s">
        <v>266</v>
      </c>
      <c r="C882">
        <v>5</v>
      </c>
      <c r="D882">
        <v>5</v>
      </c>
      <c r="E882" t="s">
        <v>385</v>
      </c>
      <c r="F882">
        <v>412</v>
      </c>
      <c r="G882">
        <v>2</v>
      </c>
      <c r="H882">
        <v>67</v>
      </c>
      <c r="I882" t="s">
        <v>386</v>
      </c>
      <c r="J882" t="s">
        <v>386</v>
      </c>
      <c r="K882">
        <v>1000000</v>
      </c>
      <c r="L882">
        <v>352</v>
      </c>
      <c r="M882">
        <v>352</v>
      </c>
      <c r="N882">
        <v>452</v>
      </c>
      <c r="O882">
        <v>0</v>
      </c>
      <c r="P882">
        <v>1566</v>
      </c>
      <c r="Q882">
        <v>2596</v>
      </c>
      <c r="R882">
        <v>2833</v>
      </c>
      <c r="S882">
        <v>2028</v>
      </c>
      <c r="T882">
        <v>0</v>
      </c>
      <c r="U882">
        <v>1391</v>
      </c>
      <c r="V882">
        <v>458.05425160999999</v>
      </c>
      <c r="AH882">
        <f t="shared" si="122"/>
        <v>352</v>
      </c>
      <c r="AI882">
        <f t="shared" si="123"/>
        <v>452</v>
      </c>
      <c r="AJ882" t="str">
        <f t="shared" si="124"/>
        <v/>
      </c>
      <c r="AK882">
        <f t="shared" si="125"/>
        <v>1566</v>
      </c>
      <c r="AL882">
        <f t="shared" si="118"/>
        <v>2596</v>
      </c>
      <c r="AM882">
        <f t="shared" si="119"/>
        <v>2833</v>
      </c>
      <c r="AN882">
        <f t="shared" si="120"/>
        <v>2028</v>
      </c>
      <c r="AO882" t="str">
        <f t="shared" si="121"/>
        <v/>
      </c>
    </row>
    <row r="883" spans="1:41">
      <c r="A883">
        <f t="shared" si="126"/>
        <v>879</v>
      </c>
      <c r="B883" t="s">
        <v>266</v>
      </c>
      <c r="C883">
        <v>5</v>
      </c>
      <c r="D883">
        <v>5</v>
      </c>
      <c r="E883" t="s">
        <v>385</v>
      </c>
      <c r="F883">
        <v>412</v>
      </c>
      <c r="G883">
        <v>2</v>
      </c>
      <c r="H883">
        <v>68</v>
      </c>
      <c r="I883" t="s">
        <v>386</v>
      </c>
      <c r="J883" t="s">
        <v>386</v>
      </c>
      <c r="K883">
        <v>1000000</v>
      </c>
      <c r="L883">
        <v>433</v>
      </c>
      <c r="M883">
        <v>433</v>
      </c>
      <c r="N883">
        <v>554</v>
      </c>
      <c r="O883">
        <v>0</v>
      </c>
      <c r="P883">
        <v>1979</v>
      </c>
      <c r="Q883">
        <v>3189</v>
      </c>
      <c r="R883">
        <v>3381</v>
      </c>
      <c r="S883">
        <v>2375</v>
      </c>
      <c r="T883">
        <v>0</v>
      </c>
      <c r="U883">
        <v>1634</v>
      </c>
      <c r="V883">
        <v>459.22971983000002</v>
      </c>
      <c r="AH883">
        <f t="shared" si="122"/>
        <v>433</v>
      </c>
      <c r="AI883">
        <f t="shared" si="123"/>
        <v>554</v>
      </c>
      <c r="AJ883" t="str">
        <f t="shared" si="124"/>
        <v/>
      </c>
      <c r="AK883">
        <f t="shared" si="125"/>
        <v>1979</v>
      </c>
      <c r="AL883">
        <f t="shared" si="118"/>
        <v>3189</v>
      </c>
      <c r="AM883">
        <f t="shared" si="119"/>
        <v>3381</v>
      </c>
      <c r="AN883">
        <f t="shared" si="120"/>
        <v>2375</v>
      </c>
      <c r="AO883" t="str">
        <f t="shared" si="121"/>
        <v/>
      </c>
    </row>
    <row r="884" spans="1:41">
      <c r="A884">
        <f t="shared" si="126"/>
        <v>880</v>
      </c>
      <c r="B884" t="s">
        <v>266</v>
      </c>
      <c r="C884">
        <v>5</v>
      </c>
      <c r="D884">
        <v>5</v>
      </c>
      <c r="E884" t="s">
        <v>385</v>
      </c>
      <c r="F884">
        <v>412</v>
      </c>
      <c r="G884">
        <v>2</v>
      </c>
      <c r="H884">
        <v>69</v>
      </c>
      <c r="I884" t="s">
        <v>386</v>
      </c>
      <c r="J884" t="s">
        <v>386</v>
      </c>
      <c r="K884">
        <v>1000000</v>
      </c>
      <c r="L884">
        <v>531</v>
      </c>
      <c r="M884">
        <v>531</v>
      </c>
      <c r="N884">
        <v>677</v>
      </c>
      <c r="O884">
        <v>0</v>
      </c>
      <c r="P884">
        <v>2342</v>
      </c>
      <c r="Q884">
        <v>3695</v>
      </c>
      <c r="R884">
        <v>3879</v>
      </c>
      <c r="S884">
        <v>2724</v>
      </c>
      <c r="T884">
        <v>0</v>
      </c>
      <c r="U884">
        <v>1925</v>
      </c>
      <c r="V884">
        <v>460.60396395999999</v>
      </c>
      <c r="AH884">
        <f t="shared" si="122"/>
        <v>531</v>
      </c>
      <c r="AI884">
        <f t="shared" si="123"/>
        <v>677</v>
      </c>
      <c r="AJ884" t="str">
        <f t="shared" si="124"/>
        <v/>
      </c>
      <c r="AK884">
        <f t="shared" si="125"/>
        <v>2342</v>
      </c>
      <c r="AL884">
        <f t="shared" si="118"/>
        <v>3695</v>
      </c>
      <c r="AM884">
        <f t="shared" si="119"/>
        <v>3879</v>
      </c>
      <c r="AN884">
        <f t="shared" si="120"/>
        <v>2724</v>
      </c>
      <c r="AO884" t="str">
        <f t="shared" si="121"/>
        <v/>
      </c>
    </row>
    <row r="885" spans="1:41">
      <c r="A885">
        <f t="shared" si="126"/>
        <v>881</v>
      </c>
      <c r="B885" t="s">
        <v>266</v>
      </c>
      <c r="C885">
        <v>5</v>
      </c>
      <c r="D885">
        <v>5</v>
      </c>
      <c r="E885" t="s">
        <v>385</v>
      </c>
      <c r="F885">
        <v>412</v>
      </c>
      <c r="G885">
        <v>2</v>
      </c>
      <c r="H885">
        <v>70</v>
      </c>
      <c r="I885" t="s">
        <v>386</v>
      </c>
      <c r="J885" t="s">
        <v>386</v>
      </c>
      <c r="K885">
        <v>1000000</v>
      </c>
      <c r="L885">
        <v>644</v>
      </c>
      <c r="M885">
        <v>644</v>
      </c>
      <c r="N885">
        <v>820</v>
      </c>
      <c r="O885">
        <v>0</v>
      </c>
      <c r="P885">
        <v>2675</v>
      </c>
      <c r="Q885">
        <v>4214</v>
      </c>
      <c r="R885">
        <v>4447</v>
      </c>
      <c r="S885">
        <v>3148</v>
      </c>
      <c r="T885">
        <v>0</v>
      </c>
      <c r="U885">
        <v>2265</v>
      </c>
      <c r="V885">
        <v>462.12880469999999</v>
      </c>
      <c r="AH885">
        <f t="shared" si="122"/>
        <v>644</v>
      </c>
      <c r="AI885">
        <f t="shared" si="123"/>
        <v>820</v>
      </c>
      <c r="AJ885" t="str">
        <f t="shared" si="124"/>
        <v/>
      </c>
      <c r="AK885">
        <f t="shared" si="125"/>
        <v>2675</v>
      </c>
      <c r="AL885">
        <f t="shared" si="118"/>
        <v>4214</v>
      </c>
      <c r="AM885">
        <f t="shared" si="119"/>
        <v>4447</v>
      </c>
      <c r="AN885">
        <f t="shared" si="120"/>
        <v>3148</v>
      </c>
      <c r="AO885" t="str">
        <f t="shared" si="121"/>
        <v/>
      </c>
    </row>
    <row r="886" spans="1:41">
      <c r="A886">
        <f t="shared" si="126"/>
        <v>882</v>
      </c>
      <c r="B886" t="s">
        <v>266</v>
      </c>
      <c r="C886">
        <v>5</v>
      </c>
      <c r="D886">
        <v>5</v>
      </c>
      <c r="E886" t="s">
        <v>385</v>
      </c>
      <c r="F886">
        <v>412</v>
      </c>
      <c r="G886">
        <v>2</v>
      </c>
      <c r="H886">
        <v>71</v>
      </c>
      <c r="I886" t="s">
        <v>386</v>
      </c>
      <c r="J886" t="s">
        <v>386</v>
      </c>
      <c r="K886">
        <v>1000000</v>
      </c>
      <c r="L886">
        <v>776</v>
      </c>
      <c r="M886">
        <v>776</v>
      </c>
      <c r="N886">
        <v>987</v>
      </c>
      <c r="O886">
        <v>0</v>
      </c>
      <c r="P886">
        <v>3079</v>
      </c>
      <c r="Q886">
        <v>4890</v>
      </c>
      <c r="R886">
        <v>5208</v>
      </c>
      <c r="S886">
        <v>3718</v>
      </c>
      <c r="T886">
        <v>0</v>
      </c>
      <c r="U886">
        <v>2660</v>
      </c>
      <c r="V886">
        <v>463.75485749000001</v>
      </c>
      <c r="AH886">
        <f t="shared" si="122"/>
        <v>776</v>
      </c>
      <c r="AI886">
        <f t="shared" si="123"/>
        <v>987</v>
      </c>
      <c r="AJ886" t="str">
        <f t="shared" si="124"/>
        <v/>
      </c>
      <c r="AK886">
        <f t="shared" si="125"/>
        <v>3079</v>
      </c>
      <c r="AL886">
        <f t="shared" si="118"/>
        <v>4890</v>
      </c>
      <c r="AM886">
        <f t="shared" si="119"/>
        <v>5208</v>
      </c>
      <c r="AN886">
        <f t="shared" si="120"/>
        <v>3718</v>
      </c>
      <c r="AO886" t="str">
        <f t="shared" si="121"/>
        <v/>
      </c>
    </row>
    <row r="887" spans="1:41">
      <c r="A887">
        <f t="shared" si="126"/>
        <v>883</v>
      </c>
      <c r="B887" t="s">
        <v>266</v>
      </c>
      <c r="C887">
        <v>5</v>
      </c>
      <c r="D887">
        <v>5</v>
      </c>
      <c r="E887" t="s">
        <v>385</v>
      </c>
      <c r="F887">
        <v>412</v>
      </c>
      <c r="G887">
        <v>2</v>
      </c>
      <c r="H887">
        <v>72</v>
      </c>
      <c r="I887" t="s">
        <v>386</v>
      </c>
      <c r="J887" t="s">
        <v>386</v>
      </c>
      <c r="K887">
        <v>1000000</v>
      </c>
      <c r="L887">
        <v>931</v>
      </c>
      <c r="M887">
        <v>931</v>
      </c>
      <c r="N887">
        <v>1182</v>
      </c>
      <c r="O887">
        <v>0</v>
      </c>
      <c r="P887">
        <v>3617</v>
      </c>
      <c r="Q887">
        <v>5785</v>
      </c>
      <c r="R887">
        <v>6193</v>
      </c>
      <c r="S887">
        <v>4420</v>
      </c>
      <c r="T887">
        <v>0</v>
      </c>
      <c r="U887">
        <v>3123</v>
      </c>
      <c r="V887">
        <v>465.43150066999999</v>
      </c>
      <c r="AH887">
        <f t="shared" si="122"/>
        <v>931</v>
      </c>
      <c r="AI887">
        <f t="shared" si="123"/>
        <v>1182</v>
      </c>
      <c r="AJ887" t="str">
        <f t="shared" si="124"/>
        <v/>
      </c>
      <c r="AK887">
        <f t="shared" si="125"/>
        <v>3617</v>
      </c>
      <c r="AL887">
        <f t="shared" si="118"/>
        <v>5785</v>
      </c>
      <c r="AM887">
        <f t="shared" si="119"/>
        <v>6193</v>
      </c>
      <c r="AN887">
        <f t="shared" si="120"/>
        <v>4420</v>
      </c>
      <c r="AO887" t="str">
        <f t="shared" si="121"/>
        <v/>
      </c>
    </row>
    <row r="888" spans="1:41">
      <c r="A888">
        <f t="shared" si="126"/>
        <v>884</v>
      </c>
      <c r="B888" t="s">
        <v>266</v>
      </c>
      <c r="C888">
        <v>5</v>
      </c>
      <c r="D888">
        <v>5</v>
      </c>
      <c r="E888" t="s">
        <v>385</v>
      </c>
      <c r="F888">
        <v>412</v>
      </c>
      <c r="G888">
        <v>2</v>
      </c>
      <c r="H888">
        <v>73</v>
      </c>
      <c r="I888" t="s">
        <v>386</v>
      </c>
      <c r="J888" t="s">
        <v>386</v>
      </c>
      <c r="K888">
        <v>1000000</v>
      </c>
      <c r="L888">
        <v>1118</v>
      </c>
      <c r="M888">
        <v>1118</v>
      </c>
      <c r="N888">
        <v>1417</v>
      </c>
      <c r="O888">
        <v>0</v>
      </c>
      <c r="P888">
        <v>4349</v>
      </c>
      <c r="Q888">
        <v>6991</v>
      </c>
      <c r="R888">
        <v>7509</v>
      </c>
      <c r="S888">
        <v>5438</v>
      </c>
      <c r="T888">
        <v>0</v>
      </c>
      <c r="U888">
        <v>3682</v>
      </c>
      <c r="V888">
        <v>467.16000329000002</v>
      </c>
      <c r="AH888">
        <f t="shared" si="122"/>
        <v>1118</v>
      </c>
      <c r="AI888">
        <f t="shared" si="123"/>
        <v>1417</v>
      </c>
      <c r="AJ888" t="str">
        <f t="shared" si="124"/>
        <v/>
      </c>
      <c r="AK888">
        <f t="shared" si="125"/>
        <v>4349</v>
      </c>
      <c r="AL888">
        <f t="shared" si="118"/>
        <v>6991</v>
      </c>
      <c r="AM888">
        <f t="shared" si="119"/>
        <v>7509</v>
      </c>
      <c r="AN888">
        <f t="shared" si="120"/>
        <v>5438</v>
      </c>
      <c r="AO888" t="str">
        <f t="shared" si="121"/>
        <v/>
      </c>
    </row>
    <row r="889" spans="1:41">
      <c r="A889">
        <f t="shared" si="126"/>
        <v>885</v>
      </c>
      <c r="B889" t="s">
        <v>266</v>
      </c>
      <c r="C889">
        <v>5</v>
      </c>
      <c r="D889">
        <v>5</v>
      </c>
      <c r="E889" t="s">
        <v>385</v>
      </c>
      <c r="F889">
        <v>412</v>
      </c>
      <c r="G889">
        <v>2</v>
      </c>
      <c r="H889">
        <v>74</v>
      </c>
      <c r="I889" t="s">
        <v>386</v>
      </c>
      <c r="J889" t="s">
        <v>386</v>
      </c>
      <c r="K889">
        <v>1000000</v>
      </c>
      <c r="L889">
        <v>1344</v>
      </c>
      <c r="M889">
        <v>1344</v>
      </c>
      <c r="N889">
        <v>1703</v>
      </c>
      <c r="O889">
        <v>0</v>
      </c>
      <c r="P889">
        <v>5287</v>
      </c>
      <c r="Q889">
        <v>8515</v>
      </c>
      <c r="R889">
        <v>9221</v>
      </c>
      <c r="S889">
        <v>6631</v>
      </c>
      <c r="T889">
        <v>0</v>
      </c>
      <c r="U889">
        <v>4359</v>
      </c>
      <c r="V889">
        <v>469.07638835</v>
      </c>
      <c r="AH889">
        <f t="shared" si="122"/>
        <v>1344</v>
      </c>
      <c r="AI889">
        <f t="shared" si="123"/>
        <v>1703</v>
      </c>
      <c r="AJ889" t="str">
        <f t="shared" si="124"/>
        <v/>
      </c>
      <c r="AK889">
        <f t="shared" si="125"/>
        <v>5287</v>
      </c>
      <c r="AL889">
        <f t="shared" si="118"/>
        <v>8515</v>
      </c>
      <c r="AM889">
        <f t="shared" si="119"/>
        <v>9221</v>
      </c>
      <c r="AN889">
        <f t="shared" si="120"/>
        <v>6631</v>
      </c>
      <c r="AO889" t="str">
        <f t="shared" si="121"/>
        <v/>
      </c>
    </row>
    <row r="890" spans="1:41">
      <c r="A890">
        <f t="shared" si="126"/>
        <v>886</v>
      </c>
      <c r="B890" t="s">
        <v>266</v>
      </c>
      <c r="C890">
        <v>5</v>
      </c>
      <c r="D890">
        <v>5</v>
      </c>
      <c r="E890" t="s">
        <v>385</v>
      </c>
      <c r="F890">
        <v>412</v>
      </c>
      <c r="G890">
        <v>2</v>
      </c>
      <c r="H890">
        <v>75</v>
      </c>
      <c r="I890" t="s">
        <v>386</v>
      </c>
      <c r="J890" t="s">
        <v>386</v>
      </c>
      <c r="K890">
        <v>1000000</v>
      </c>
      <c r="L890">
        <v>1614</v>
      </c>
      <c r="M890">
        <v>1614</v>
      </c>
      <c r="N890">
        <v>2043</v>
      </c>
      <c r="O890">
        <v>0</v>
      </c>
      <c r="P890">
        <v>6374</v>
      </c>
      <c r="Q890">
        <v>10305</v>
      </c>
      <c r="R890">
        <v>11020</v>
      </c>
      <c r="S890">
        <v>7777</v>
      </c>
      <c r="T890">
        <v>0</v>
      </c>
      <c r="U890">
        <v>5166</v>
      </c>
      <c r="V890">
        <v>471.42020765000001</v>
      </c>
      <c r="AH890">
        <f t="shared" si="122"/>
        <v>1614</v>
      </c>
      <c r="AI890">
        <f t="shared" si="123"/>
        <v>2043</v>
      </c>
      <c r="AJ890" t="str">
        <f t="shared" si="124"/>
        <v/>
      </c>
      <c r="AK890">
        <f t="shared" si="125"/>
        <v>6374</v>
      </c>
      <c r="AL890">
        <f t="shared" si="118"/>
        <v>10305</v>
      </c>
      <c r="AM890">
        <f t="shared" si="119"/>
        <v>11020</v>
      </c>
      <c r="AN890">
        <f t="shared" si="120"/>
        <v>7777</v>
      </c>
      <c r="AO890" t="str">
        <f t="shared" si="121"/>
        <v/>
      </c>
    </row>
    <row r="891" spans="1:41">
      <c r="A891">
        <f t="shared" si="126"/>
        <v>887</v>
      </c>
      <c r="B891" t="s">
        <v>266</v>
      </c>
      <c r="C891">
        <v>4</v>
      </c>
      <c r="D891">
        <v>4</v>
      </c>
      <c r="E891" t="s">
        <v>385</v>
      </c>
      <c r="F891">
        <v>412</v>
      </c>
      <c r="G891">
        <v>2</v>
      </c>
      <c r="H891">
        <v>76</v>
      </c>
      <c r="I891" t="s">
        <v>386</v>
      </c>
      <c r="J891" t="s">
        <v>386</v>
      </c>
      <c r="K891">
        <v>1000000</v>
      </c>
      <c r="L891">
        <v>1753</v>
      </c>
      <c r="M891">
        <v>1753</v>
      </c>
      <c r="N891">
        <v>2220</v>
      </c>
      <c r="O891">
        <v>0</v>
      </c>
      <c r="P891">
        <v>5466</v>
      </c>
      <c r="Q891">
        <v>7754</v>
      </c>
      <c r="R891">
        <v>6124</v>
      </c>
      <c r="S891">
        <v>0</v>
      </c>
      <c r="T891" t="s">
        <v>386</v>
      </c>
      <c r="U891">
        <v>4558</v>
      </c>
      <c r="V891">
        <v>474.29610022999998</v>
      </c>
      <c r="AH891">
        <f t="shared" si="122"/>
        <v>1753</v>
      </c>
      <c r="AI891">
        <f t="shared" si="123"/>
        <v>2220</v>
      </c>
      <c r="AJ891" t="str">
        <f t="shared" si="124"/>
        <v/>
      </c>
      <c r="AK891">
        <f t="shared" si="125"/>
        <v>5466</v>
      </c>
      <c r="AL891">
        <f t="shared" si="118"/>
        <v>7754</v>
      </c>
      <c r="AM891">
        <f t="shared" si="119"/>
        <v>6124</v>
      </c>
      <c r="AN891" t="str">
        <f t="shared" si="120"/>
        <v/>
      </c>
      <c r="AO891" t="e">
        <f t="shared" si="121"/>
        <v>#VALUE!</v>
      </c>
    </row>
    <row r="892" spans="1:41">
      <c r="A892">
        <f t="shared" si="126"/>
        <v>888</v>
      </c>
      <c r="B892" t="s">
        <v>266</v>
      </c>
      <c r="C892">
        <v>3</v>
      </c>
      <c r="D892">
        <v>3</v>
      </c>
      <c r="E892" t="s">
        <v>385</v>
      </c>
      <c r="F892">
        <v>412</v>
      </c>
      <c r="G892">
        <v>2</v>
      </c>
      <c r="H892">
        <v>77</v>
      </c>
      <c r="I892" t="s">
        <v>386</v>
      </c>
      <c r="J892" t="s">
        <v>386</v>
      </c>
      <c r="K892">
        <v>1000000</v>
      </c>
      <c r="L892">
        <v>1910</v>
      </c>
      <c r="M892">
        <v>1910</v>
      </c>
      <c r="N892">
        <v>2421</v>
      </c>
      <c r="O892">
        <v>0</v>
      </c>
      <c r="P892">
        <v>4065</v>
      </c>
      <c r="Q892">
        <v>4257</v>
      </c>
      <c r="R892">
        <v>0</v>
      </c>
      <c r="S892" t="s">
        <v>386</v>
      </c>
      <c r="T892" t="s">
        <v>386</v>
      </c>
      <c r="U892">
        <v>3823</v>
      </c>
      <c r="V892">
        <v>477.62346452000003</v>
      </c>
      <c r="AH892">
        <f t="shared" si="122"/>
        <v>1910</v>
      </c>
      <c r="AI892">
        <f t="shared" si="123"/>
        <v>2421</v>
      </c>
      <c r="AJ892" t="str">
        <f t="shared" si="124"/>
        <v/>
      </c>
      <c r="AK892">
        <f t="shared" si="125"/>
        <v>4065</v>
      </c>
      <c r="AL892">
        <f t="shared" si="118"/>
        <v>4257</v>
      </c>
      <c r="AM892" t="str">
        <f t="shared" si="119"/>
        <v/>
      </c>
      <c r="AN892" t="e">
        <f t="shared" si="120"/>
        <v>#VALUE!</v>
      </c>
      <c r="AO892" t="e">
        <f t="shared" si="121"/>
        <v>#VALUE!</v>
      </c>
    </row>
    <row r="893" spans="1:41">
      <c r="A893">
        <f t="shared" si="126"/>
        <v>889</v>
      </c>
      <c r="B893" t="s">
        <v>266</v>
      </c>
      <c r="C893">
        <v>2</v>
      </c>
      <c r="D893">
        <v>2</v>
      </c>
      <c r="E893" t="s">
        <v>385</v>
      </c>
      <c r="F893">
        <v>412</v>
      </c>
      <c r="G893">
        <v>2</v>
      </c>
      <c r="H893">
        <v>78</v>
      </c>
      <c r="I893" t="s">
        <v>386</v>
      </c>
      <c r="J893" t="s">
        <v>386</v>
      </c>
      <c r="K893">
        <v>1000000</v>
      </c>
      <c r="L893">
        <v>2084</v>
      </c>
      <c r="M893">
        <v>2084</v>
      </c>
      <c r="N893">
        <v>2646</v>
      </c>
      <c r="O893">
        <v>0</v>
      </c>
      <c r="P893">
        <v>2199</v>
      </c>
      <c r="Q893">
        <v>0</v>
      </c>
      <c r="R893" t="s">
        <v>386</v>
      </c>
      <c r="S893" t="s">
        <v>386</v>
      </c>
      <c r="T893" t="s">
        <v>386</v>
      </c>
      <c r="U893">
        <v>2925</v>
      </c>
      <c r="V893">
        <v>481.17881590000002</v>
      </c>
      <c r="AH893">
        <f t="shared" si="122"/>
        <v>2084</v>
      </c>
      <c r="AI893">
        <f t="shared" si="123"/>
        <v>2646</v>
      </c>
      <c r="AJ893" t="str">
        <f t="shared" si="124"/>
        <v/>
      </c>
      <c r="AK893">
        <f t="shared" si="125"/>
        <v>2199</v>
      </c>
      <c r="AL893" t="str">
        <f t="shared" si="118"/>
        <v/>
      </c>
      <c r="AM893" t="e">
        <f t="shared" si="119"/>
        <v>#VALUE!</v>
      </c>
      <c r="AN893" t="e">
        <f t="shared" si="120"/>
        <v>#VALUE!</v>
      </c>
      <c r="AO893" t="e">
        <f t="shared" si="121"/>
        <v>#VALUE!</v>
      </c>
    </row>
    <row r="894" spans="1:41">
      <c r="A894">
        <f t="shared" si="126"/>
        <v>890</v>
      </c>
      <c r="B894" t="s">
        <v>266</v>
      </c>
      <c r="C894">
        <v>1</v>
      </c>
      <c r="D894">
        <v>1</v>
      </c>
      <c r="E894" t="s">
        <v>385</v>
      </c>
      <c r="F894">
        <v>412</v>
      </c>
      <c r="G894">
        <v>2</v>
      </c>
      <c r="H894">
        <v>79</v>
      </c>
      <c r="I894" t="s">
        <v>386</v>
      </c>
      <c r="J894" t="s">
        <v>386</v>
      </c>
      <c r="K894">
        <v>1000000</v>
      </c>
      <c r="L894">
        <v>2269</v>
      </c>
      <c r="M894">
        <v>2269</v>
      </c>
      <c r="N894">
        <v>2901</v>
      </c>
      <c r="O894">
        <v>0</v>
      </c>
      <c r="P894">
        <v>0</v>
      </c>
      <c r="Q894" t="s">
        <v>386</v>
      </c>
      <c r="R894" t="s">
        <v>386</v>
      </c>
      <c r="S894" t="s">
        <v>386</v>
      </c>
      <c r="T894" t="s">
        <v>386</v>
      </c>
      <c r="U894">
        <v>1799</v>
      </c>
      <c r="V894">
        <v>484.61436355000001</v>
      </c>
      <c r="AH894">
        <f t="shared" si="122"/>
        <v>2269</v>
      </c>
      <c r="AI894">
        <f t="shared" si="123"/>
        <v>2901</v>
      </c>
      <c r="AJ894" t="str">
        <f t="shared" si="124"/>
        <v/>
      </c>
      <c r="AK894" t="str">
        <f t="shared" si="125"/>
        <v/>
      </c>
      <c r="AL894" t="e">
        <f t="shared" si="118"/>
        <v>#VALUE!</v>
      </c>
      <c r="AM894" t="e">
        <f t="shared" si="119"/>
        <v>#VALUE!</v>
      </c>
      <c r="AN894" t="e">
        <f t="shared" si="120"/>
        <v>#VALUE!</v>
      </c>
      <c r="AO894" t="e">
        <f t="shared" si="121"/>
        <v>#VALUE!</v>
      </c>
    </row>
    <row r="895" spans="1:41">
      <c r="A895">
        <f t="shared" si="126"/>
        <v>891</v>
      </c>
      <c r="B895" t="s">
        <v>266</v>
      </c>
      <c r="C895">
        <v>5</v>
      </c>
      <c r="D895">
        <v>5</v>
      </c>
      <c r="E895" t="s">
        <v>387</v>
      </c>
      <c r="F895">
        <v>412</v>
      </c>
      <c r="G895">
        <v>2</v>
      </c>
      <c r="H895">
        <v>30</v>
      </c>
      <c r="I895" t="s">
        <v>386</v>
      </c>
      <c r="J895" t="s">
        <v>386</v>
      </c>
      <c r="K895">
        <v>1000000</v>
      </c>
      <c r="L895">
        <v>4</v>
      </c>
      <c r="M895">
        <v>4</v>
      </c>
      <c r="N895">
        <v>12</v>
      </c>
      <c r="O895">
        <v>0</v>
      </c>
      <c r="P895">
        <v>9</v>
      </c>
      <c r="Q895">
        <v>14</v>
      </c>
      <c r="R895">
        <v>15</v>
      </c>
      <c r="S895">
        <v>9</v>
      </c>
      <c r="T895">
        <v>0</v>
      </c>
      <c r="U895">
        <v>348</v>
      </c>
      <c r="V895">
        <v>487.56735450999997</v>
      </c>
      <c r="AH895">
        <f t="shared" si="122"/>
        <v>4</v>
      </c>
      <c r="AI895">
        <f t="shared" si="123"/>
        <v>12</v>
      </c>
      <c r="AJ895" t="str">
        <f t="shared" si="124"/>
        <v/>
      </c>
      <c r="AK895">
        <f t="shared" si="125"/>
        <v>9</v>
      </c>
      <c r="AL895">
        <f t="shared" si="118"/>
        <v>14</v>
      </c>
      <c r="AM895">
        <f t="shared" si="119"/>
        <v>15</v>
      </c>
      <c r="AN895">
        <f t="shared" si="120"/>
        <v>9</v>
      </c>
      <c r="AO895" t="str">
        <f t="shared" si="121"/>
        <v/>
      </c>
    </row>
    <row r="896" spans="1:41">
      <c r="A896">
        <f t="shared" si="126"/>
        <v>892</v>
      </c>
      <c r="B896" t="s">
        <v>266</v>
      </c>
      <c r="C896">
        <v>5</v>
      </c>
      <c r="D896">
        <v>5</v>
      </c>
      <c r="E896" t="s">
        <v>387</v>
      </c>
      <c r="F896">
        <v>412</v>
      </c>
      <c r="G896">
        <v>2</v>
      </c>
      <c r="H896">
        <v>31</v>
      </c>
      <c r="I896" t="s">
        <v>386</v>
      </c>
      <c r="J896" t="s">
        <v>386</v>
      </c>
      <c r="K896">
        <v>1000000</v>
      </c>
      <c r="L896">
        <v>4</v>
      </c>
      <c r="M896">
        <v>4</v>
      </c>
      <c r="N896">
        <v>12</v>
      </c>
      <c r="O896">
        <v>0</v>
      </c>
      <c r="P896">
        <v>10</v>
      </c>
      <c r="Q896">
        <v>18</v>
      </c>
      <c r="R896">
        <v>17</v>
      </c>
      <c r="S896">
        <v>14</v>
      </c>
      <c r="T896">
        <v>0</v>
      </c>
      <c r="U896">
        <v>349</v>
      </c>
      <c r="V896">
        <v>490.0601949</v>
      </c>
      <c r="AH896">
        <f t="shared" si="122"/>
        <v>4</v>
      </c>
      <c r="AI896">
        <f t="shared" si="123"/>
        <v>12</v>
      </c>
      <c r="AJ896" t="str">
        <f t="shared" si="124"/>
        <v/>
      </c>
      <c r="AK896">
        <f t="shared" si="125"/>
        <v>10</v>
      </c>
      <c r="AL896">
        <f t="shared" si="118"/>
        <v>18</v>
      </c>
      <c r="AM896">
        <f t="shared" si="119"/>
        <v>17</v>
      </c>
      <c r="AN896">
        <f t="shared" si="120"/>
        <v>14</v>
      </c>
      <c r="AO896" t="str">
        <f t="shared" si="121"/>
        <v/>
      </c>
    </row>
    <row r="897" spans="1:41">
      <c r="A897">
        <f t="shared" si="126"/>
        <v>893</v>
      </c>
      <c r="B897" t="s">
        <v>266</v>
      </c>
      <c r="C897">
        <v>5</v>
      </c>
      <c r="D897">
        <v>5</v>
      </c>
      <c r="E897" t="s">
        <v>387</v>
      </c>
      <c r="F897">
        <v>412</v>
      </c>
      <c r="G897">
        <v>2</v>
      </c>
      <c r="H897">
        <v>32</v>
      </c>
      <c r="I897" t="s">
        <v>386</v>
      </c>
      <c r="J897" t="s">
        <v>386</v>
      </c>
      <c r="K897">
        <v>1000000</v>
      </c>
      <c r="L897">
        <v>5</v>
      </c>
      <c r="M897">
        <v>5</v>
      </c>
      <c r="N897">
        <v>13</v>
      </c>
      <c r="O897">
        <v>0</v>
      </c>
      <c r="P897">
        <v>13</v>
      </c>
      <c r="Q897">
        <v>19</v>
      </c>
      <c r="R897">
        <v>22</v>
      </c>
      <c r="S897">
        <v>15</v>
      </c>
      <c r="T897">
        <v>0</v>
      </c>
      <c r="U897">
        <v>351</v>
      </c>
      <c r="V897">
        <v>492.18762871000001</v>
      </c>
      <c r="AH897">
        <f t="shared" si="122"/>
        <v>5</v>
      </c>
      <c r="AI897">
        <f t="shared" si="123"/>
        <v>13</v>
      </c>
      <c r="AJ897" t="str">
        <f t="shared" si="124"/>
        <v/>
      </c>
      <c r="AK897">
        <f t="shared" si="125"/>
        <v>13</v>
      </c>
      <c r="AL897">
        <f t="shared" si="118"/>
        <v>19</v>
      </c>
      <c r="AM897">
        <f t="shared" si="119"/>
        <v>22</v>
      </c>
      <c r="AN897">
        <f t="shared" si="120"/>
        <v>15</v>
      </c>
      <c r="AO897" t="str">
        <f t="shared" si="121"/>
        <v/>
      </c>
    </row>
    <row r="898" spans="1:41">
      <c r="A898">
        <f t="shared" si="126"/>
        <v>894</v>
      </c>
      <c r="B898" t="s">
        <v>266</v>
      </c>
      <c r="C898">
        <v>5</v>
      </c>
      <c r="D898">
        <v>5</v>
      </c>
      <c r="E898" t="s">
        <v>387</v>
      </c>
      <c r="F898">
        <v>412</v>
      </c>
      <c r="G898">
        <v>2</v>
      </c>
      <c r="H898">
        <v>33</v>
      </c>
      <c r="I898" t="s">
        <v>386</v>
      </c>
      <c r="J898" t="s">
        <v>386</v>
      </c>
      <c r="K898">
        <v>1000000</v>
      </c>
      <c r="L898">
        <v>5</v>
      </c>
      <c r="M898">
        <v>5</v>
      </c>
      <c r="N898">
        <v>14</v>
      </c>
      <c r="O898">
        <v>0</v>
      </c>
      <c r="P898">
        <v>13</v>
      </c>
      <c r="Q898">
        <v>22</v>
      </c>
      <c r="R898">
        <v>22</v>
      </c>
      <c r="S898">
        <v>15</v>
      </c>
      <c r="T898">
        <v>0</v>
      </c>
      <c r="U898">
        <v>353</v>
      </c>
      <c r="V898">
        <v>494.30024172999998</v>
      </c>
      <c r="AH898">
        <f t="shared" si="122"/>
        <v>5</v>
      </c>
      <c r="AI898">
        <f t="shared" si="123"/>
        <v>14</v>
      </c>
      <c r="AJ898" t="str">
        <f t="shared" si="124"/>
        <v/>
      </c>
      <c r="AK898">
        <f t="shared" si="125"/>
        <v>13</v>
      </c>
      <c r="AL898">
        <f t="shared" si="118"/>
        <v>22</v>
      </c>
      <c r="AM898">
        <f t="shared" si="119"/>
        <v>22</v>
      </c>
      <c r="AN898">
        <f t="shared" si="120"/>
        <v>15</v>
      </c>
      <c r="AO898" t="str">
        <f t="shared" si="121"/>
        <v/>
      </c>
    </row>
    <row r="899" spans="1:41">
      <c r="A899">
        <f t="shared" si="126"/>
        <v>895</v>
      </c>
      <c r="B899" t="s">
        <v>266</v>
      </c>
      <c r="C899">
        <v>5</v>
      </c>
      <c r="D899">
        <v>5</v>
      </c>
      <c r="E899" t="s">
        <v>387</v>
      </c>
      <c r="F899">
        <v>412</v>
      </c>
      <c r="G899">
        <v>2</v>
      </c>
      <c r="H899">
        <v>34</v>
      </c>
      <c r="I899" t="s">
        <v>386</v>
      </c>
      <c r="J899" t="s">
        <v>386</v>
      </c>
      <c r="K899">
        <v>1000000</v>
      </c>
      <c r="L899">
        <v>6</v>
      </c>
      <c r="M899">
        <v>6</v>
      </c>
      <c r="N899">
        <v>15</v>
      </c>
      <c r="O899">
        <v>0</v>
      </c>
      <c r="P899">
        <v>17</v>
      </c>
      <c r="Q899">
        <v>25</v>
      </c>
      <c r="R899">
        <v>26</v>
      </c>
      <c r="S899">
        <v>19</v>
      </c>
      <c r="T899">
        <v>0</v>
      </c>
      <c r="U899">
        <v>355</v>
      </c>
      <c r="V899">
        <v>496.55718180000002</v>
      </c>
      <c r="AH899">
        <f t="shared" si="122"/>
        <v>6</v>
      </c>
      <c r="AI899">
        <f t="shared" si="123"/>
        <v>15</v>
      </c>
      <c r="AJ899" t="str">
        <f t="shared" si="124"/>
        <v/>
      </c>
      <c r="AK899">
        <f t="shared" si="125"/>
        <v>17</v>
      </c>
      <c r="AL899">
        <f t="shared" si="118"/>
        <v>25</v>
      </c>
      <c r="AM899">
        <f t="shared" si="119"/>
        <v>26</v>
      </c>
      <c r="AN899">
        <f t="shared" si="120"/>
        <v>19</v>
      </c>
      <c r="AO899" t="str">
        <f t="shared" si="121"/>
        <v/>
      </c>
    </row>
    <row r="900" spans="1:41">
      <c r="A900">
        <f t="shared" si="126"/>
        <v>896</v>
      </c>
      <c r="B900" t="s">
        <v>266</v>
      </c>
      <c r="C900">
        <v>5</v>
      </c>
      <c r="D900">
        <v>5</v>
      </c>
      <c r="E900" t="s">
        <v>387</v>
      </c>
      <c r="F900">
        <v>412</v>
      </c>
      <c r="G900">
        <v>2</v>
      </c>
      <c r="H900">
        <v>35</v>
      </c>
      <c r="I900" t="s">
        <v>386</v>
      </c>
      <c r="J900" t="s">
        <v>386</v>
      </c>
      <c r="K900">
        <v>1000000</v>
      </c>
      <c r="L900">
        <v>7</v>
      </c>
      <c r="M900">
        <v>7</v>
      </c>
      <c r="N900">
        <v>16</v>
      </c>
      <c r="O900">
        <v>0</v>
      </c>
      <c r="P900">
        <v>17</v>
      </c>
      <c r="Q900">
        <v>28</v>
      </c>
      <c r="R900">
        <v>31</v>
      </c>
      <c r="S900">
        <v>23</v>
      </c>
      <c r="T900">
        <v>0</v>
      </c>
      <c r="U900">
        <v>357</v>
      </c>
      <c r="V900">
        <v>499.06844057000001</v>
      </c>
      <c r="AH900">
        <f t="shared" si="122"/>
        <v>7</v>
      </c>
      <c r="AI900">
        <f t="shared" si="123"/>
        <v>16</v>
      </c>
      <c r="AJ900" t="str">
        <f t="shared" si="124"/>
        <v/>
      </c>
      <c r="AK900">
        <f t="shared" si="125"/>
        <v>17</v>
      </c>
      <c r="AL900">
        <f t="shared" si="118"/>
        <v>28</v>
      </c>
      <c r="AM900">
        <f t="shared" si="119"/>
        <v>31</v>
      </c>
      <c r="AN900">
        <f t="shared" si="120"/>
        <v>23</v>
      </c>
      <c r="AO900" t="str">
        <f t="shared" si="121"/>
        <v/>
      </c>
    </row>
    <row r="901" spans="1:41">
      <c r="A901">
        <f t="shared" si="126"/>
        <v>897</v>
      </c>
      <c r="B901" t="s">
        <v>266</v>
      </c>
      <c r="C901">
        <v>5</v>
      </c>
      <c r="D901">
        <v>5</v>
      </c>
      <c r="E901" t="s">
        <v>387</v>
      </c>
      <c r="F901">
        <v>412</v>
      </c>
      <c r="G901">
        <v>2</v>
      </c>
      <c r="H901">
        <v>36</v>
      </c>
      <c r="I901" t="s">
        <v>386</v>
      </c>
      <c r="J901" t="s">
        <v>386</v>
      </c>
      <c r="K901">
        <v>1000000</v>
      </c>
      <c r="L901">
        <v>8</v>
      </c>
      <c r="M901">
        <v>8</v>
      </c>
      <c r="N901">
        <v>17</v>
      </c>
      <c r="O901">
        <v>0</v>
      </c>
      <c r="P901">
        <v>22</v>
      </c>
      <c r="Q901">
        <v>37</v>
      </c>
      <c r="R901">
        <v>41</v>
      </c>
      <c r="S901">
        <v>31</v>
      </c>
      <c r="T901">
        <v>0</v>
      </c>
      <c r="U901">
        <v>360</v>
      </c>
      <c r="V901">
        <v>501.72784881000001</v>
      </c>
      <c r="AH901">
        <f t="shared" si="122"/>
        <v>8</v>
      </c>
      <c r="AI901">
        <f t="shared" si="123"/>
        <v>17</v>
      </c>
      <c r="AJ901" t="str">
        <f t="shared" si="124"/>
        <v/>
      </c>
      <c r="AK901">
        <f t="shared" si="125"/>
        <v>22</v>
      </c>
      <c r="AL901">
        <f t="shared" ref="AL901:AL964" si="127">IF(Q901=AC901, "", Q901-AC901)</f>
        <v>37</v>
      </c>
      <c r="AM901">
        <f t="shared" ref="AM901:AM964" si="128">IF(R901=AD901, "", R901-AD901)</f>
        <v>41</v>
      </c>
      <c r="AN901">
        <f t="shared" ref="AN901:AN964" si="129">IF(S901=AE901, "", S901-AE901)</f>
        <v>31</v>
      </c>
      <c r="AO901" t="str">
        <f t="shared" ref="AO901:AO964" si="130">IF(T901=AF901, "", T901-AF901)</f>
        <v/>
      </c>
    </row>
    <row r="902" spans="1:41">
      <c r="A902">
        <f t="shared" si="126"/>
        <v>898</v>
      </c>
      <c r="B902" t="s">
        <v>266</v>
      </c>
      <c r="C902">
        <v>5</v>
      </c>
      <c r="D902">
        <v>5</v>
      </c>
      <c r="E902" t="s">
        <v>387</v>
      </c>
      <c r="F902">
        <v>412</v>
      </c>
      <c r="G902">
        <v>2</v>
      </c>
      <c r="H902">
        <v>37</v>
      </c>
      <c r="I902" t="s">
        <v>386</v>
      </c>
      <c r="J902" t="s">
        <v>386</v>
      </c>
      <c r="K902">
        <v>1000000</v>
      </c>
      <c r="L902">
        <v>9</v>
      </c>
      <c r="M902">
        <v>9</v>
      </c>
      <c r="N902">
        <v>18</v>
      </c>
      <c r="O902">
        <v>0</v>
      </c>
      <c r="P902">
        <v>29</v>
      </c>
      <c r="Q902">
        <v>47</v>
      </c>
      <c r="R902">
        <v>51</v>
      </c>
      <c r="S902">
        <v>35</v>
      </c>
      <c r="T902">
        <v>0</v>
      </c>
      <c r="U902">
        <v>364</v>
      </c>
      <c r="V902">
        <v>504.53914193999998</v>
      </c>
      <c r="AH902">
        <f t="shared" ref="AH902:AH965" si="131">IF(L902=Y902, "",L902-Y902)</f>
        <v>9</v>
      </c>
      <c r="AI902">
        <f t="shared" ref="AI902:AI965" si="132">IF(N902=Z902, "", N902-Z902)</f>
        <v>18</v>
      </c>
      <c r="AJ902" t="str">
        <f t="shared" ref="AJ902:AJ965" si="133">IF(O902=AA902, "", O902-AA902)</f>
        <v/>
      </c>
      <c r="AK902">
        <f t="shared" ref="AK902:AK965" si="134">IF(P902=AB902, "", P902-AB902)</f>
        <v>29</v>
      </c>
      <c r="AL902">
        <f t="shared" si="127"/>
        <v>47</v>
      </c>
      <c r="AM902">
        <f t="shared" si="128"/>
        <v>51</v>
      </c>
      <c r="AN902">
        <f t="shared" si="129"/>
        <v>35</v>
      </c>
      <c r="AO902" t="str">
        <f t="shared" si="130"/>
        <v/>
      </c>
    </row>
    <row r="903" spans="1:41">
      <c r="A903">
        <f t="shared" ref="A903:A966" si="135">A902+1</f>
        <v>899</v>
      </c>
      <c r="B903" t="s">
        <v>266</v>
      </c>
      <c r="C903">
        <v>5</v>
      </c>
      <c r="D903">
        <v>5</v>
      </c>
      <c r="E903" t="s">
        <v>387</v>
      </c>
      <c r="F903">
        <v>412</v>
      </c>
      <c r="G903">
        <v>2</v>
      </c>
      <c r="H903">
        <v>38</v>
      </c>
      <c r="I903" t="s">
        <v>386</v>
      </c>
      <c r="J903" t="s">
        <v>386</v>
      </c>
      <c r="K903">
        <v>1000000</v>
      </c>
      <c r="L903">
        <v>10</v>
      </c>
      <c r="M903">
        <v>10</v>
      </c>
      <c r="N903">
        <v>20</v>
      </c>
      <c r="O903">
        <v>0</v>
      </c>
      <c r="P903">
        <v>35</v>
      </c>
      <c r="Q903">
        <v>57</v>
      </c>
      <c r="R903">
        <v>60</v>
      </c>
      <c r="S903">
        <v>43</v>
      </c>
      <c r="T903">
        <v>0</v>
      </c>
      <c r="U903">
        <v>368</v>
      </c>
      <c r="V903">
        <v>507.49369760000002</v>
      </c>
      <c r="AH903">
        <f t="shared" si="131"/>
        <v>10</v>
      </c>
      <c r="AI903">
        <f t="shared" si="132"/>
        <v>20</v>
      </c>
      <c r="AJ903" t="str">
        <f t="shared" si="133"/>
        <v/>
      </c>
      <c r="AK903">
        <f t="shared" si="134"/>
        <v>35</v>
      </c>
      <c r="AL903">
        <f t="shared" si="127"/>
        <v>57</v>
      </c>
      <c r="AM903">
        <f t="shared" si="128"/>
        <v>60</v>
      </c>
      <c r="AN903">
        <f t="shared" si="129"/>
        <v>43</v>
      </c>
      <c r="AO903" t="str">
        <f t="shared" si="130"/>
        <v/>
      </c>
    </row>
    <row r="904" spans="1:41">
      <c r="A904">
        <f t="shared" si="135"/>
        <v>900</v>
      </c>
      <c r="B904" t="s">
        <v>266</v>
      </c>
      <c r="C904">
        <v>5</v>
      </c>
      <c r="D904">
        <v>5</v>
      </c>
      <c r="E904" t="s">
        <v>387</v>
      </c>
      <c r="F904">
        <v>412</v>
      </c>
      <c r="G904">
        <v>2</v>
      </c>
      <c r="H904">
        <v>39</v>
      </c>
      <c r="I904" t="s">
        <v>386</v>
      </c>
      <c r="J904" t="s">
        <v>386</v>
      </c>
      <c r="K904">
        <v>1000000</v>
      </c>
      <c r="L904">
        <v>12</v>
      </c>
      <c r="M904">
        <v>12</v>
      </c>
      <c r="N904">
        <v>22</v>
      </c>
      <c r="O904">
        <v>0</v>
      </c>
      <c r="P904">
        <v>41</v>
      </c>
      <c r="Q904">
        <v>63</v>
      </c>
      <c r="R904">
        <v>67</v>
      </c>
      <c r="S904">
        <v>45</v>
      </c>
      <c r="T904">
        <v>0</v>
      </c>
      <c r="U904">
        <v>373</v>
      </c>
      <c r="V904">
        <v>510.68903319999998</v>
      </c>
      <c r="AH904">
        <f t="shared" si="131"/>
        <v>12</v>
      </c>
      <c r="AI904">
        <f t="shared" si="132"/>
        <v>22</v>
      </c>
      <c r="AJ904" t="str">
        <f t="shared" si="133"/>
        <v/>
      </c>
      <c r="AK904">
        <f t="shared" si="134"/>
        <v>41</v>
      </c>
      <c r="AL904">
        <f t="shared" si="127"/>
        <v>63</v>
      </c>
      <c r="AM904">
        <f t="shared" si="128"/>
        <v>67</v>
      </c>
      <c r="AN904">
        <f t="shared" si="129"/>
        <v>45</v>
      </c>
      <c r="AO904" t="str">
        <f t="shared" si="130"/>
        <v/>
      </c>
    </row>
    <row r="905" spans="1:41">
      <c r="A905">
        <f t="shared" si="135"/>
        <v>901</v>
      </c>
      <c r="B905" t="s">
        <v>266</v>
      </c>
      <c r="C905">
        <v>5</v>
      </c>
      <c r="D905">
        <v>5</v>
      </c>
      <c r="E905" t="s">
        <v>387</v>
      </c>
      <c r="F905">
        <v>412</v>
      </c>
      <c r="G905">
        <v>2</v>
      </c>
      <c r="H905">
        <v>40</v>
      </c>
      <c r="I905" t="s">
        <v>386</v>
      </c>
      <c r="J905" t="s">
        <v>386</v>
      </c>
      <c r="K905">
        <v>1000000</v>
      </c>
      <c r="L905">
        <v>14</v>
      </c>
      <c r="M905">
        <v>14</v>
      </c>
      <c r="N905">
        <v>25</v>
      </c>
      <c r="O905">
        <v>0</v>
      </c>
      <c r="P905">
        <v>43</v>
      </c>
      <c r="Q905">
        <v>67</v>
      </c>
      <c r="R905">
        <v>67</v>
      </c>
      <c r="S905">
        <v>44</v>
      </c>
      <c r="T905">
        <v>0</v>
      </c>
      <c r="U905">
        <v>378</v>
      </c>
      <c r="V905">
        <v>514.17817170000001</v>
      </c>
      <c r="AH905">
        <f t="shared" si="131"/>
        <v>14</v>
      </c>
      <c r="AI905">
        <f t="shared" si="132"/>
        <v>25</v>
      </c>
      <c r="AJ905" t="str">
        <f t="shared" si="133"/>
        <v/>
      </c>
      <c r="AK905">
        <f t="shared" si="134"/>
        <v>43</v>
      </c>
      <c r="AL905">
        <f t="shared" si="127"/>
        <v>67</v>
      </c>
      <c r="AM905">
        <f t="shared" si="128"/>
        <v>67</v>
      </c>
      <c r="AN905">
        <f t="shared" si="129"/>
        <v>44</v>
      </c>
      <c r="AO905" t="str">
        <f t="shared" si="130"/>
        <v/>
      </c>
    </row>
    <row r="906" spans="1:41">
      <c r="A906">
        <f t="shared" si="135"/>
        <v>902</v>
      </c>
      <c r="B906" t="s">
        <v>266</v>
      </c>
      <c r="C906">
        <v>5</v>
      </c>
      <c r="D906">
        <v>5</v>
      </c>
      <c r="E906" t="s">
        <v>387</v>
      </c>
      <c r="F906">
        <v>412</v>
      </c>
      <c r="G906">
        <v>2</v>
      </c>
      <c r="H906">
        <v>41</v>
      </c>
      <c r="I906" t="s">
        <v>386</v>
      </c>
      <c r="J906" t="s">
        <v>386</v>
      </c>
      <c r="K906">
        <v>1000000</v>
      </c>
      <c r="L906">
        <v>16</v>
      </c>
      <c r="M906">
        <v>16</v>
      </c>
      <c r="N906">
        <v>27</v>
      </c>
      <c r="O906">
        <v>0</v>
      </c>
      <c r="P906">
        <v>47</v>
      </c>
      <c r="Q906">
        <v>70</v>
      </c>
      <c r="R906">
        <v>71</v>
      </c>
      <c r="S906">
        <v>51</v>
      </c>
      <c r="T906">
        <v>0</v>
      </c>
      <c r="U906">
        <v>384</v>
      </c>
      <c r="V906">
        <v>517.86838845</v>
      </c>
      <c r="AH906">
        <f t="shared" si="131"/>
        <v>16</v>
      </c>
      <c r="AI906">
        <f t="shared" si="132"/>
        <v>27</v>
      </c>
      <c r="AJ906" t="str">
        <f t="shared" si="133"/>
        <v/>
      </c>
      <c r="AK906">
        <f t="shared" si="134"/>
        <v>47</v>
      </c>
      <c r="AL906">
        <f t="shared" si="127"/>
        <v>70</v>
      </c>
      <c r="AM906">
        <f t="shared" si="128"/>
        <v>71</v>
      </c>
      <c r="AN906">
        <f t="shared" si="129"/>
        <v>51</v>
      </c>
      <c r="AO906" t="str">
        <f t="shared" si="130"/>
        <v/>
      </c>
    </row>
    <row r="907" spans="1:41">
      <c r="A907">
        <f t="shared" si="135"/>
        <v>903</v>
      </c>
      <c r="B907" t="s">
        <v>266</v>
      </c>
      <c r="C907">
        <v>5</v>
      </c>
      <c r="D907">
        <v>5</v>
      </c>
      <c r="E907" t="s">
        <v>387</v>
      </c>
      <c r="F907">
        <v>412</v>
      </c>
      <c r="G907">
        <v>2</v>
      </c>
      <c r="H907">
        <v>42</v>
      </c>
      <c r="I907" t="s">
        <v>386</v>
      </c>
      <c r="J907" t="s">
        <v>386</v>
      </c>
      <c r="K907">
        <v>1000000</v>
      </c>
      <c r="L907">
        <v>18</v>
      </c>
      <c r="M907">
        <v>18</v>
      </c>
      <c r="N907">
        <v>30</v>
      </c>
      <c r="O907">
        <v>0</v>
      </c>
      <c r="P907">
        <v>47</v>
      </c>
      <c r="Q907">
        <v>72</v>
      </c>
      <c r="R907">
        <v>77</v>
      </c>
      <c r="S907">
        <v>52</v>
      </c>
      <c r="T907">
        <v>0</v>
      </c>
      <c r="U907">
        <v>390</v>
      </c>
      <c r="V907">
        <v>521.85867255000005</v>
      </c>
      <c r="AH907">
        <f t="shared" si="131"/>
        <v>18</v>
      </c>
      <c r="AI907">
        <f t="shared" si="132"/>
        <v>30</v>
      </c>
      <c r="AJ907" t="str">
        <f t="shared" si="133"/>
        <v/>
      </c>
      <c r="AK907">
        <f t="shared" si="134"/>
        <v>47</v>
      </c>
      <c r="AL907">
        <f t="shared" si="127"/>
        <v>72</v>
      </c>
      <c r="AM907">
        <f t="shared" si="128"/>
        <v>77</v>
      </c>
      <c r="AN907">
        <f t="shared" si="129"/>
        <v>52</v>
      </c>
      <c r="AO907" t="str">
        <f t="shared" si="130"/>
        <v/>
      </c>
    </row>
    <row r="908" spans="1:41">
      <c r="A908">
        <f t="shared" si="135"/>
        <v>904</v>
      </c>
      <c r="B908" t="s">
        <v>266</v>
      </c>
      <c r="C908">
        <v>5</v>
      </c>
      <c r="D908">
        <v>5</v>
      </c>
      <c r="E908" t="s">
        <v>387</v>
      </c>
      <c r="F908">
        <v>412</v>
      </c>
      <c r="G908">
        <v>2</v>
      </c>
      <c r="H908">
        <v>43</v>
      </c>
      <c r="I908" t="s">
        <v>386</v>
      </c>
      <c r="J908" t="s">
        <v>386</v>
      </c>
      <c r="K908">
        <v>1000000</v>
      </c>
      <c r="L908">
        <v>20</v>
      </c>
      <c r="M908">
        <v>20</v>
      </c>
      <c r="N908">
        <v>32</v>
      </c>
      <c r="O908">
        <v>0</v>
      </c>
      <c r="P908">
        <v>50</v>
      </c>
      <c r="Q908">
        <v>81</v>
      </c>
      <c r="R908">
        <v>82</v>
      </c>
      <c r="S908">
        <v>56</v>
      </c>
      <c r="T908">
        <v>0</v>
      </c>
      <c r="U908">
        <v>397</v>
      </c>
      <c r="V908">
        <v>526.23802398999999</v>
      </c>
      <c r="AH908">
        <f t="shared" si="131"/>
        <v>20</v>
      </c>
      <c r="AI908">
        <f t="shared" si="132"/>
        <v>32</v>
      </c>
      <c r="AJ908" t="str">
        <f t="shared" si="133"/>
        <v/>
      </c>
      <c r="AK908">
        <f t="shared" si="134"/>
        <v>50</v>
      </c>
      <c r="AL908">
        <f t="shared" si="127"/>
        <v>81</v>
      </c>
      <c r="AM908">
        <f t="shared" si="128"/>
        <v>82</v>
      </c>
      <c r="AN908">
        <f t="shared" si="129"/>
        <v>56</v>
      </c>
      <c r="AO908" t="str">
        <f t="shared" si="130"/>
        <v/>
      </c>
    </row>
    <row r="909" spans="1:41">
      <c r="A909">
        <f t="shared" si="135"/>
        <v>905</v>
      </c>
      <c r="B909" t="s">
        <v>266</v>
      </c>
      <c r="C909">
        <v>5</v>
      </c>
      <c r="D909">
        <v>5</v>
      </c>
      <c r="E909" t="s">
        <v>387</v>
      </c>
      <c r="F909">
        <v>412</v>
      </c>
      <c r="G909">
        <v>2</v>
      </c>
      <c r="H909">
        <v>44</v>
      </c>
      <c r="I909" t="s">
        <v>386</v>
      </c>
      <c r="J909" t="s">
        <v>386</v>
      </c>
      <c r="K909">
        <v>1000000</v>
      </c>
      <c r="L909">
        <v>22</v>
      </c>
      <c r="M909">
        <v>22</v>
      </c>
      <c r="N909">
        <v>35</v>
      </c>
      <c r="O909">
        <v>0</v>
      </c>
      <c r="P909">
        <v>57</v>
      </c>
      <c r="Q909">
        <v>86</v>
      </c>
      <c r="R909">
        <v>88</v>
      </c>
      <c r="S909">
        <v>61</v>
      </c>
      <c r="T909">
        <v>0</v>
      </c>
      <c r="U909">
        <v>404</v>
      </c>
      <c r="V909">
        <v>531.33240066999997</v>
      </c>
      <c r="AH909">
        <f t="shared" si="131"/>
        <v>22</v>
      </c>
      <c r="AI909">
        <f t="shared" si="132"/>
        <v>35</v>
      </c>
      <c r="AJ909" t="str">
        <f t="shared" si="133"/>
        <v/>
      </c>
      <c r="AK909">
        <f t="shared" si="134"/>
        <v>57</v>
      </c>
      <c r="AL909">
        <f t="shared" si="127"/>
        <v>86</v>
      </c>
      <c r="AM909">
        <f t="shared" si="128"/>
        <v>88</v>
      </c>
      <c r="AN909">
        <f t="shared" si="129"/>
        <v>61</v>
      </c>
      <c r="AO909" t="str">
        <f t="shared" si="130"/>
        <v/>
      </c>
    </row>
    <row r="910" spans="1:41">
      <c r="A910">
        <f t="shared" si="135"/>
        <v>906</v>
      </c>
      <c r="B910" t="s">
        <v>266</v>
      </c>
      <c r="C910">
        <v>5</v>
      </c>
      <c r="D910">
        <v>5</v>
      </c>
      <c r="E910" t="s">
        <v>387</v>
      </c>
      <c r="F910">
        <v>412</v>
      </c>
      <c r="G910">
        <v>2</v>
      </c>
      <c r="H910">
        <v>45</v>
      </c>
      <c r="I910" t="s">
        <v>386</v>
      </c>
      <c r="J910" t="s">
        <v>386</v>
      </c>
      <c r="K910">
        <v>1000000</v>
      </c>
      <c r="L910">
        <v>25</v>
      </c>
      <c r="M910">
        <v>25</v>
      </c>
      <c r="N910">
        <v>38</v>
      </c>
      <c r="O910">
        <v>0</v>
      </c>
      <c r="P910">
        <v>55</v>
      </c>
      <c r="Q910">
        <v>85</v>
      </c>
      <c r="R910">
        <v>85</v>
      </c>
      <c r="S910">
        <v>53</v>
      </c>
      <c r="T910">
        <v>0</v>
      </c>
      <c r="U910">
        <v>410</v>
      </c>
      <c r="V910">
        <v>537.48220134999997</v>
      </c>
      <c r="AH910">
        <f t="shared" si="131"/>
        <v>25</v>
      </c>
      <c r="AI910">
        <f t="shared" si="132"/>
        <v>38</v>
      </c>
      <c r="AJ910" t="str">
        <f t="shared" si="133"/>
        <v/>
      </c>
      <c r="AK910">
        <f t="shared" si="134"/>
        <v>55</v>
      </c>
      <c r="AL910">
        <f t="shared" si="127"/>
        <v>85</v>
      </c>
      <c r="AM910">
        <f t="shared" si="128"/>
        <v>85</v>
      </c>
      <c r="AN910">
        <f t="shared" si="129"/>
        <v>53</v>
      </c>
      <c r="AO910" t="str">
        <f t="shared" si="130"/>
        <v/>
      </c>
    </row>
    <row r="911" spans="1:41">
      <c r="A911">
        <f t="shared" si="135"/>
        <v>907</v>
      </c>
      <c r="B911" t="s">
        <v>266</v>
      </c>
      <c r="C911">
        <v>5</v>
      </c>
      <c r="D911">
        <v>5</v>
      </c>
      <c r="E911" t="s">
        <v>387</v>
      </c>
      <c r="F911">
        <v>412</v>
      </c>
      <c r="G911">
        <v>2</v>
      </c>
      <c r="H911">
        <v>46</v>
      </c>
      <c r="I911" t="s">
        <v>386</v>
      </c>
      <c r="J911" t="s">
        <v>386</v>
      </c>
      <c r="K911">
        <v>1000000</v>
      </c>
      <c r="L911">
        <v>27</v>
      </c>
      <c r="M911">
        <v>27</v>
      </c>
      <c r="N911">
        <v>41</v>
      </c>
      <c r="O911">
        <v>0</v>
      </c>
      <c r="P911">
        <v>55</v>
      </c>
      <c r="Q911">
        <v>81</v>
      </c>
      <c r="R911">
        <v>75</v>
      </c>
      <c r="S911">
        <v>48</v>
      </c>
      <c r="T911">
        <v>0</v>
      </c>
      <c r="U911">
        <v>417</v>
      </c>
      <c r="V911">
        <v>544.95504779999999</v>
      </c>
      <c r="AH911">
        <f t="shared" si="131"/>
        <v>27</v>
      </c>
      <c r="AI911">
        <f t="shared" si="132"/>
        <v>41</v>
      </c>
      <c r="AJ911" t="str">
        <f t="shared" si="133"/>
        <v/>
      </c>
      <c r="AK911">
        <f t="shared" si="134"/>
        <v>55</v>
      </c>
      <c r="AL911">
        <f t="shared" si="127"/>
        <v>81</v>
      </c>
      <c r="AM911">
        <f t="shared" si="128"/>
        <v>75</v>
      </c>
      <c r="AN911">
        <f t="shared" si="129"/>
        <v>48</v>
      </c>
      <c r="AO911" t="str">
        <f t="shared" si="130"/>
        <v/>
      </c>
    </row>
    <row r="912" spans="1:41">
      <c r="A912">
        <f t="shared" si="135"/>
        <v>908</v>
      </c>
      <c r="B912" t="s">
        <v>266</v>
      </c>
      <c r="C912">
        <v>5</v>
      </c>
      <c r="D912">
        <v>5</v>
      </c>
      <c r="E912" t="s">
        <v>387</v>
      </c>
      <c r="F912">
        <v>412</v>
      </c>
      <c r="G912">
        <v>2</v>
      </c>
      <c r="H912">
        <v>47</v>
      </c>
      <c r="I912" t="s">
        <v>386</v>
      </c>
      <c r="J912" t="s">
        <v>386</v>
      </c>
      <c r="K912">
        <v>1000000</v>
      </c>
      <c r="L912">
        <v>29</v>
      </c>
      <c r="M912">
        <v>29</v>
      </c>
      <c r="N912">
        <v>44</v>
      </c>
      <c r="O912">
        <v>0</v>
      </c>
      <c r="P912">
        <v>50</v>
      </c>
      <c r="Q912">
        <v>69</v>
      </c>
      <c r="R912">
        <v>68</v>
      </c>
      <c r="S912">
        <v>45</v>
      </c>
      <c r="T912">
        <v>0</v>
      </c>
      <c r="U912">
        <v>423</v>
      </c>
      <c r="V912">
        <v>553.49029056999996</v>
      </c>
      <c r="AH912">
        <f t="shared" si="131"/>
        <v>29</v>
      </c>
      <c r="AI912">
        <f t="shared" si="132"/>
        <v>44</v>
      </c>
      <c r="AJ912" t="str">
        <f t="shared" si="133"/>
        <v/>
      </c>
      <c r="AK912">
        <f t="shared" si="134"/>
        <v>50</v>
      </c>
      <c r="AL912">
        <f t="shared" si="127"/>
        <v>69</v>
      </c>
      <c r="AM912">
        <f t="shared" si="128"/>
        <v>68</v>
      </c>
      <c r="AN912">
        <f t="shared" si="129"/>
        <v>45</v>
      </c>
      <c r="AO912" t="str">
        <f t="shared" si="130"/>
        <v/>
      </c>
    </row>
    <row r="913" spans="1:41">
      <c r="A913">
        <f t="shared" si="135"/>
        <v>909</v>
      </c>
      <c r="B913" t="s">
        <v>266</v>
      </c>
      <c r="C913">
        <v>5</v>
      </c>
      <c r="D913">
        <v>5</v>
      </c>
      <c r="E913" t="s">
        <v>387</v>
      </c>
      <c r="F913">
        <v>412</v>
      </c>
      <c r="G913">
        <v>2</v>
      </c>
      <c r="H913">
        <v>48</v>
      </c>
      <c r="I913" t="s">
        <v>386</v>
      </c>
      <c r="J913" t="s">
        <v>386</v>
      </c>
      <c r="K913">
        <v>1000000</v>
      </c>
      <c r="L913">
        <v>31</v>
      </c>
      <c r="M913">
        <v>31</v>
      </c>
      <c r="N913">
        <v>46</v>
      </c>
      <c r="O913">
        <v>0</v>
      </c>
      <c r="P913">
        <v>43</v>
      </c>
      <c r="Q913">
        <v>67</v>
      </c>
      <c r="R913">
        <v>71</v>
      </c>
      <c r="S913">
        <v>52</v>
      </c>
      <c r="T913">
        <v>0</v>
      </c>
      <c r="U913">
        <v>430</v>
      </c>
      <c r="V913">
        <v>562.62056480000001</v>
      </c>
      <c r="AH913">
        <f t="shared" si="131"/>
        <v>31</v>
      </c>
      <c r="AI913">
        <f t="shared" si="132"/>
        <v>46</v>
      </c>
      <c r="AJ913" t="str">
        <f t="shared" si="133"/>
        <v/>
      </c>
      <c r="AK913">
        <f t="shared" si="134"/>
        <v>43</v>
      </c>
      <c r="AL913">
        <f t="shared" si="127"/>
        <v>67</v>
      </c>
      <c r="AM913">
        <f t="shared" si="128"/>
        <v>71</v>
      </c>
      <c r="AN913">
        <f t="shared" si="129"/>
        <v>52</v>
      </c>
      <c r="AO913" t="str">
        <f t="shared" si="130"/>
        <v/>
      </c>
    </row>
    <row r="914" spans="1:41">
      <c r="A914">
        <f t="shared" si="135"/>
        <v>910</v>
      </c>
      <c r="B914" t="s">
        <v>266</v>
      </c>
      <c r="C914">
        <v>5</v>
      </c>
      <c r="D914">
        <v>5</v>
      </c>
      <c r="E914" t="s">
        <v>387</v>
      </c>
      <c r="F914">
        <v>412</v>
      </c>
      <c r="G914">
        <v>2</v>
      </c>
      <c r="H914">
        <v>49</v>
      </c>
      <c r="I914" t="s">
        <v>386</v>
      </c>
      <c r="J914" t="s">
        <v>386</v>
      </c>
      <c r="K914">
        <v>1000000</v>
      </c>
      <c r="L914">
        <v>33</v>
      </c>
      <c r="M914">
        <v>33</v>
      </c>
      <c r="N914">
        <v>49</v>
      </c>
      <c r="O914">
        <v>0</v>
      </c>
      <c r="P914">
        <v>51</v>
      </c>
      <c r="Q914">
        <v>82</v>
      </c>
      <c r="R914">
        <v>91</v>
      </c>
      <c r="S914">
        <v>68</v>
      </c>
      <c r="T914">
        <v>0</v>
      </c>
      <c r="U914">
        <v>436</v>
      </c>
      <c r="V914">
        <v>571.69455539</v>
      </c>
      <c r="AH914">
        <f t="shared" si="131"/>
        <v>33</v>
      </c>
      <c r="AI914">
        <f t="shared" si="132"/>
        <v>49</v>
      </c>
      <c r="AJ914" t="str">
        <f t="shared" si="133"/>
        <v/>
      </c>
      <c r="AK914">
        <f t="shared" si="134"/>
        <v>51</v>
      </c>
      <c r="AL914">
        <f t="shared" si="127"/>
        <v>82</v>
      </c>
      <c r="AM914">
        <f t="shared" si="128"/>
        <v>91</v>
      </c>
      <c r="AN914">
        <f t="shared" si="129"/>
        <v>68</v>
      </c>
      <c r="AO914" t="str">
        <f t="shared" si="130"/>
        <v/>
      </c>
    </row>
    <row r="915" spans="1:41">
      <c r="A915">
        <f t="shared" si="135"/>
        <v>911</v>
      </c>
      <c r="B915" t="s">
        <v>266</v>
      </c>
      <c r="C915">
        <v>5</v>
      </c>
      <c r="D915">
        <v>5</v>
      </c>
      <c r="E915" t="s">
        <v>387</v>
      </c>
      <c r="F915">
        <v>412</v>
      </c>
      <c r="G915">
        <v>2</v>
      </c>
      <c r="H915">
        <v>50</v>
      </c>
      <c r="I915" t="s">
        <v>386</v>
      </c>
      <c r="J915" t="s">
        <v>386</v>
      </c>
      <c r="K915">
        <v>1000000</v>
      </c>
      <c r="L915">
        <v>36</v>
      </c>
      <c r="M915">
        <v>36</v>
      </c>
      <c r="N915">
        <v>53</v>
      </c>
      <c r="O915">
        <v>0</v>
      </c>
      <c r="P915">
        <v>64</v>
      </c>
      <c r="Q915">
        <v>108</v>
      </c>
      <c r="R915">
        <v>120</v>
      </c>
      <c r="S915">
        <v>88</v>
      </c>
      <c r="T915">
        <v>0</v>
      </c>
      <c r="U915">
        <v>445</v>
      </c>
      <c r="V915">
        <v>580.56677305000005</v>
      </c>
      <c r="AH915">
        <f t="shared" si="131"/>
        <v>36</v>
      </c>
      <c r="AI915">
        <f t="shared" si="132"/>
        <v>53</v>
      </c>
      <c r="AJ915" t="str">
        <f t="shared" si="133"/>
        <v/>
      </c>
      <c r="AK915">
        <f t="shared" si="134"/>
        <v>64</v>
      </c>
      <c r="AL915">
        <f t="shared" si="127"/>
        <v>108</v>
      </c>
      <c r="AM915">
        <f t="shared" si="128"/>
        <v>120</v>
      </c>
      <c r="AN915">
        <f t="shared" si="129"/>
        <v>88</v>
      </c>
      <c r="AO915" t="str">
        <f t="shared" si="130"/>
        <v/>
      </c>
    </row>
    <row r="916" spans="1:41">
      <c r="A916">
        <f t="shared" si="135"/>
        <v>912</v>
      </c>
      <c r="B916" t="s">
        <v>266</v>
      </c>
      <c r="C916">
        <v>5</v>
      </c>
      <c r="D916">
        <v>5</v>
      </c>
      <c r="E916" t="s">
        <v>387</v>
      </c>
      <c r="F916">
        <v>412</v>
      </c>
      <c r="G916">
        <v>2</v>
      </c>
      <c r="H916">
        <v>51</v>
      </c>
      <c r="I916" t="s">
        <v>386</v>
      </c>
      <c r="J916" t="s">
        <v>386</v>
      </c>
      <c r="K916">
        <v>1000000</v>
      </c>
      <c r="L916">
        <v>40</v>
      </c>
      <c r="M916">
        <v>40</v>
      </c>
      <c r="N916">
        <v>57</v>
      </c>
      <c r="O916">
        <v>0</v>
      </c>
      <c r="P916">
        <v>85</v>
      </c>
      <c r="Q916">
        <v>139</v>
      </c>
      <c r="R916">
        <v>150</v>
      </c>
      <c r="S916">
        <v>107</v>
      </c>
      <c r="T916">
        <v>0</v>
      </c>
      <c r="U916">
        <v>455</v>
      </c>
      <c r="V916">
        <v>589.58220047999998</v>
      </c>
      <c r="AH916">
        <f t="shared" si="131"/>
        <v>40</v>
      </c>
      <c r="AI916">
        <f t="shared" si="132"/>
        <v>57</v>
      </c>
      <c r="AJ916" t="str">
        <f t="shared" si="133"/>
        <v/>
      </c>
      <c r="AK916">
        <f t="shared" si="134"/>
        <v>85</v>
      </c>
      <c r="AL916">
        <f t="shared" si="127"/>
        <v>139</v>
      </c>
      <c r="AM916">
        <f t="shared" si="128"/>
        <v>150</v>
      </c>
      <c r="AN916">
        <f t="shared" si="129"/>
        <v>107</v>
      </c>
      <c r="AO916" t="str">
        <f t="shared" si="130"/>
        <v/>
      </c>
    </row>
    <row r="917" spans="1:41">
      <c r="A917">
        <f t="shared" si="135"/>
        <v>913</v>
      </c>
      <c r="B917" t="s">
        <v>266</v>
      </c>
      <c r="C917">
        <v>5</v>
      </c>
      <c r="D917">
        <v>5</v>
      </c>
      <c r="E917" t="s">
        <v>387</v>
      </c>
      <c r="F917">
        <v>412</v>
      </c>
      <c r="G917">
        <v>2</v>
      </c>
      <c r="H917">
        <v>52</v>
      </c>
      <c r="I917" t="s">
        <v>386</v>
      </c>
      <c r="J917" t="s">
        <v>386</v>
      </c>
      <c r="K917">
        <v>1000000</v>
      </c>
      <c r="L917">
        <v>44</v>
      </c>
      <c r="M917">
        <v>44</v>
      </c>
      <c r="N917">
        <v>63</v>
      </c>
      <c r="O917">
        <v>0</v>
      </c>
      <c r="P917">
        <v>108</v>
      </c>
      <c r="Q917">
        <v>173</v>
      </c>
      <c r="R917">
        <v>186</v>
      </c>
      <c r="S917">
        <v>136</v>
      </c>
      <c r="T917">
        <v>0</v>
      </c>
      <c r="U917">
        <v>469</v>
      </c>
      <c r="V917">
        <v>599.61409198000001</v>
      </c>
      <c r="AH917">
        <f t="shared" si="131"/>
        <v>44</v>
      </c>
      <c r="AI917">
        <f t="shared" si="132"/>
        <v>63</v>
      </c>
      <c r="AJ917" t="str">
        <f t="shared" si="133"/>
        <v/>
      </c>
      <c r="AK917">
        <f t="shared" si="134"/>
        <v>108</v>
      </c>
      <c r="AL917">
        <f t="shared" si="127"/>
        <v>173</v>
      </c>
      <c r="AM917">
        <f t="shared" si="128"/>
        <v>186</v>
      </c>
      <c r="AN917">
        <f t="shared" si="129"/>
        <v>136</v>
      </c>
      <c r="AO917" t="str">
        <f t="shared" si="130"/>
        <v/>
      </c>
    </row>
    <row r="918" spans="1:41">
      <c r="A918">
        <f t="shared" si="135"/>
        <v>914</v>
      </c>
      <c r="B918" t="s">
        <v>266</v>
      </c>
      <c r="C918">
        <v>5</v>
      </c>
      <c r="D918">
        <v>5</v>
      </c>
      <c r="E918" t="s">
        <v>387</v>
      </c>
      <c r="F918">
        <v>412</v>
      </c>
      <c r="G918">
        <v>2</v>
      </c>
      <c r="H918">
        <v>53</v>
      </c>
      <c r="I918" t="s">
        <v>386</v>
      </c>
      <c r="J918" t="s">
        <v>386</v>
      </c>
      <c r="K918">
        <v>1000000</v>
      </c>
      <c r="L918">
        <v>50</v>
      </c>
      <c r="M918">
        <v>50</v>
      </c>
      <c r="N918">
        <v>70</v>
      </c>
      <c r="O918">
        <v>0</v>
      </c>
      <c r="P918">
        <v>130</v>
      </c>
      <c r="Q918">
        <v>208</v>
      </c>
      <c r="R918">
        <v>225</v>
      </c>
      <c r="S918">
        <v>158</v>
      </c>
      <c r="T918">
        <v>0</v>
      </c>
      <c r="U918">
        <v>485</v>
      </c>
      <c r="V918">
        <v>611.66440297999998</v>
      </c>
      <c r="AH918">
        <f t="shared" si="131"/>
        <v>50</v>
      </c>
      <c r="AI918">
        <f t="shared" si="132"/>
        <v>70</v>
      </c>
      <c r="AJ918" t="str">
        <f t="shared" si="133"/>
        <v/>
      </c>
      <c r="AK918">
        <f t="shared" si="134"/>
        <v>130</v>
      </c>
      <c r="AL918">
        <f t="shared" si="127"/>
        <v>208</v>
      </c>
      <c r="AM918">
        <f t="shared" si="128"/>
        <v>225</v>
      </c>
      <c r="AN918">
        <f t="shared" si="129"/>
        <v>158</v>
      </c>
      <c r="AO918" t="str">
        <f t="shared" si="130"/>
        <v/>
      </c>
    </row>
    <row r="919" spans="1:41">
      <c r="A919">
        <f t="shared" si="135"/>
        <v>915</v>
      </c>
      <c r="B919" t="s">
        <v>266</v>
      </c>
      <c r="C919">
        <v>5</v>
      </c>
      <c r="D919">
        <v>5</v>
      </c>
      <c r="E919" t="s">
        <v>387</v>
      </c>
      <c r="F919">
        <v>412</v>
      </c>
      <c r="G919">
        <v>2</v>
      </c>
      <c r="H919">
        <v>54</v>
      </c>
      <c r="I919" t="s">
        <v>386</v>
      </c>
      <c r="J919" t="s">
        <v>386</v>
      </c>
      <c r="K919">
        <v>1000000</v>
      </c>
      <c r="L919">
        <v>56</v>
      </c>
      <c r="M919">
        <v>56</v>
      </c>
      <c r="N919">
        <v>78</v>
      </c>
      <c r="O919">
        <v>0</v>
      </c>
      <c r="P919">
        <v>153</v>
      </c>
      <c r="Q919">
        <v>247</v>
      </c>
      <c r="R919">
        <v>258</v>
      </c>
      <c r="S919">
        <v>181</v>
      </c>
      <c r="T919">
        <v>0</v>
      </c>
      <c r="U919">
        <v>505</v>
      </c>
      <c r="V919">
        <v>626.70116942000004</v>
      </c>
      <c r="AH919">
        <f t="shared" si="131"/>
        <v>56</v>
      </c>
      <c r="AI919">
        <f t="shared" si="132"/>
        <v>78</v>
      </c>
      <c r="AJ919" t="str">
        <f t="shared" si="133"/>
        <v/>
      </c>
      <c r="AK919">
        <f t="shared" si="134"/>
        <v>153</v>
      </c>
      <c r="AL919">
        <f t="shared" si="127"/>
        <v>247</v>
      </c>
      <c r="AM919">
        <f t="shared" si="128"/>
        <v>258</v>
      </c>
      <c r="AN919">
        <f t="shared" si="129"/>
        <v>181</v>
      </c>
      <c r="AO919" t="str">
        <f t="shared" si="130"/>
        <v/>
      </c>
    </row>
    <row r="920" spans="1:41">
      <c r="A920">
        <f t="shared" si="135"/>
        <v>916</v>
      </c>
      <c r="B920" t="s">
        <v>266</v>
      </c>
      <c r="C920">
        <v>5</v>
      </c>
      <c r="D920">
        <v>5</v>
      </c>
      <c r="E920" t="s">
        <v>387</v>
      </c>
      <c r="F920">
        <v>412</v>
      </c>
      <c r="G920">
        <v>2</v>
      </c>
      <c r="H920">
        <v>55</v>
      </c>
      <c r="I920" t="s">
        <v>386</v>
      </c>
      <c r="J920" t="s">
        <v>386</v>
      </c>
      <c r="K920">
        <v>1000000</v>
      </c>
      <c r="L920">
        <v>63</v>
      </c>
      <c r="M920">
        <v>63</v>
      </c>
      <c r="N920">
        <v>87</v>
      </c>
      <c r="O920">
        <v>0</v>
      </c>
      <c r="P920">
        <v>178</v>
      </c>
      <c r="Q920">
        <v>275</v>
      </c>
      <c r="R920">
        <v>285</v>
      </c>
      <c r="S920">
        <v>194</v>
      </c>
      <c r="T920">
        <v>0</v>
      </c>
      <c r="U920">
        <v>526</v>
      </c>
      <c r="V920">
        <v>645.60697511000001</v>
      </c>
      <c r="AH920">
        <f t="shared" si="131"/>
        <v>63</v>
      </c>
      <c r="AI920">
        <f t="shared" si="132"/>
        <v>87</v>
      </c>
      <c r="AJ920" t="str">
        <f t="shared" si="133"/>
        <v/>
      </c>
      <c r="AK920">
        <f t="shared" si="134"/>
        <v>178</v>
      </c>
      <c r="AL920">
        <f t="shared" si="127"/>
        <v>275</v>
      </c>
      <c r="AM920">
        <f t="shared" si="128"/>
        <v>285</v>
      </c>
      <c r="AN920">
        <f t="shared" si="129"/>
        <v>194</v>
      </c>
      <c r="AO920" t="str">
        <f t="shared" si="130"/>
        <v/>
      </c>
    </row>
    <row r="921" spans="1:41">
      <c r="A921">
        <f t="shared" si="135"/>
        <v>917</v>
      </c>
      <c r="B921" t="s">
        <v>266</v>
      </c>
      <c r="C921">
        <v>5</v>
      </c>
      <c r="D921">
        <v>5</v>
      </c>
      <c r="E921" t="s">
        <v>387</v>
      </c>
      <c r="F921">
        <v>412</v>
      </c>
      <c r="G921">
        <v>2</v>
      </c>
      <c r="H921">
        <v>56</v>
      </c>
      <c r="I921" t="s">
        <v>386</v>
      </c>
      <c r="J921" t="s">
        <v>386</v>
      </c>
      <c r="K921">
        <v>1000000</v>
      </c>
      <c r="L921">
        <v>71</v>
      </c>
      <c r="M921">
        <v>71</v>
      </c>
      <c r="N921">
        <v>97</v>
      </c>
      <c r="O921">
        <v>0</v>
      </c>
      <c r="P921">
        <v>191</v>
      </c>
      <c r="Q921">
        <v>297</v>
      </c>
      <c r="R921">
        <v>305</v>
      </c>
      <c r="S921">
        <v>211</v>
      </c>
      <c r="T921">
        <v>0</v>
      </c>
      <c r="U921">
        <v>550</v>
      </c>
      <c r="V921">
        <v>669.71762748000003</v>
      </c>
      <c r="AH921">
        <f t="shared" si="131"/>
        <v>71</v>
      </c>
      <c r="AI921">
        <f t="shared" si="132"/>
        <v>97</v>
      </c>
      <c r="AJ921" t="str">
        <f t="shared" si="133"/>
        <v/>
      </c>
      <c r="AK921">
        <f t="shared" si="134"/>
        <v>191</v>
      </c>
      <c r="AL921">
        <f t="shared" si="127"/>
        <v>297</v>
      </c>
      <c r="AM921">
        <f t="shared" si="128"/>
        <v>305</v>
      </c>
      <c r="AN921">
        <f t="shared" si="129"/>
        <v>211</v>
      </c>
      <c r="AO921" t="str">
        <f t="shared" si="130"/>
        <v/>
      </c>
    </row>
    <row r="922" spans="1:41">
      <c r="A922">
        <f t="shared" si="135"/>
        <v>918</v>
      </c>
      <c r="B922" t="s">
        <v>266</v>
      </c>
      <c r="C922">
        <v>5</v>
      </c>
      <c r="D922">
        <v>5</v>
      </c>
      <c r="E922" t="s">
        <v>387</v>
      </c>
      <c r="F922">
        <v>412</v>
      </c>
      <c r="G922">
        <v>2</v>
      </c>
      <c r="H922">
        <v>57</v>
      </c>
      <c r="I922" t="s">
        <v>386</v>
      </c>
      <c r="J922" t="s">
        <v>386</v>
      </c>
      <c r="K922">
        <v>1000000</v>
      </c>
      <c r="L922">
        <v>80</v>
      </c>
      <c r="M922">
        <v>80</v>
      </c>
      <c r="N922">
        <v>108</v>
      </c>
      <c r="O922">
        <v>0</v>
      </c>
      <c r="P922">
        <v>210</v>
      </c>
      <c r="Q922">
        <v>325</v>
      </c>
      <c r="R922">
        <v>340</v>
      </c>
      <c r="S922">
        <v>241</v>
      </c>
      <c r="T922">
        <v>0</v>
      </c>
      <c r="U922">
        <v>577</v>
      </c>
      <c r="V922">
        <v>701.46796770000003</v>
      </c>
      <c r="AH922">
        <f t="shared" si="131"/>
        <v>80</v>
      </c>
      <c r="AI922">
        <f t="shared" si="132"/>
        <v>108</v>
      </c>
      <c r="AJ922" t="str">
        <f t="shared" si="133"/>
        <v/>
      </c>
      <c r="AK922">
        <f t="shared" si="134"/>
        <v>210</v>
      </c>
      <c r="AL922">
        <f t="shared" si="127"/>
        <v>325</v>
      </c>
      <c r="AM922">
        <f t="shared" si="128"/>
        <v>340</v>
      </c>
      <c r="AN922">
        <f t="shared" si="129"/>
        <v>241</v>
      </c>
      <c r="AO922" t="str">
        <f t="shared" si="130"/>
        <v/>
      </c>
    </row>
    <row r="923" spans="1:41">
      <c r="A923">
        <f t="shared" si="135"/>
        <v>919</v>
      </c>
      <c r="B923" t="s">
        <v>266</v>
      </c>
      <c r="C923">
        <v>5</v>
      </c>
      <c r="D923">
        <v>5</v>
      </c>
      <c r="E923" t="s">
        <v>387</v>
      </c>
      <c r="F923">
        <v>412</v>
      </c>
      <c r="G923">
        <v>2</v>
      </c>
      <c r="H923">
        <v>58</v>
      </c>
      <c r="I923" t="s">
        <v>386</v>
      </c>
      <c r="J923" t="s">
        <v>386</v>
      </c>
      <c r="K923">
        <v>1000000</v>
      </c>
      <c r="L923">
        <v>90</v>
      </c>
      <c r="M923">
        <v>90</v>
      </c>
      <c r="N923">
        <v>121</v>
      </c>
      <c r="O923">
        <v>0</v>
      </c>
      <c r="P923">
        <v>233</v>
      </c>
      <c r="Q923">
        <v>371</v>
      </c>
      <c r="R923">
        <v>397</v>
      </c>
      <c r="S923">
        <v>283</v>
      </c>
      <c r="T923">
        <v>0</v>
      </c>
      <c r="U923">
        <v>608</v>
      </c>
      <c r="V923">
        <v>744.00965173999998</v>
      </c>
      <c r="AH923">
        <f t="shared" si="131"/>
        <v>90</v>
      </c>
      <c r="AI923">
        <f t="shared" si="132"/>
        <v>121</v>
      </c>
      <c r="AJ923" t="str">
        <f t="shared" si="133"/>
        <v/>
      </c>
      <c r="AK923">
        <f t="shared" si="134"/>
        <v>233</v>
      </c>
      <c r="AL923">
        <f t="shared" si="127"/>
        <v>371</v>
      </c>
      <c r="AM923">
        <f t="shared" si="128"/>
        <v>397</v>
      </c>
      <c r="AN923">
        <f t="shared" si="129"/>
        <v>283</v>
      </c>
      <c r="AO923" t="str">
        <f t="shared" si="130"/>
        <v/>
      </c>
    </row>
    <row r="924" spans="1:41">
      <c r="A924">
        <f t="shared" si="135"/>
        <v>920</v>
      </c>
      <c r="B924" t="s">
        <v>266</v>
      </c>
      <c r="C924">
        <v>5</v>
      </c>
      <c r="D924">
        <v>5</v>
      </c>
      <c r="E924" t="s">
        <v>387</v>
      </c>
      <c r="F924">
        <v>412</v>
      </c>
      <c r="G924">
        <v>2</v>
      </c>
      <c r="H924">
        <v>59</v>
      </c>
      <c r="I924" t="s">
        <v>386</v>
      </c>
      <c r="J924" t="s">
        <v>386</v>
      </c>
      <c r="K924">
        <v>1000000</v>
      </c>
      <c r="L924">
        <v>102</v>
      </c>
      <c r="M924">
        <v>102</v>
      </c>
      <c r="N924">
        <v>136</v>
      </c>
      <c r="O924">
        <v>0</v>
      </c>
      <c r="P924">
        <v>276</v>
      </c>
      <c r="Q924">
        <v>444</v>
      </c>
      <c r="R924">
        <v>476</v>
      </c>
      <c r="S924">
        <v>342</v>
      </c>
      <c r="T924">
        <v>0</v>
      </c>
      <c r="U924">
        <v>643</v>
      </c>
      <c r="V924">
        <v>800.14497244999995</v>
      </c>
      <c r="AH924">
        <f t="shared" si="131"/>
        <v>102</v>
      </c>
      <c r="AI924">
        <f t="shared" si="132"/>
        <v>136</v>
      </c>
      <c r="AJ924" t="str">
        <f t="shared" si="133"/>
        <v/>
      </c>
      <c r="AK924">
        <f t="shared" si="134"/>
        <v>276</v>
      </c>
      <c r="AL924">
        <f t="shared" si="127"/>
        <v>444</v>
      </c>
      <c r="AM924">
        <f t="shared" si="128"/>
        <v>476</v>
      </c>
      <c r="AN924">
        <f t="shared" si="129"/>
        <v>342</v>
      </c>
      <c r="AO924" t="str">
        <f t="shared" si="130"/>
        <v/>
      </c>
    </row>
    <row r="925" spans="1:41">
      <c r="A925">
        <f t="shared" si="135"/>
        <v>921</v>
      </c>
      <c r="B925" t="s">
        <v>266</v>
      </c>
      <c r="C925">
        <v>5</v>
      </c>
      <c r="D925">
        <v>5</v>
      </c>
      <c r="E925" t="s">
        <v>387</v>
      </c>
      <c r="F925">
        <v>412</v>
      </c>
      <c r="G925">
        <v>2</v>
      </c>
      <c r="H925">
        <v>60</v>
      </c>
      <c r="I925" t="s">
        <v>386</v>
      </c>
      <c r="J925" t="s">
        <v>386</v>
      </c>
      <c r="K925">
        <v>1000000</v>
      </c>
      <c r="L925">
        <v>116</v>
      </c>
      <c r="M925">
        <v>116</v>
      </c>
      <c r="N925">
        <v>154</v>
      </c>
      <c r="O925">
        <v>0</v>
      </c>
      <c r="P925">
        <v>332</v>
      </c>
      <c r="Q925">
        <v>533</v>
      </c>
      <c r="R925">
        <v>572</v>
      </c>
      <c r="S925">
        <v>408</v>
      </c>
      <c r="T925">
        <v>0</v>
      </c>
      <c r="U925">
        <v>685</v>
      </c>
      <c r="V925">
        <v>871.09788308999998</v>
      </c>
      <c r="AH925">
        <f t="shared" si="131"/>
        <v>116</v>
      </c>
      <c r="AI925">
        <f t="shared" si="132"/>
        <v>154</v>
      </c>
      <c r="AJ925" t="str">
        <f t="shared" si="133"/>
        <v/>
      </c>
      <c r="AK925">
        <f t="shared" si="134"/>
        <v>332</v>
      </c>
      <c r="AL925">
        <f t="shared" si="127"/>
        <v>533</v>
      </c>
      <c r="AM925">
        <f t="shared" si="128"/>
        <v>572</v>
      </c>
      <c r="AN925">
        <f t="shared" si="129"/>
        <v>408</v>
      </c>
      <c r="AO925" t="str">
        <f t="shared" si="130"/>
        <v/>
      </c>
    </row>
    <row r="926" spans="1:41">
      <c r="A926">
        <f t="shared" si="135"/>
        <v>922</v>
      </c>
      <c r="B926" t="s">
        <v>266</v>
      </c>
      <c r="C926">
        <v>5</v>
      </c>
      <c r="D926">
        <v>5</v>
      </c>
      <c r="E926" t="s">
        <v>387</v>
      </c>
      <c r="F926">
        <v>412</v>
      </c>
      <c r="G926">
        <v>2</v>
      </c>
      <c r="H926">
        <v>61</v>
      </c>
      <c r="I926" t="s">
        <v>386</v>
      </c>
      <c r="J926" t="s">
        <v>386</v>
      </c>
      <c r="K926">
        <v>1000000</v>
      </c>
      <c r="L926">
        <v>133</v>
      </c>
      <c r="M926">
        <v>133</v>
      </c>
      <c r="N926">
        <v>175</v>
      </c>
      <c r="O926">
        <v>0</v>
      </c>
      <c r="P926">
        <v>391</v>
      </c>
      <c r="Q926">
        <v>624</v>
      </c>
      <c r="R926">
        <v>659</v>
      </c>
      <c r="S926">
        <v>456</v>
      </c>
      <c r="T926">
        <v>0</v>
      </c>
      <c r="U926">
        <v>734</v>
      </c>
      <c r="V926">
        <v>956.01196897</v>
      </c>
      <c r="AH926">
        <f t="shared" si="131"/>
        <v>133</v>
      </c>
      <c r="AI926">
        <f t="shared" si="132"/>
        <v>175</v>
      </c>
      <c r="AJ926" t="str">
        <f t="shared" si="133"/>
        <v/>
      </c>
      <c r="AK926">
        <f t="shared" si="134"/>
        <v>391</v>
      </c>
      <c r="AL926">
        <f t="shared" si="127"/>
        <v>624</v>
      </c>
      <c r="AM926">
        <f t="shared" si="128"/>
        <v>659</v>
      </c>
      <c r="AN926">
        <f t="shared" si="129"/>
        <v>456</v>
      </c>
      <c r="AO926" t="str">
        <f t="shared" si="130"/>
        <v/>
      </c>
    </row>
    <row r="927" spans="1:41">
      <c r="A927">
        <f t="shared" si="135"/>
        <v>923</v>
      </c>
      <c r="B927" t="s">
        <v>266</v>
      </c>
      <c r="C927">
        <v>5</v>
      </c>
      <c r="D927">
        <v>5</v>
      </c>
      <c r="E927" t="s">
        <v>387</v>
      </c>
      <c r="F927">
        <v>412</v>
      </c>
      <c r="G927">
        <v>2</v>
      </c>
      <c r="H927">
        <v>62</v>
      </c>
      <c r="I927" t="s">
        <v>386</v>
      </c>
      <c r="J927" t="s">
        <v>386</v>
      </c>
      <c r="K927">
        <v>1000000</v>
      </c>
      <c r="L927">
        <v>151</v>
      </c>
      <c r="M927">
        <v>151</v>
      </c>
      <c r="N927">
        <v>198</v>
      </c>
      <c r="O927">
        <v>0</v>
      </c>
      <c r="P927">
        <v>450</v>
      </c>
      <c r="Q927">
        <v>707</v>
      </c>
      <c r="R927">
        <v>731</v>
      </c>
      <c r="S927">
        <v>508</v>
      </c>
      <c r="T927">
        <v>0</v>
      </c>
      <c r="U927">
        <v>790</v>
      </c>
      <c r="V927">
        <v>1052.2148149</v>
      </c>
      <c r="AH927">
        <f t="shared" si="131"/>
        <v>151</v>
      </c>
      <c r="AI927">
        <f t="shared" si="132"/>
        <v>198</v>
      </c>
      <c r="AJ927" t="str">
        <f t="shared" si="133"/>
        <v/>
      </c>
      <c r="AK927">
        <f t="shared" si="134"/>
        <v>450</v>
      </c>
      <c r="AL927">
        <f t="shared" si="127"/>
        <v>707</v>
      </c>
      <c r="AM927">
        <f t="shared" si="128"/>
        <v>731</v>
      </c>
      <c r="AN927">
        <f t="shared" si="129"/>
        <v>508</v>
      </c>
      <c r="AO927" t="str">
        <f t="shared" si="130"/>
        <v/>
      </c>
    </row>
    <row r="928" spans="1:41">
      <c r="A928">
        <f t="shared" si="135"/>
        <v>924</v>
      </c>
      <c r="B928" t="s">
        <v>266</v>
      </c>
      <c r="C928">
        <v>5</v>
      </c>
      <c r="D928">
        <v>5</v>
      </c>
      <c r="E928" t="s">
        <v>387</v>
      </c>
      <c r="F928">
        <v>412</v>
      </c>
      <c r="G928">
        <v>2</v>
      </c>
      <c r="H928">
        <v>63</v>
      </c>
      <c r="I928" t="s">
        <v>386</v>
      </c>
      <c r="J928" t="s">
        <v>386</v>
      </c>
      <c r="K928">
        <v>1000000</v>
      </c>
      <c r="L928">
        <v>173</v>
      </c>
      <c r="M928">
        <v>173</v>
      </c>
      <c r="N928">
        <v>225</v>
      </c>
      <c r="O928">
        <v>0</v>
      </c>
      <c r="P928">
        <v>509</v>
      </c>
      <c r="Q928">
        <v>792</v>
      </c>
      <c r="R928">
        <v>835</v>
      </c>
      <c r="S928">
        <v>598</v>
      </c>
      <c r="T928">
        <v>0</v>
      </c>
      <c r="U928">
        <v>855</v>
      </c>
      <c r="V928">
        <v>1156.5934986</v>
      </c>
      <c r="AH928">
        <f t="shared" si="131"/>
        <v>173</v>
      </c>
      <c r="AI928">
        <f t="shared" si="132"/>
        <v>225</v>
      </c>
      <c r="AJ928" t="str">
        <f t="shared" si="133"/>
        <v/>
      </c>
      <c r="AK928">
        <f t="shared" si="134"/>
        <v>509</v>
      </c>
      <c r="AL928">
        <f t="shared" si="127"/>
        <v>792</v>
      </c>
      <c r="AM928">
        <f t="shared" si="128"/>
        <v>835</v>
      </c>
      <c r="AN928">
        <f t="shared" si="129"/>
        <v>598</v>
      </c>
      <c r="AO928" t="str">
        <f t="shared" si="130"/>
        <v/>
      </c>
    </row>
    <row r="929" spans="1:41">
      <c r="A929">
        <f t="shared" si="135"/>
        <v>925</v>
      </c>
      <c r="B929" t="s">
        <v>266</v>
      </c>
      <c r="C929">
        <v>5</v>
      </c>
      <c r="D929">
        <v>5</v>
      </c>
      <c r="E929" t="s">
        <v>387</v>
      </c>
      <c r="F929">
        <v>412</v>
      </c>
      <c r="G929">
        <v>2</v>
      </c>
      <c r="H929">
        <v>64</v>
      </c>
      <c r="I929" t="s">
        <v>386</v>
      </c>
      <c r="J929" t="s">
        <v>386</v>
      </c>
      <c r="K929">
        <v>1000000</v>
      </c>
      <c r="L929">
        <v>201</v>
      </c>
      <c r="M929">
        <v>201</v>
      </c>
      <c r="N929">
        <v>260</v>
      </c>
      <c r="O929">
        <v>0</v>
      </c>
      <c r="P929">
        <v>606</v>
      </c>
      <c r="Q929">
        <v>979</v>
      </c>
      <c r="R929">
        <v>1083</v>
      </c>
      <c r="S929">
        <v>832</v>
      </c>
      <c r="T929">
        <v>0</v>
      </c>
      <c r="U929">
        <v>937</v>
      </c>
      <c r="V929">
        <v>1266.93524641</v>
      </c>
      <c r="AH929">
        <f t="shared" si="131"/>
        <v>201</v>
      </c>
      <c r="AI929">
        <f t="shared" si="132"/>
        <v>260</v>
      </c>
      <c r="AJ929" t="str">
        <f t="shared" si="133"/>
        <v/>
      </c>
      <c r="AK929">
        <f t="shared" si="134"/>
        <v>606</v>
      </c>
      <c r="AL929">
        <f t="shared" si="127"/>
        <v>979</v>
      </c>
      <c r="AM929">
        <f t="shared" si="128"/>
        <v>1083</v>
      </c>
      <c r="AN929">
        <f t="shared" si="129"/>
        <v>832</v>
      </c>
      <c r="AO929" t="str">
        <f t="shared" si="130"/>
        <v/>
      </c>
    </row>
    <row r="930" spans="1:41">
      <c r="A930">
        <f t="shared" si="135"/>
        <v>926</v>
      </c>
      <c r="B930" t="s">
        <v>266</v>
      </c>
      <c r="C930">
        <v>5</v>
      </c>
      <c r="D930">
        <v>5</v>
      </c>
      <c r="E930" t="s">
        <v>387</v>
      </c>
      <c r="F930">
        <v>412</v>
      </c>
      <c r="G930">
        <v>2</v>
      </c>
      <c r="H930">
        <v>65</v>
      </c>
      <c r="I930" t="s">
        <v>386</v>
      </c>
      <c r="J930" t="s">
        <v>386</v>
      </c>
      <c r="K930">
        <v>1000000</v>
      </c>
      <c r="L930">
        <v>237</v>
      </c>
      <c r="M930">
        <v>237</v>
      </c>
      <c r="N930">
        <v>307</v>
      </c>
      <c r="O930">
        <v>0</v>
      </c>
      <c r="P930">
        <v>807</v>
      </c>
      <c r="Q930">
        <v>1354</v>
      </c>
      <c r="R930">
        <v>1559</v>
      </c>
      <c r="S930">
        <v>1193</v>
      </c>
      <c r="T930">
        <v>0</v>
      </c>
      <c r="U930">
        <v>1048</v>
      </c>
      <c r="V930">
        <v>1382.48304601</v>
      </c>
      <c r="AH930">
        <f t="shared" si="131"/>
        <v>237</v>
      </c>
      <c r="AI930">
        <f t="shared" si="132"/>
        <v>307</v>
      </c>
      <c r="AJ930" t="str">
        <f t="shared" si="133"/>
        <v/>
      </c>
      <c r="AK930">
        <f t="shared" si="134"/>
        <v>807</v>
      </c>
      <c r="AL930">
        <f t="shared" si="127"/>
        <v>1354</v>
      </c>
      <c r="AM930">
        <f t="shared" si="128"/>
        <v>1559</v>
      </c>
      <c r="AN930">
        <f t="shared" si="129"/>
        <v>1193</v>
      </c>
      <c r="AO930" t="str">
        <f t="shared" si="130"/>
        <v/>
      </c>
    </row>
    <row r="931" spans="1:41">
      <c r="A931">
        <f t="shared" si="135"/>
        <v>927</v>
      </c>
      <c r="B931" t="s">
        <v>266</v>
      </c>
      <c r="C931">
        <v>5</v>
      </c>
      <c r="D931">
        <v>5</v>
      </c>
      <c r="E931" t="s">
        <v>387</v>
      </c>
      <c r="F931">
        <v>412</v>
      </c>
      <c r="G931">
        <v>2</v>
      </c>
      <c r="H931">
        <v>66</v>
      </c>
      <c r="I931" t="s">
        <v>386</v>
      </c>
      <c r="J931" t="s">
        <v>386</v>
      </c>
      <c r="K931">
        <v>1000000</v>
      </c>
      <c r="L931">
        <v>287</v>
      </c>
      <c r="M931">
        <v>287</v>
      </c>
      <c r="N931">
        <v>370</v>
      </c>
      <c r="O931">
        <v>0</v>
      </c>
      <c r="P931">
        <v>1133</v>
      </c>
      <c r="Q931">
        <v>1938</v>
      </c>
      <c r="R931">
        <v>2188</v>
      </c>
      <c r="S931">
        <v>1625</v>
      </c>
      <c r="T931">
        <v>0</v>
      </c>
      <c r="U931">
        <v>1197</v>
      </c>
      <c r="V931">
        <v>1503.52760255</v>
      </c>
      <c r="AH931">
        <f t="shared" si="131"/>
        <v>287</v>
      </c>
      <c r="AI931">
        <f t="shared" si="132"/>
        <v>370</v>
      </c>
      <c r="AJ931" t="str">
        <f t="shared" si="133"/>
        <v/>
      </c>
      <c r="AK931">
        <f t="shared" si="134"/>
        <v>1133</v>
      </c>
      <c r="AL931">
        <f t="shared" si="127"/>
        <v>1938</v>
      </c>
      <c r="AM931">
        <f t="shared" si="128"/>
        <v>2188</v>
      </c>
      <c r="AN931">
        <f t="shared" si="129"/>
        <v>1625</v>
      </c>
      <c r="AO931" t="str">
        <f t="shared" si="130"/>
        <v/>
      </c>
    </row>
    <row r="932" spans="1:41">
      <c r="A932">
        <f t="shared" si="135"/>
        <v>928</v>
      </c>
      <c r="B932" t="s">
        <v>266</v>
      </c>
      <c r="C932">
        <v>5</v>
      </c>
      <c r="D932">
        <v>5</v>
      </c>
      <c r="E932" t="s">
        <v>387</v>
      </c>
      <c r="F932">
        <v>412</v>
      </c>
      <c r="G932">
        <v>2</v>
      </c>
      <c r="H932">
        <v>67</v>
      </c>
      <c r="I932" t="s">
        <v>386</v>
      </c>
      <c r="J932" t="s">
        <v>386</v>
      </c>
      <c r="K932">
        <v>1000000</v>
      </c>
      <c r="L932">
        <v>352</v>
      </c>
      <c r="M932">
        <v>352</v>
      </c>
      <c r="N932">
        <v>452</v>
      </c>
      <c r="O932">
        <v>0</v>
      </c>
      <c r="P932">
        <v>1566</v>
      </c>
      <c r="Q932">
        <v>2596</v>
      </c>
      <c r="R932">
        <v>2833</v>
      </c>
      <c r="S932">
        <v>2028</v>
      </c>
      <c r="T932">
        <v>0</v>
      </c>
      <c r="U932">
        <v>1391</v>
      </c>
      <c r="V932">
        <v>1630.34729193</v>
      </c>
      <c r="AH932">
        <f t="shared" si="131"/>
        <v>352</v>
      </c>
      <c r="AI932">
        <f t="shared" si="132"/>
        <v>452</v>
      </c>
      <c r="AJ932" t="str">
        <f t="shared" si="133"/>
        <v/>
      </c>
      <c r="AK932">
        <f t="shared" si="134"/>
        <v>1566</v>
      </c>
      <c r="AL932">
        <f t="shared" si="127"/>
        <v>2596</v>
      </c>
      <c r="AM932">
        <f t="shared" si="128"/>
        <v>2833</v>
      </c>
      <c r="AN932">
        <f t="shared" si="129"/>
        <v>2028</v>
      </c>
      <c r="AO932" t="str">
        <f t="shared" si="130"/>
        <v/>
      </c>
    </row>
    <row r="933" spans="1:41">
      <c r="A933">
        <f t="shared" si="135"/>
        <v>929</v>
      </c>
      <c r="B933" t="s">
        <v>266</v>
      </c>
      <c r="C933">
        <v>5</v>
      </c>
      <c r="D933">
        <v>5</v>
      </c>
      <c r="E933" t="s">
        <v>387</v>
      </c>
      <c r="F933">
        <v>412</v>
      </c>
      <c r="G933">
        <v>2</v>
      </c>
      <c r="H933">
        <v>68</v>
      </c>
      <c r="I933" t="s">
        <v>386</v>
      </c>
      <c r="J933" t="s">
        <v>386</v>
      </c>
      <c r="K933">
        <v>1000000</v>
      </c>
      <c r="L933">
        <v>433</v>
      </c>
      <c r="M933">
        <v>433</v>
      </c>
      <c r="N933">
        <v>554</v>
      </c>
      <c r="O933">
        <v>0</v>
      </c>
      <c r="P933">
        <v>1979</v>
      </c>
      <c r="Q933">
        <v>3189</v>
      </c>
      <c r="R933">
        <v>3381</v>
      </c>
      <c r="S933">
        <v>2375</v>
      </c>
      <c r="T933">
        <v>0</v>
      </c>
      <c r="U933">
        <v>1634</v>
      </c>
      <c r="V933">
        <v>1762.3857118599999</v>
      </c>
      <c r="AH933">
        <f t="shared" si="131"/>
        <v>433</v>
      </c>
      <c r="AI933">
        <f t="shared" si="132"/>
        <v>554</v>
      </c>
      <c r="AJ933" t="str">
        <f t="shared" si="133"/>
        <v/>
      </c>
      <c r="AK933">
        <f t="shared" si="134"/>
        <v>1979</v>
      </c>
      <c r="AL933">
        <f t="shared" si="127"/>
        <v>3189</v>
      </c>
      <c r="AM933">
        <f t="shared" si="128"/>
        <v>3381</v>
      </c>
      <c r="AN933">
        <f t="shared" si="129"/>
        <v>2375</v>
      </c>
      <c r="AO933" t="str">
        <f t="shared" si="130"/>
        <v/>
      </c>
    </row>
    <row r="934" spans="1:41">
      <c r="A934">
        <f t="shared" si="135"/>
        <v>930</v>
      </c>
      <c r="B934" t="s">
        <v>266</v>
      </c>
      <c r="C934">
        <v>5</v>
      </c>
      <c r="D934">
        <v>5</v>
      </c>
      <c r="E934" t="s">
        <v>387</v>
      </c>
      <c r="F934">
        <v>412</v>
      </c>
      <c r="G934">
        <v>2</v>
      </c>
      <c r="H934">
        <v>69</v>
      </c>
      <c r="I934" t="s">
        <v>386</v>
      </c>
      <c r="J934" t="s">
        <v>386</v>
      </c>
      <c r="K934">
        <v>1000000</v>
      </c>
      <c r="L934">
        <v>531</v>
      </c>
      <c r="M934">
        <v>531</v>
      </c>
      <c r="N934">
        <v>677</v>
      </c>
      <c r="O934">
        <v>0</v>
      </c>
      <c r="P934">
        <v>2342</v>
      </c>
      <c r="Q934">
        <v>3695</v>
      </c>
      <c r="R934">
        <v>3879</v>
      </c>
      <c r="S934">
        <v>2724</v>
      </c>
      <c r="T934">
        <v>0</v>
      </c>
      <c r="U934">
        <v>1925</v>
      </c>
      <c r="V934">
        <v>1898.0574584999999</v>
      </c>
      <c r="AH934">
        <f t="shared" si="131"/>
        <v>531</v>
      </c>
      <c r="AI934">
        <f t="shared" si="132"/>
        <v>677</v>
      </c>
      <c r="AJ934" t="str">
        <f t="shared" si="133"/>
        <v/>
      </c>
      <c r="AK934">
        <f t="shared" si="134"/>
        <v>2342</v>
      </c>
      <c r="AL934">
        <f t="shared" si="127"/>
        <v>3695</v>
      </c>
      <c r="AM934">
        <f t="shared" si="128"/>
        <v>3879</v>
      </c>
      <c r="AN934">
        <f t="shared" si="129"/>
        <v>2724</v>
      </c>
      <c r="AO934" t="str">
        <f t="shared" si="130"/>
        <v/>
      </c>
    </row>
    <row r="935" spans="1:41">
      <c r="A935">
        <f t="shared" si="135"/>
        <v>931</v>
      </c>
      <c r="B935" t="s">
        <v>266</v>
      </c>
      <c r="C935">
        <v>5</v>
      </c>
      <c r="D935">
        <v>5</v>
      </c>
      <c r="E935" t="s">
        <v>387</v>
      </c>
      <c r="F935">
        <v>412</v>
      </c>
      <c r="G935">
        <v>2</v>
      </c>
      <c r="H935">
        <v>70</v>
      </c>
      <c r="I935" t="s">
        <v>386</v>
      </c>
      <c r="J935" t="s">
        <v>386</v>
      </c>
      <c r="K935">
        <v>1000000</v>
      </c>
      <c r="L935">
        <v>644</v>
      </c>
      <c r="M935">
        <v>644</v>
      </c>
      <c r="N935">
        <v>820</v>
      </c>
      <c r="O935">
        <v>0</v>
      </c>
      <c r="P935">
        <v>2675</v>
      </c>
      <c r="Q935">
        <v>4214</v>
      </c>
      <c r="R935">
        <v>4447</v>
      </c>
      <c r="S935">
        <v>3148</v>
      </c>
      <c r="T935">
        <v>0</v>
      </c>
      <c r="U935">
        <v>2265</v>
      </c>
      <c r="V935">
        <v>2035.2832335000001</v>
      </c>
      <c r="AH935">
        <f t="shared" si="131"/>
        <v>644</v>
      </c>
      <c r="AI935">
        <f t="shared" si="132"/>
        <v>820</v>
      </c>
      <c r="AJ935" t="str">
        <f t="shared" si="133"/>
        <v/>
      </c>
      <c r="AK935">
        <f t="shared" si="134"/>
        <v>2675</v>
      </c>
      <c r="AL935">
        <f t="shared" si="127"/>
        <v>4214</v>
      </c>
      <c r="AM935">
        <f t="shared" si="128"/>
        <v>4447</v>
      </c>
      <c r="AN935">
        <f t="shared" si="129"/>
        <v>3148</v>
      </c>
      <c r="AO935" t="str">
        <f t="shared" si="130"/>
        <v/>
      </c>
    </row>
    <row r="936" spans="1:41">
      <c r="A936">
        <f t="shared" si="135"/>
        <v>932</v>
      </c>
      <c r="B936" t="s">
        <v>266</v>
      </c>
      <c r="C936">
        <v>5</v>
      </c>
      <c r="D936">
        <v>5</v>
      </c>
      <c r="E936" t="s">
        <v>387</v>
      </c>
      <c r="F936">
        <v>412</v>
      </c>
      <c r="G936">
        <v>2</v>
      </c>
      <c r="H936">
        <v>71</v>
      </c>
      <c r="I936" t="s">
        <v>386</v>
      </c>
      <c r="J936" t="s">
        <v>386</v>
      </c>
      <c r="K936">
        <v>1000000</v>
      </c>
      <c r="L936">
        <v>776</v>
      </c>
      <c r="M936">
        <v>776</v>
      </c>
      <c r="N936">
        <v>987</v>
      </c>
      <c r="O936">
        <v>0</v>
      </c>
      <c r="P936">
        <v>3079</v>
      </c>
      <c r="Q936">
        <v>4890</v>
      </c>
      <c r="R936">
        <v>5208</v>
      </c>
      <c r="S936">
        <v>3718</v>
      </c>
      <c r="T936">
        <v>0</v>
      </c>
      <c r="U936">
        <v>2660</v>
      </c>
      <c r="V936">
        <v>2172.1646692600002</v>
      </c>
      <c r="AH936">
        <f t="shared" si="131"/>
        <v>776</v>
      </c>
      <c r="AI936">
        <f t="shared" si="132"/>
        <v>987</v>
      </c>
      <c r="AJ936" t="str">
        <f t="shared" si="133"/>
        <v/>
      </c>
      <c r="AK936">
        <f t="shared" si="134"/>
        <v>3079</v>
      </c>
      <c r="AL936">
        <f t="shared" si="127"/>
        <v>4890</v>
      </c>
      <c r="AM936">
        <f t="shared" si="128"/>
        <v>5208</v>
      </c>
      <c r="AN936">
        <f t="shared" si="129"/>
        <v>3718</v>
      </c>
      <c r="AO936" t="str">
        <f t="shared" si="130"/>
        <v/>
      </c>
    </row>
    <row r="937" spans="1:41">
      <c r="A937">
        <f t="shared" si="135"/>
        <v>933</v>
      </c>
      <c r="B937" t="s">
        <v>266</v>
      </c>
      <c r="C937">
        <v>5</v>
      </c>
      <c r="D937">
        <v>5</v>
      </c>
      <c r="E937" t="s">
        <v>387</v>
      </c>
      <c r="F937">
        <v>412</v>
      </c>
      <c r="G937">
        <v>2</v>
      </c>
      <c r="H937">
        <v>72</v>
      </c>
      <c r="I937" t="s">
        <v>386</v>
      </c>
      <c r="J937" t="s">
        <v>386</v>
      </c>
      <c r="K937">
        <v>1000000</v>
      </c>
      <c r="L937">
        <v>931</v>
      </c>
      <c r="M937">
        <v>931</v>
      </c>
      <c r="N937">
        <v>1182</v>
      </c>
      <c r="O937">
        <v>0</v>
      </c>
      <c r="P937">
        <v>3617</v>
      </c>
      <c r="Q937">
        <v>5785</v>
      </c>
      <c r="R937">
        <v>6193</v>
      </c>
      <c r="S937">
        <v>4420</v>
      </c>
      <c r="T937">
        <v>0</v>
      </c>
      <c r="U937">
        <v>3123</v>
      </c>
      <c r="V937">
        <v>2307.2977104800002</v>
      </c>
      <c r="AH937">
        <f t="shared" si="131"/>
        <v>931</v>
      </c>
      <c r="AI937">
        <f t="shared" si="132"/>
        <v>1182</v>
      </c>
      <c r="AJ937" t="str">
        <f t="shared" si="133"/>
        <v/>
      </c>
      <c r="AK937">
        <f t="shared" si="134"/>
        <v>3617</v>
      </c>
      <c r="AL937">
        <f t="shared" si="127"/>
        <v>5785</v>
      </c>
      <c r="AM937">
        <f t="shared" si="128"/>
        <v>6193</v>
      </c>
      <c r="AN937">
        <f t="shared" si="129"/>
        <v>4420</v>
      </c>
      <c r="AO937" t="str">
        <f t="shared" si="130"/>
        <v/>
      </c>
    </row>
    <row r="938" spans="1:41">
      <c r="A938">
        <f t="shared" si="135"/>
        <v>934</v>
      </c>
      <c r="B938" t="s">
        <v>266</v>
      </c>
      <c r="C938">
        <v>5</v>
      </c>
      <c r="D938">
        <v>5</v>
      </c>
      <c r="E938" t="s">
        <v>387</v>
      </c>
      <c r="F938">
        <v>412</v>
      </c>
      <c r="G938">
        <v>2</v>
      </c>
      <c r="H938">
        <v>73</v>
      </c>
      <c r="I938" t="s">
        <v>386</v>
      </c>
      <c r="J938" t="s">
        <v>386</v>
      </c>
      <c r="K938">
        <v>1000000</v>
      </c>
      <c r="L938">
        <v>1118</v>
      </c>
      <c r="M938">
        <v>1118</v>
      </c>
      <c r="N938">
        <v>1417</v>
      </c>
      <c r="O938">
        <v>0</v>
      </c>
      <c r="P938">
        <v>4349</v>
      </c>
      <c r="Q938">
        <v>6991</v>
      </c>
      <c r="R938">
        <v>7509</v>
      </c>
      <c r="S938">
        <v>5438</v>
      </c>
      <c r="T938">
        <v>0</v>
      </c>
      <c r="U938">
        <v>3682</v>
      </c>
      <c r="V938">
        <v>2439.62615568</v>
      </c>
      <c r="AH938">
        <f t="shared" si="131"/>
        <v>1118</v>
      </c>
      <c r="AI938">
        <f t="shared" si="132"/>
        <v>1417</v>
      </c>
      <c r="AJ938" t="str">
        <f t="shared" si="133"/>
        <v/>
      </c>
      <c r="AK938">
        <f t="shared" si="134"/>
        <v>4349</v>
      </c>
      <c r="AL938">
        <f t="shared" si="127"/>
        <v>6991</v>
      </c>
      <c r="AM938">
        <f t="shared" si="128"/>
        <v>7509</v>
      </c>
      <c r="AN938">
        <f t="shared" si="129"/>
        <v>5438</v>
      </c>
      <c r="AO938" t="str">
        <f t="shared" si="130"/>
        <v/>
      </c>
    </row>
    <row r="939" spans="1:41">
      <c r="A939">
        <f t="shared" si="135"/>
        <v>935</v>
      </c>
      <c r="B939" t="s">
        <v>266</v>
      </c>
      <c r="C939">
        <v>5</v>
      </c>
      <c r="D939">
        <v>5</v>
      </c>
      <c r="E939" t="s">
        <v>387</v>
      </c>
      <c r="F939">
        <v>412</v>
      </c>
      <c r="G939">
        <v>2</v>
      </c>
      <c r="H939">
        <v>74</v>
      </c>
      <c r="I939" t="s">
        <v>386</v>
      </c>
      <c r="J939" t="s">
        <v>386</v>
      </c>
      <c r="K939">
        <v>1000000</v>
      </c>
      <c r="L939">
        <v>1344</v>
      </c>
      <c r="M939">
        <v>1344</v>
      </c>
      <c r="N939">
        <v>1703</v>
      </c>
      <c r="O939">
        <v>0</v>
      </c>
      <c r="P939">
        <v>5287</v>
      </c>
      <c r="Q939">
        <v>8515</v>
      </c>
      <c r="R939">
        <v>9221</v>
      </c>
      <c r="S939">
        <v>6631</v>
      </c>
      <c r="T939">
        <v>0</v>
      </c>
      <c r="U939">
        <v>4359</v>
      </c>
      <c r="V939">
        <v>2568.5377769000002</v>
      </c>
      <c r="AH939">
        <f t="shared" si="131"/>
        <v>1344</v>
      </c>
      <c r="AI939">
        <f t="shared" si="132"/>
        <v>1703</v>
      </c>
      <c r="AJ939" t="str">
        <f t="shared" si="133"/>
        <v/>
      </c>
      <c r="AK939">
        <f t="shared" si="134"/>
        <v>5287</v>
      </c>
      <c r="AL939">
        <f t="shared" si="127"/>
        <v>8515</v>
      </c>
      <c r="AM939">
        <f t="shared" si="128"/>
        <v>9221</v>
      </c>
      <c r="AN939">
        <f t="shared" si="129"/>
        <v>6631</v>
      </c>
      <c r="AO939" t="str">
        <f t="shared" si="130"/>
        <v/>
      </c>
    </row>
    <row r="940" spans="1:41">
      <c r="A940">
        <f t="shared" si="135"/>
        <v>936</v>
      </c>
      <c r="B940" t="s">
        <v>266</v>
      </c>
      <c r="C940">
        <v>5</v>
      </c>
      <c r="D940">
        <v>5</v>
      </c>
      <c r="E940" t="s">
        <v>387</v>
      </c>
      <c r="F940">
        <v>412</v>
      </c>
      <c r="G940">
        <v>2</v>
      </c>
      <c r="H940">
        <v>75</v>
      </c>
      <c r="I940" t="s">
        <v>386</v>
      </c>
      <c r="J940" t="s">
        <v>386</v>
      </c>
      <c r="K940">
        <v>1000000</v>
      </c>
      <c r="L940">
        <v>1614</v>
      </c>
      <c r="M940">
        <v>1614</v>
      </c>
      <c r="N940">
        <v>2043</v>
      </c>
      <c r="O940">
        <v>0</v>
      </c>
      <c r="P940">
        <v>6374</v>
      </c>
      <c r="Q940">
        <v>10305</v>
      </c>
      <c r="R940">
        <v>11020</v>
      </c>
      <c r="S940">
        <v>7777</v>
      </c>
      <c r="T940">
        <v>0</v>
      </c>
      <c r="U940">
        <v>5166</v>
      </c>
      <c r="V940">
        <v>2693.6701945200002</v>
      </c>
      <c r="AH940">
        <f t="shared" si="131"/>
        <v>1614</v>
      </c>
      <c r="AI940">
        <f t="shared" si="132"/>
        <v>2043</v>
      </c>
      <c r="AJ940" t="str">
        <f t="shared" si="133"/>
        <v/>
      </c>
      <c r="AK940">
        <f t="shared" si="134"/>
        <v>6374</v>
      </c>
      <c r="AL940">
        <f t="shared" si="127"/>
        <v>10305</v>
      </c>
      <c r="AM940">
        <f t="shared" si="128"/>
        <v>11020</v>
      </c>
      <c r="AN940">
        <f t="shared" si="129"/>
        <v>7777</v>
      </c>
      <c r="AO940" t="str">
        <f t="shared" si="130"/>
        <v/>
      </c>
    </row>
    <row r="941" spans="1:41">
      <c r="A941">
        <f t="shared" si="135"/>
        <v>937</v>
      </c>
      <c r="B941" t="s">
        <v>266</v>
      </c>
      <c r="C941">
        <v>5</v>
      </c>
      <c r="D941">
        <v>5</v>
      </c>
      <c r="E941" t="s">
        <v>387</v>
      </c>
      <c r="F941">
        <v>412</v>
      </c>
      <c r="G941">
        <v>2</v>
      </c>
      <c r="H941">
        <v>76</v>
      </c>
      <c r="I941" t="s">
        <v>386</v>
      </c>
      <c r="J941" t="s">
        <v>386</v>
      </c>
      <c r="K941">
        <v>1000000</v>
      </c>
      <c r="L941">
        <v>1919</v>
      </c>
      <c r="M941">
        <v>1919</v>
      </c>
      <c r="N941">
        <v>2428</v>
      </c>
      <c r="O941">
        <v>0</v>
      </c>
      <c r="P941">
        <v>7486</v>
      </c>
      <c r="Q941">
        <v>11844</v>
      </c>
      <c r="R941">
        <v>12336</v>
      </c>
      <c r="S941">
        <v>8387</v>
      </c>
      <c r="T941">
        <v>0</v>
      </c>
      <c r="U941">
        <v>6080</v>
      </c>
      <c r="V941">
        <v>2297.4126879599999</v>
      </c>
      <c r="AH941">
        <f t="shared" si="131"/>
        <v>1919</v>
      </c>
      <c r="AI941">
        <f t="shared" si="132"/>
        <v>2428</v>
      </c>
      <c r="AJ941" t="str">
        <f t="shared" si="133"/>
        <v/>
      </c>
      <c r="AK941">
        <f t="shared" si="134"/>
        <v>7486</v>
      </c>
      <c r="AL941">
        <f t="shared" si="127"/>
        <v>11844</v>
      </c>
      <c r="AM941">
        <f t="shared" si="128"/>
        <v>12336</v>
      </c>
      <c r="AN941">
        <f t="shared" si="129"/>
        <v>8387</v>
      </c>
      <c r="AO941" t="str">
        <f t="shared" si="130"/>
        <v/>
      </c>
    </row>
    <row r="942" spans="1:41">
      <c r="A942">
        <f t="shared" si="135"/>
        <v>938</v>
      </c>
      <c r="B942" t="s">
        <v>266</v>
      </c>
      <c r="C942">
        <v>5</v>
      </c>
      <c r="D942">
        <v>5</v>
      </c>
      <c r="E942" t="s">
        <v>387</v>
      </c>
      <c r="F942">
        <v>412</v>
      </c>
      <c r="G942">
        <v>2</v>
      </c>
      <c r="H942">
        <v>77</v>
      </c>
      <c r="I942" t="s">
        <v>386</v>
      </c>
      <c r="J942" t="s">
        <v>386</v>
      </c>
      <c r="K942">
        <v>1000000</v>
      </c>
      <c r="L942">
        <v>2236</v>
      </c>
      <c r="M942">
        <v>2236</v>
      </c>
      <c r="N942">
        <v>2829</v>
      </c>
      <c r="O942">
        <v>0</v>
      </c>
      <c r="P942">
        <v>8031</v>
      </c>
      <c r="Q942">
        <v>12287</v>
      </c>
      <c r="R942">
        <v>12196</v>
      </c>
      <c r="S942">
        <v>7764</v>
      </c>
      <c r="T942">
        <v>0</v>
      </c>
      <c r="U942">
        <v>7029</v>
      </c>
      <c r="V942">
        <v>1873.6301245699999</v>
      </c>
      <c r="AH942">
        <f t="shared" si="131"/>
        <v>2236</v>
      </c>
      <c r="AI942">
        <f t="shared" si="132"/>
        <v>2829</v>
      </c>
      <c r="AJ942" t="str">
        <f t="shared" si="133"/>
        <v/>
      </c>
      <c r="AK942">
        <f t="shared" si="134"/>
        <v>8031</v>
      </c>
      <c r="AL942">
        <f t="shared" si="127"/>
        <v>12287</v>
      </c>
      <c r="AM942">
        <f t="shared" si="128"/>
        <v>12196</v>
      </c>
      <c r="AN942">
        <f t="shared" si="129"/>
        <v>7764</v>
      </c>
      <c r="AO942" t="str">
        <f t="shared" si="130"/>
        <v/>
      </c>
    </row>
    <row r="943" spans="1:41">
      <c r="A943">
        <f t="shared" si="135"/>
        <v>939</v>
      </c>
      <c r="B943" t="s">
        <v>266</v>
      </c>
      <c r="C943">
        <v>5</v>
      </c>
      <c r="D943">
        <v>5</v>
      </c>
      <c r="E943" t="s">
        <v>387</v>
      </c>
      <c r="F943">
        <v>412</v>
      </c>
      <c r="G943">
        <v>2</v>
      </c>
      <c r="H943">
        <v>78</v>
      </c>
      <c r="I943" t="s">
        <v>386</v>
      </c>
      <c r="J943" t="s">
        <v>386</v>
      </c>
      <c r="K943">
        <v>1000000</v>
      </c>
      <c r="L943">
        <v>2530</v>
      </c>
      <c r="M943">
        <v>2530</v>
      </c>
      <c r="N943">
        <v>3199</v>
      </c>
      <c r="O943">
        <v>0</v>
      </c>
      <c r="P943">
        <v>7627</v>
      </c>
      <c r="Q943">
        <v>10991</v>
      </c>
      <c r="R943">
        <v>10101</v>
      </c>
      <c r="S943">
        <v>5967</v>
      </c>
      <c r="T943">
        <v>0</v>
      </c>
      <c r="U943">
        <v>7908</v>
      </c>
      <c r="V943">
        <v>1423.60764748</v>
      </c>
      <c r="AH943">
        <f t="shared" si="131"/>
        <v>2530</v>
      </c>
      <c r="AI943">
        <f t="shared" si="132"/>
        <v>3199</v>
      </c>
      <c r="AJ943" t="str">
        <f t="shared" si="133"/>
        <v/>
      </c>
      <c r="AK943">
        <f t="shared" si="134"/>
        <v>7627</v>
      </c>
      <c r="AL943">
        <f t="shared" si="127"/>
        <v>10991</v>
      </c>
      <c r="AM943">
        <f t="shared" si="128"/>
        <v>10101</v>
      </c>
      <c r="AN943">
        <f t="shared" si="129"/>
        <v>5967</v>
      </c>
      <c r="AO943" t="str">
        <f t="shared" si="130"/>
        <v/>
      </c>
    </row>
    <row r="944" spans="1:41">
      <c r="A944">
        <f t="shared" si="135"/>
        <v>940</v>
      </c>
      <c r="B944" t="s">
        <v>266</v>
      </c>
      <c r="C944">
        <v>5</v>
      </c>
      <c r="D944">
        <v>5</v>
      </c>
      <c r="E944" t="s">
        <v>387</v>
      </c>
      <c r="F944">
        <v>412</v>
      </c>
      <c r="G944">
        <v>2</v>
      </c>
      <c r="H944">
        <v>79</v>
      </c>
      <c r="I944" t="s">
        <v>386</v>
      </c>
      <c r="J944" t="s">
        <v>386</v>
      </c>
      <c r="K944">
        <v>1000000</v>
      </c>
      <c r="L944">
        <v>2775</v>
      </c>
      <c r="M944">
        <v>2775</v>
      </c>
      <c r="N944">
        <v>3509</v>
      </c>
      <c r="O944">
        <v>0</v>
      </c>
      <c r="P944">
        <v>6153</v>
      </c>
      <c r="Q944">
        <v>8121</v>
      </c>
      <c r="R944">
        <v>6917</v>
      </c>
      <c r="S944">
        <v>3953</v>
      </c>
      <c r="T944">
        <v>0</v>
      </c>
      <c r="U944">
        <v>8641</v>
      </c>
      <c r="V944">
        <v>948.56620963</v>
      </c>
      <c r="AH944">
        <f t="shared" si="131"/>
        <v>2775</v>
      </c>
      <c r="AI944">
        <f t="shared" si="132"/>
        <v>3509</v>
      </c>
      <c r="AJ944" t="str">
        <f t="shared" si="133"/>
        <v/>
      </c>
      <c r="AK944">
        <f t="shared" si="134"/>
        <v>6153</v>
      </c>
      <c r="AL944">
        <f t="shared" si="127"/>
        <v>8121</v>
      </c>
      <c r="AM944">
        <f t="shared" si="128"/>
        <v>6917</v>
      </c>
      <c r="AN944">
        <f t="shared" si="129"/>
        <v>3953</v>
      </c>
      <c r="AO944" t="str">
        <f t="shared" si="130"/>
        <v/>
      </c>
    </row>
    <row r="945" spans="1:41">
      <c r="A945">
        <f t="shared" si="135"/>
        <v>941</v>
      </c>
      <c r="B945" t="s">
        <v>266</v>
      </c>
      <c r="C945">
        <v>5</v>
      </c>
      <c r="D945">
        <v>5</v>
      </c>
      <c r="E945" t="s">
        <v>387</v>
      </c>
      <c r="F945">
        <v>412</v>
      </c>
      <c r="G945">
        <v>2</v>
      </c>
      <c r="H945">
        <v>80</v>
      </c>
      <c r="I945" t="s">
        <v>386</v>
      </c>
      <c r="J945" t="s">
        <v>386</v>
      </c>
      <c r="K945">
        <v>1000000</v>
      </c>
      <c r="L945">
        <v>2962</v>
      </c>
      <c r="M945">
        <v>2962</v>
      </c>
      <c r="N945">
        <v>3744</v>
      </c>
      <c r="O945">
        <v>0</v>
      </c>
      <c r="P945">
        <v>4085</v>
      </c>
      <c r="Q945">
        <v>5050</v>
      </c>
      <c r="R945">
        <v>4310</v>
      </c>
      <c r="S945">
        <v>2636</v>
      </c>
      <c r="T945">
        <v>0</v>
      </c>
      <c r="U945">
        <v>9200</v>
      </c>
      <c r="V945">
        <v>452.55954248</v>
      </c>
      <c r="AH945">
        <f t="shared" si="131"/>
        <v>2962</v>
      </c>
      <c r="AI945">
        <f t="shared" si="132"/>
        <v>3744</v>
      </c>
      <c r="AJ945" t="str">
        <f t="shared" si="133"/>
        <v/>
      </c>
      <c r="AK945">
        <f t="shared" si="134"/>
        <v>4085</v>
      </c>
      <c r="AL945">
        <f t="shared" si="127"/>
        <v>5050</v>
      </c>
      <c r="AM945">
        <f t="shared" si="128"/>
        <v>4310</v>
      </c>
      <c r="AN945">
        <f t="shared" si="129"/>
        <v>2636</v>
      </c>
      <c r="AO945" t="str">
        <f t="shared" si="130"/>
        <v/>
      </c>
    </row>
    <row r="946" spans="1:41">
      <c r="A946">
        <f t="shared" si="135"/>
        <v>942</v>
      </c>
      <c r="B946" t="s">
        <v>266</v>
      </c>
      <c r="C946">
        <v>5</v>
      </c>
      <c r="D946">
        <v>5</v>
      </c>
      <c r="E946" t="s">
        <v>387</v>
      </c>
      <c r="F946">
        <v>412</v>
      </c>
      <c r="G946">
        <v>2</v>
      </c>
      <c r="H946">
        <v>81</v>
      </c>
      <c r="I946" t="s">
        <v>386</v>
      </c>
      <c r="J946" t="s">
        <v>386</v>
      </c>
      <c r="K946">
        <v>1000000</v>
      </c>
      <c r="L946">
        <v>3096</v>
      </c>
      <c r="M946">
        <v>3096</v>
      </c>
      <c r="N946">
        <v>3914</v>
      </c>
      <c r="O946">
        <v>0</v>
      </c>
      <c r="P946">
        <v>2504</v>
      </c>
      <c r="Q946">
        <v>3341</v>
      </c>
      <c r="R946">
        <v>3283</v>
      </c>
      <c r="S946">
        <v>2304</v>
      </c>
      <c r="T946">
        <v>0</v>
      </c>
      <c r="U946">
        <v>9604</v>
      </c>
      <c r="V946">
        <v>452.95095902999998</v>
      </c>
      <c r="AH946">
        <f t="shared" si="131"/>
        <v>3096</v>
      </c>
      <c r="AI946">
        <f t="shared" si="132"/>
        <v>3914</v>
      </c>
      <c r="AJ946" t="str">
        <f t="shared" si="133"/>
        <v/>
      </c>
      <c r="AK946">
        <f t="shared" si="134"/>
        <v>2504</v>
      </c>
      <c r="AL946">
        <f t="shared" si="127"/>
        <v>3341</v>
      </c>
      <c r="AM946">
        <f t="shared" si="128"/>
        <v>3283</v>
      </c>
      <c r="AN946">
        <f t="shared" si="129"/>
        <v>2304</v>
      </c>
      <c r="AO946" t="str">
        <f t="shared" si="130"/>
        <v/>
      </c>
    </row>
    <row r="947" spans="1:41">
      <c r="A947">
        <f t="shared" si="135"/>
        <v>943</v>
      </c>
      <c r="B947" t="s">
        <v>266</v>
      </c>
      <c r="C947">
        <v>5</v>
      </c>
      <c r="D947">
        <v>5</v>
      </c>
      <c r="E947" t="s">
        <v>387</v>
      </c>
      <c r="F947">
        <v>412</v>
      </c>
      <c r="G947">
        <v>2</v>
      </c>
      <c r="H947">
        <v>82</v>
      </c>
      <c r="I947" t="s">
        <v>386</v>
      </c>
      <c r="J947" t="s">
        <v>386</v>
      </c>
      <c r="K947">
        <v>1000000</v>
      </c>
      <c r="L947">
        <v>3204</v>
      </c>
      <c r="M947">
        <v>3204</v>
      </c>
      <c r="N947">
        <v>4050</v>
      </c>
      <c r="O947">
        <v>0</v>
      </c>
      <c r="P947">
        <v>2079</v>
      </c>
      <c r="Q947">
        <v>3295</v>
      </c>
      <c r="R947">
        <v>3622</v>
      </c>
      <c r="S947">
        <v>2655</v>
      </c>
      <c r="T947">
        <v>0</v>
      </c>
      <c r="U947">
        <v>9925</v>
      </c>
      <c r="V947">
        <v>453.39296586</v>
      </c>
      <c r="AH947">
        <f t="shared" si="131"/>
        <v>3204</v>
      </c>
      <c r="AI947">
        <f t="shared" si="132"/>
        <v>4050</v>
      </c>
      <c r="AJ947" t="str">
        <f t="shared" si="133"/>
        <v/>
      </c>
      <c r="AK947">
        <f t="shared" si="134"/>
        <v>2079</v>
      </c>
      <c r="AL947">
        <f t="shared" si="127"/>
        <v>3295</v>
      </c>
      <c r="AM947">
        <f t="shared" si="128"/>
        <v>3622</v>
      </c>
      <c r="AN947">
        <f t="shared" si="129"/>
        <v>2655</v>
      </c>
      <c r="AO947" t="str">
        <f t="shared" si="130"/>
        <v/>
      </c>
    </row>
    <row r="948" spans="1:41">
      <c r="A948">
        <f t="shared" si="135"/>
        <v>944</v>
      </c>
      <c r="B948" t="s">
        <v>266</v>
      </c>
      <c r="C948">
        <v>5</v>
      </c>
      <c r="D948">
        <v>5</v>
      </c>
      <c r="E948" t="s">
        <v>387</v>
      </c>
      <c r="F948">
        <v>412</v>
      </c>
      <c r="G948">
        <v>2</v>
      </c>
      <c r="H948">
        <v>83</v>
      </c>
      <c r="I948" t="s">
        <v>386</v>
      </c>
      <c r="J948" t="s">
        <v>386</v>
      </c>
      <c r="K948">
        <v>1000000</v>
      </c>
      <c r="L948">
        <v>3314</v>
      </c>
      <c r="M948">
        <v>3314</v>
      </c>
      <c r="N948">
        <v>4188</v>
      </c>
      <c r="O948">
        <v>0</v>
      </c>
      <c r="P948">
        <v>2502</v>
      </c>
      <c r="Q948">
        <v>4147</v>
      </c>
      <c r="R948">
        <v>4531</v>
      </c>
      <c r="S948">
        <v>3261</v>
      </c>
      <c r="T948">
        <v>0</v>
      </c>
      <c r="U948">
        <v>10254</v>
      </c>
      <c r="V948">
        <v>453.88682869000002</v>
      </c>
      <c r="AH948">
        <f t="shared" si="131"/>
        <v>3314</v>
      </c>
      <c r="AI948">
        <f t="shared" si="132"/>
        <v>4188</v>
      </c>
      <c r="AJ948" t="str">
        <f t="shared" si="133"/>
        <v/>
      </c>
      <c r="AK948">
        <f t="shared" si="134"/>
        <v>2502</v>
      </c>
      <c r="AL948">
        <f t="shared" si="127"/>
        <v>4147</v>
      </c>
      <c r="AM948">
        <f t="shared" si="128"/>
        <v>4531</v>
      </c>
      <c r="AN948">
        <f t="shared" si="129"/>
        <v>3261</v>
      </c>
      <c r="AO948" t="str">
        <f t="shared" si="130"/>
        <v/>
      </c>
    </row>
    <row r="949" spans="1:41">
      <c r="A949">
        <f t="shared" si="135"/>
        <v>945</v>
      </c>
      <c r="B949" t="s">
        <v>266</v>
      </c>
      <c r="C949">
        <v>5</v>
      </c>
      <c r="D949">
        <v>5</v>
      </c>
      <c r="E949" t="s">
        <v>387</v>
      </c>
      <c r="F949">
        <v>412</v>
      </c>
      <c r="G949">
        <v>2</v>
      </c>
      <c r="H949">
        <v>84</v>
      </c>
      <c r="I949" t="s">
        <v>386</v>
      </c>
      <c r="J949" t="s">
        <v>386</v>
      </c>
      <c r="K949">
        <v>1000000</v>
      </c>
      <c r="L949">
        <v>3443</v>
      </c>
      <c r="M949">
        <v>3443</v>
      </c>
      <c r="N949">
        <v>4351</v>
      </c>
      <c r="O949">
        <v>0</v>
      </c>
      <c r="P949">
        <v>3148</v>
      </c>
      <c r="Q949">
        <v>5074</v>
      </c>
      <c r="R949">
        <v>5384</v>
      </c>
      <c r="S949">
        <v>3742</v>
      </c>
      <c r="T949">
        <v>0</v>
      </c>
      <c r="U949">
        <v>10639</v>
      </c>
      <c r="V949">
        <v>454.42766779999999</v>
      </c>
      <c r="AH949">
        <f t="shared" si="131"/>
        <v>3443</v>
      </c>
      <c r="AI949">
        <f t="shared" si="132"/>
        <v>4351</v>
      </c>
      <c r="AJ949" t="str">
        <f t="shared" si="133"/>
        <v/>
      </c>
      <c r="AK949">
        <f t="shared" si="134"/>
        <v>3148</v>
      </c>
      <c r="AL949">
        <f t="shared" si="127"/>
        <v>5074</v>
      </c>
      <c r="AM949">
        <f t="shared" si="128"/>
        <v>5384</v>
      </c>
      <c r="AN949">
        <f t="shared" si="129"/>
        <v>3742</v>
      </c>
      <c r="AO949" t="str">
        <f t="shared" si="130"/>
        <v/>
      </c>
    </row>
    <row r="950" spans="1:41">
      <c r="A950">
        <f t="shared" si="135"/>
        <v>946</v>
      </c>
      <c r="B950" t="s">
        <v>266</v>
      </c>
      <c r="C950">
        <v>5</v>
      </c>
      <c r="D950">
        <v>5</v>
      </c>
      <c r="E950" t="s">
        <v>387</v>
      </c>
      <c r="F950">
        <v>412</v>
      </c>
      <c r="G950">
        <v>2</v>
      </c>
      <c r="H950">
        <v>85</v>
      </c>
      <c r="I950" t="s">
        <v>386</v>
      </c>
      <c r="J950" t="s">
        <v>386</v>
      </c>
      <c r="K950">
        <v>1000000</v>
      </c>
      <c r="L950">
        <v>3591</v>
      </c>
      <c r="M950">
        <v>3591</v>
      </c>
      <c r="N950">
        <v>4539</v>
      </c>
      <c r="O950">
        <v>0</v>
      </c>
      <c r="P950">
        <v>3656</v>
      </c>
      <c r="Q950">
        <v>5739</v>
      </c>
      <c r="R950">
        <v>5915</v>
      </c>
      <c r="S950">
        <v>4037</v>
      </c>
      <c r="T950">
        <v>0</v>
      </c>
      <c r="U950">
        <v>11084</v>
      </c>
      <c r="V950">
        <v>455.06363391999997</v>
      </c>
      <c r="AH950">
        <f t="shared" si="131"/>
        <v>3591</v>
      </c>
      <c r="AI950">
        <f t="shared" si="132"/>
        <v>4539</v>
      </c>
      <c r="AJ950" t="str">
        <f t="shared" si="133"/>
        <v/>
      </c>
      <c r="AK950">
        <f t="shared" si="134"/>
        <v>3656</v>
      </c>
      <c r="AL950">
        <f t="shared" si="127"/>
        <v>5739</v>
      </c>
      <c r="AM950">
        <f t="shared" si="128"/>
        <v>5915</v>
      </c>
      <c r="AN950">
        <f t="shared" si="129"/>
        <v>4037</v>
      </c>
      <c r="AO950" t="str">
        <f t="shared" si="130"/>
        <v/>
      </c>
    </row>
    <row r="951" spans="1:41">
      <c r="A951">
        <f t="shared" si="135"/>
        <v>947</v>
      </c>
      <c r="B951" t="s">
        <v>266</v>
      </c>
      <c r="C951">
        <v>5</v>
      </c>
      <c r="D951">
        <v>5</v>
      </c>
      <c r="E951" t="s">
        <v>387</v>
      </c>
      <c r="F951">
        <v>412</v>
      </c>
      <c r="G951">
        <v>2</v>
      </c>
      <c r="H951">
        <v>86</v>
      </c>
      <c r="I951" t="s">
        <v>386</v>
      </c>
      <c r="J951" t="s">
        <v>386</v>
      </c>
      <c r="K951">
        <v>1000000</v>
      </c>
      <c r="L951">
        <v>3754</v>
      </c>
      <c r="M951">
        <v>3754</v>
      </c>
      <c r="N951">
        <v>4744</v>
      </c>
      <c r="O951">
        <v>0</v>
      </c>
      <c r="P951">
        <v>3976</v>
      </c>
      <c r="Q951">
        <v>6092</v>
      </c>
      <c r="R951">
        <v>6201</v>
      </c>
      <c r="S951">
        <v>4203</v>
      </c>
      <c r="T951">
        <v>0</v>
      </c>
      <c r="U951">
        <v>11573</v>
      </c>
      <c r="V951">
        <v>455.79710605999998</v>
      </c>
      <c r="AH951">
        <f t="shared" si="131"/>
        <v>3754</v>
      </c>
      <c r="AI951">
        <f t="shared" si="132"/>
        <v>4744</v>
      </c>
      <c r="AJ951" t="str">
        <f t="shared" si="133"/>
        <v/>
      </c>
      <c r="AK951">
        <f t="shared" si="134"/>
        <v>3976</v>
      </c>
      <c r="AL951">
        <f t="shared" si="127"/>
        <v>6092</v>
      </c>
      <c r="AM951">
        <f t="shared" si="128"/>
        <v>6201</v>
      </c>
      <c r="AN951">
        <f t="shared" si="129"/>
        <v>4203</v>
      </c>
      <c r="AO951" t="str">
        <f t="shared" si="130"/>
        <v/>
      </c>
    </row>
    <row r="952" spans="1:41">
      <c r="A952">
        <f t="shared" si="135"/>
        <v>948</v>
      </c>
      <c r="B952" t="s">
        <v>266</v>
      </c>
      <c r="C952">
        <v>5</v>
      </c>
      <c r="D952">
        <v>5</v>
      </c>
      <c r="E952" t="s">
        <v>387</v>
      </c>
      <c r="F952">
        <v>412</v>
      </c>
      <c r="G952">
        <v>2</v>
      </c>
      <c r="H952">
        <v>87</v>
      </c>
      <c r="I952" t="s">
        <v>386</v>
      </c>
      <c r="J952" t="s">
        <v>386</v>
      </c>
      <c r="K952">
        <v>1000000</v>
      </c>
      <c r="L952">
        <v>3926</v>
      </c>
      <c r="M952">
        <v>3926</v>
      </c>
      <c r="N952">
        <v>4960</v>
      </c>
      <c r="O952">
        <v>0</v>
      </c>
      <c r="P952">
        <v>4099</v>
      </c>
      <c r="Q952">
        <v>6240</v>
      </c>
      <c r="R952">
        <v>6325</v>
      </c>
      <c r="S952">
        <v>4257</v>
      </c>
      <c r="T952">
        <v>0</v>
      </c>
      <c r="U952">
        <v>12085</v>
      </c>
      <c r="V952">
        <v>456.67749899</v>
      </c>
      <c r="AH952">
        <f t="shared" si="131"/>
        <v>3926</v>
      </c>
      <c r="AI952">
        <f t="shared" si="132"/>
        <v>4960</v>
      </c>
      <c r="AJ952" t="str">
        <f t="shared" si="133"/>
        <v/>
      </c>
      <c r="AK952">
        <f t="shared" si="134"/>
        <v>4099</v>
      </c>
      <c r="AL952">
        <f t="shared" si="127"/>
        <v>6240</v>
      </c>
      <c r="AM952">
        <f t="shared" si="128"/>
        <v>6325</v>
      </c>
      <c r="AN952">
        <f t="shared" si="129"/>
        <v>4257</v>
      </c>
      <c r="AO952" t="str">
        <f t="shared" si="130"/>
        <v/>
      </c>
    </row>
    <row r="953" spans="1:41">
      <c r="A953">
        <f t="shared" si="135"/>
        <v>949</v>
      </c>
      <c r="B953" t="s">
        <v>266</v>
      </c>
      <c r="C953">
        <v>5</v>
      </c>
      <c r="D953">
        <v>5</v>
      </c>
      <c r="E953" t="s">
        <v>387</v>
      </c>
      <c r="F953">
        <v>412</v>
      </c>
      <c r="G953">
        <v>2</v>
      </c>
      <c r="H953">
        <v>88</v>
      </c>
      <c r="I953" t="s">
        <v>386</v>
      </c>
      <c r="J953" t="s">
        <v>386</v>
      </c>
      <c r="K953">
        <v>1000000</v>
      </c>
      <c r="L953">
        <v>4098</v>
      </c>
      <c r="M953">
        <v>4098</v>
      </c>
      <c r="N953">
        <v>5178</v>
      </c>
      <c r="O953">
        <v>0</v>
      </c>
      <c r="P953">
        <v>4141</v>
      </c>
      <c r="Q953">
        <v>6275</v>
      </c>
      <c r="R953">
        <v>6307</v>
      </c>
      <c r="S953">
        <v>4204</v>
      </c>
      <c r="T953">
        <v>0</v>
      </c>
      <c r="U953">
        <v>12602</v>
      </c>
      <c r="V953">
        <v>457.70848894</v>
      </c>
      <c r="AH953">
        <f t="shared" si="131"/>
        <v>4098</v>
      </c>
      <c r="AI953">
        <f t="shared" si="132"/>
        <v>5178</v>
      </c>
      <c r="AJ953" t="str">
        <f t="shared" si="133"/>
        <v/>
      </c>
      <c r="AK953">
        <f t="shared" si="134"/>
        <v>4141</v>
      </c>
      <c r="AL953">
        <f t="shared" si="127"/>
        <v>6275</v>
      </c>
      <c r="AM953">
        <f t="shared" si="128"/>
        <v>6307</v>
      </c>
      <c r="AN953">
        <f t="shared" si="129"/>
        <v>4204</v>
      </c>
      <c r="AO953" t="str">
        <f t="shared" si="130"/>
        <v/>
      </c>
    </row>
    <row r="954" spans="1:41">
      <c r="A954">
        <f t="shared" si="135"/>
        <v>950</v>
      </c>
      <c r="B954" t="s">
        <v>266</v>
      </c>
      <c r="C954">
        <v>5</v>
      </c>
      <c r="D954">
        <v>5</v>
      </c>
      <c r="E954" t="s">
        <v>387</v>
      </c>
      <c r="F954">
        <v>412</v>
      </c>
      <c r="G954">
        <v>2</v>
      </c>
      <c r="H954">
        <v>89</v>
      </c>
      <c r="I954" t="s">
        <v>386</v>
      </c>
      <c r="J954" t="s">
        <v>386</v>
      </c>
      <c r="K954">
        <v>1000000</v>
      </c>
      <c r="L954">
        <v>4269</v>
      </c>
      <c r="M954">
        <v>4269</v>
      </c>
      <c r="N954">
        <v>5393</v>
      </c>
      <c r="O954">
        <v>0</v>
      </c>
      <c r="P954">
        <v>4100</v>
      </c>
      <c r="Q954">
        <v>6147</v>
      </c>
      <c r="R954">
        <v>6109</v>
      </c>
      <c r="S954">
        <v>4023</v>
      </c>
      <c r="T954">
        <v>0</v>
      </c>
      <c r="U954">
        <v>13111</v>
      </c>
      <c r="V954">
        <v>458.84069054999998</v>
      </c>
      <c r="AH954">
        <f t="shared" si="131"/>
        <v>4269</v>
      </c>
      <c r="AI954">
        <f t="shared" si="132"/>
        <v>5393</v>
      </c>
      <c r="AJ954" t="str">
        <f t="shared" si="133"/>
        <v/>
      </c>
      <c r="AK954">
        <f t="shared" si="134"/>
        <v>4100</v>
      </c>
      <c r="AL954">
        <f t="shared" si="127"/>
        <v>6147</v>
      </c>
      <c r="AM954">
        <f t="shared" si="128"/>
        <v>6109</v>
      </c>
      <c r="AN954">
        <f t="shared" si="129"/>
        <v>4023</v>
      </c>
      <c r="AO954" t="str">
        <f t="shared" si="130"/>
        <v/>
      </c>
    </row>
    <row r="955" spans="1:41">
      <c r="A955">
        <f t="shared" si="135"/>
        <v>951</v>
      </c>
      <c r="B955" t="s">
        <v>266</v>
      </c>
      <c r="C955">
        <v>5</v>
      </c>
      <c r="D955">
        <v>5</v>
      </c>
      <c r="E955" t="s">
        <v>387</v>
      </c>
      <c r="F955">
        <v>412</v>
      </c>
      <c r="G955">
        <v>2</v>
      </c>
      <c r="H955">
        <v>90</v>
      </c>
      <c r="I955" t="s">
        <v>386</v>
      </c>
      <c r="J955" t="s">
        <v>386</v>
      </c>
      <c r="K955">
        <v>1000000</v>
      </c>
      <c r="L955">
        <v>4432</v>
      </c>
      <c r="M955">
        <v>4432</v>
      </c>
      <c r="N955">
        <v>5599</v>
      </c>
      <c r="O955">
        <v>0</v>
      </c>
      <c r="P955">
        <v>3933</v>
      </c>
      <c r="Q955">
        <v>5827</v>
      </c>
      <c r="R955">
        <v>5721</v>
      </c>
      <c r="S955">
        <v>3728</v>
      </c>
      <c r="T955">
        <v>0</v>
      </c>
      <c r="U955">
        <v>13600</v>
      </c>
      <c r="V955">
        <v>460.02348239999998</v>
      </c>
      <c r="AH955">
        <f t="shared" si="131"/>
        <v>4432</v>
      </c>
      <c r="AI955">
        <f t="shared" si="132"/>
        <v>5599</v>
      </c>
      <c r="AJ955" t="str">
        <f t="shared" si="133"/>
        <v/>
      </c>
      <c r="AK955">
        <f t="shared" si="134"/>
        <v>3933</v>
      </c>
      <c r="AL955">
        <f t="shared" si="127"/>
        <v>5827</v>
      </c>
      <c r="AM955">
        <f t="shared" si="128"/>
        <v>5721</v>
      </c>
      <c r="AN955">
        <f t="shared" si="129"/>
        <v>3728</v>
      </c>
      <c r="AO955" t="str">
        <f t="shared" si="130"/>
        <v/>
      </c>
    </row>
    <row r="956" spans="1:41">
      <c r="A956">
        <f t="shared" si="135"/>
        <v>952</v>
      </c>
      <c r="B956" t="s">
        <v>266</v>
      </c>
      <c r="C956">
        <v>5</v>
      </c>
      <c r="D956">
        <v>5</v>
      </c>
      <c r="E956" t="s">
        <v>387</v>
      </c>
      <c r="F956">
        <v>412</v>
      </c>
      <c r="G956">
        <v>2</v>
      </c>
      <c r="H956">
        <v>91</v>
      </c>
      <c r="I956" t="s">
        <v>386</v>
      </c>
      <c r="J956" t="s">
        <v>386</v>
      </c>
      <c r="K956">
        <v>1000000</v>
      </c>
      <c r="L956">
        <v>4585</v>
      </c>
      <c r="M956">
        <v>4585</v>
      </c>
      <c r="N956">
        <v>5792</v>
      </c>
      <c r="O956">
        <v>0</v>
      </c>
      <c r="P956">
        <v>3652</v>
      </c>
      <c r="Q956">
        <v>5347</v>
      </c>
      <c r="R956">
        <v>5202</v>
      </c>
      <c r="S956">
        <v>3366</v>
      </c>
      <c r="T956">
        <v>0</v>
      </c>
      <c r="U956">
        <v>14057</v>
      </c>
      <c r="V956">
        <v>461.30510564999997</v>
      </c>
      <c r="AH956">
        <f t="shared" si="131"/>
        <v>4585</v>
      </c>
      <c r="AI956">
        <f t="shared" si="132"/>
        <v>5792</v>
      </c>
      <c r="AJ956" t="str">
        <f t="shared" si="133"/>
        <v/>
      </c>
      <c r="AK956">
        <f t="shared" si="134"/>
        <v>3652</v>
      </c>
      <c r="AL956">
        <f t="shared" si="127"/>
        <v>5347</v>
      </c>
      <c r="AM956">
        <f t="shared" si="128"/>
        <v>5202</v>
      </c>
      <c r="AN956">
        <f t="shared" si="129"/>
        <v>3366</v>
      </c>
      <c r="AO956" t="str">
        <f t="shared" si="130"/>
        <v/>
      </c>
    </row>
    <row r="957" spans="1:41">
      <c r="A957">
        <f t="shared" si="135"/>
        <v>953</v>
      </c>
      <c r="B957" t="s">
        <v>266</v>
      </c>
      <c r="C957">
        <v>5</v>
      </c>
      <c r="D957">
        <v>5</v>
      </c>
      <c r="E957" t="s">
        <v>387</v>
      </c>
      <c r="F957">
        <v>412</v>
      </c>
      <c r="G957">
        <v>2</v>
      </c>
      <c r="H957">
        <v>92</v>
      </c>
      <c r="I957" t="s">
        <v>386</v>
      </c>
      <c r="J957" t="s">
        <v>386</v>
      </c>
      <c r="K957">
        <v>1000000</v>
      </c>
      <c r="L957">
        <v>4723</v>
      </c>
      <c r="M957">
        <v>4723</v>
      </c>
      <c r="N957">
        <v>5967</v>
      </c>
      <c r="O957">
        <v>0</v>
      </c>
      <c r="P957">
        <v>3292</v>
      </c>
      <c r="Q957">
        <v>4783</v>
      </c>
      <c r="R957">
        <v>4624</v>
      </c>
      <c r="S957">
        <v>2977</v>
      </c>
      <c r="T957">
        <v>0</v>
      </c>
      <c r="U957">
        <v>14472</v>
      </c>
      <c r="V957">
        <v>462.58790450999999</v>
      </c>
      <c r="AH957">
        <f t="shared" si="131"/>
        <v>4723</v>
      </c>
      <c r="AI957">
        <f t="shared" si="132"/>
        <v>5967</v>
      </c>
      <c r="AJ957" t="str">
        <f t="shared" si="133"/>
        <v/>
      </c>
      <c r="AK957">
        <f t="shared" si="134"/>
        <v>3292</v>
      </c>
      <c r="AL957">
        <f t="shared" si="127"/>
        <v>4783</v>
      </c>
      <c r="AM957">
        <f t="shared" si="128"/>
        <v>4624</v>
      </c>
      <c r="AN957">
        <f t="shared" si="129"/>
        <v>2977</v>
      </c>
      <c r="AO957" t="str">
        <f t="shared" si="130"/>
        <v/>
      </c>
    </row>
    <row r="958" spans="1:41">
      <c r="A958">
        <f t="shared" si="135"/>
        <v>954</v>
      </c>
      <c r="B958" t="s">
        <v>266</v>
      </c>
      <c r="C958">
        <v>5</v>
      </c>
      <c r="D958">
        <v>5</v>
      </c>
      <c r="E958" t="s">
        <v>387</v>
      </c>
      <c r="F958">
        <v>412</v>
      </c>
      <c r="G958">
        <v>2</v>
      </c>
      <c r="H958">
        <v>93</v>
      </c>
      <c r="I958" t="s">
        <v>386</v>
      </c>
      <c r="J958" t="s">
        <v>386</v>
      </c>
      <c r="K958">
        <v>1000000</v>
      </c>
      <c r="L958">
        <v>4847</v>
      </c>
      <c r="M958">
        <v>4847</v>
      </c>
      <c r="N958">
        <v>6122</v>
      </c>
      <c r="O958">
        <v>0</v>
      </c>
      <c r="P958">
        <v>2906</v>
      </c>
      <c r="Q958">
        <v>4199</v>
      </c>
      <c r="R958">
        <v>4040</v>
      </c>
      <c r="S958">
        <v>2587</v>
      </c>
      <c r="T958">
        <v>0</v>
      </c>
      <c r="U958">
        <v>14841</v>
      </c>
      <c r="V958">
        <v>463.91888173000001</v>
      </c>
      <c r="AH958">
        <f t="shared" si="131"/>
        <v>4847</v>
      </c>
      <c r="AI958">
        <f t="shared" si="132"/>
        <v>6122</v>
      </c>
      <c r="AJ958" t="str">
        <f t="shared" si="133"/>
        <v/>
      </c>
      <c r="AK958">
        <f t="shared" si="134"/>
        <v>2906</v>
      </c>
      <c r="AL958">
        <f t="shared" si="127"/>
        <v>4199</v>
      </c>
      <c r="AM958">
        <f t="shared" si="128"/>
        <v>4040</v>
      </c>
      <c r="AN958">
        <f t="shared" si="129"/>
        <v>2587</v>
      </c>
      <c r="AO958" t="str">
        <f t="shared" si="130"/>
        <v/>
      </c>
    </row>
    <row r="959" spans="1:41">
      <c r="A959">
        <f t="shared" si="135"/>
        <v>955</v>
      </c>
      <c r="B959" t="s">
        <v>266</v>
      </c>
      <c r="C959">
        <v>5</v>
      </c>
      <c r="D959">
        <v>5</v>
      </c>
      <c r="E959" t="s">
        <v>387</v>
      </c>
      <c r="F959">
        <v>412</v>
      </c>
      <c r="G959">
        <v>2</v>
      </c>
      <c r="H959">
        <v>94</v>
      </c>
      <c r="I959" t="s">
        <v>386</v>
      </c>
      <c r="J959" t="s">
        <v>386</v>
      </c>
      <c r="K959">
        <v>1000000</v>
      </c>
      <c r="L959">
        <v>4954</v>
      </c>
      <c r="M959">
        <v>4954</v>
      </c>
      <c r="N959">
        <v>6258</v>
      </c>
      <c r="O959">
        <v>0</v>
      </c>
      <c r="P959">
        <v>2524</v>
      </c>
      <c r="Q959">
        <v>3625</v>
      </c>
      <c r="R959">
        <v>3466</v>
      </c>
      <c r="S959">
        <v>2204</v>
      </c>
      <c r="T959">
        <v>0</v>
      </c>
      <c r="U959">
        <v>15162</v>
      </c>
      <c r="V959">
        <v>465.25227179000001</v>
      </c>
      <c r="AH959">
        <f t="shared" si="131"/>
        <v>4954</v>
      </c>
      <c r="AI959">
        <f t="shared" si="132"/>
        <v>6258</v>
      </c>
      <c r="AJ959" t="str">
        <f t="shared" si="133"/>
        <v/>
      </c>
      <c r="AK959">
        <f t="shared" si="134"/>
        <v>2524</v>
      </c>
      <c r="AL959">
        <f t="shared" si="127"/>
        <v>3625</v>
      </c>
      <c r="AM959">
        <f t="shared" si="128"/>
        <v>3466</v>
      </c>
      <c r="AN959">
        <f t="shared" si="129"/>
        <v>2204</v>
      </c>
      <c r="AO959" t="str">
        <f t="shared" si="130"/>
        <v/>
      </c>
    </row>
    <row r="960" spans="1:41">
      <c r="A960">
        <f t="shared" si="135"/>
        <v>956</v>
      </c>
      <c r="B960" t="s">
        <v>266</v>
      </c>
      <c r="C960">
        <v>5</v>
      </c>
      <c r="D960">
        <v>5</v>
      </c>
      <c r="E960" t="s">
        <v>387</v>
      </c>
      <c r="F960">
        <v>412</v>
      </c>
      <c r="G960">
        <v>2</v>
      </c>
      <c r="H960">
        <v>95</v>
      </c>
      <c r="I960" t="s">
        <v>386</v>
      </c>
      <c r="J960" t="s">
        <v>386</v>
      </c>
      <c r="K960">
        <v>1000000</v>
      </c>
      <c r="L960">
        <v>5045</v>
      </c>
      <c r="M960">
        <v>5045</v>
      </c>
      <c r="N960">
        <v>6373</v>
      </c>
      <c r="O960">
        <v>0</v>
      </c>
      <c r="P960">
        <v>2152</v>
      </c>
      <c r="Q960">
        <v>3069</v>
      </c>
      <c r="R960">
        <v>2910</v>
      </c>
      <c r="S960">
        <v>1837</v>
      </c>
      <c r="T960">
        <v>0</v>
      </c>
      <c r="U960">
        <v>15435</v>
      </c>
      <c r="V960">
        <v>466.54116526000001</v>
      </c>
      <c r="AH960">
        <f t="shared" si="131"/>
        <v>5045</v>
      </c>
      <c r="AI960">
        <f t="shared" si="132"/>
        <v>6373</v>
      </c>
      <c r="AJ960" t="str">
        <f t="shared" si="133"/>
        <v/>
      </c>
      <c r="AK960">
        <f t="shared" si="134"/>
        <v>2152</v>
      </c>
      <c r="AL960">
        <f t="shared" si="127"/>
        <v>3069</v>
      </c>
      <c r="AM960">
        <f t="shared" si="128"/>
        <v>2910</v>
      </c>
      <c r="AN960">
        <f t="shared" si="129"/>
        <v>1837</v>
      </c>
      <c r="AO960" t="str">
        <f t="shared" si="130"/>
        <v/>
      </c>
    </row>
    <row r="961" spans="1:41">
      <c r="A961">
        <f t="shared" si="135"/>
        <v>957</v>
      </c>
      <c r="B961" t="s">
        <v>266</v>
      </c>
      <c r="C961">
        <v>4</v>
      </c>
      <c r="D961">
        <v>4</v>
      </c>
      <c r="E961" t="s">
        <v>387</v>
      </c>
      <c r="F961">
        <v>412</v>
      </c>
      <c r="G961">
        <v>2</v>
      </c>
      <c r="H961">
        <v>96</v>
      </c>
      <c r="I961" t="s">
        <v>386</v>
      </c>
      <c r="J961" t="s">
        <v>386</v>
      </c>
      <c r="K961">
        <v>1000000</v>
      </c>
      <c r="L961">
        <v>5092</v>
      </c>
      <c r="M961">
        <v>5092</v>
      </c>
      <c r="N961">
        <v>6432</v>
      </c>
      <c r="O961">
        <v>0</v>
      </c>
      <c r="P961">
        <v>1435</v>
      </c>
      <c r="Q961">
        <v>1807</v>
      </c>
      <c r="R961">
        <v>1279</v>
      </c>
      <c r="S961">
        <v>0</v>
      </c>
      <c r="T961" t="s">
        <v>386</v>
      </c>
      <c r="U961">
        <v>12601</v>
      </c>
      <c r="V961">
        <v>467.68431702999999</v>
      </c>
      <c r="AH961">
        <f t="shared" si="131"/>
        <v>5092</v>
      </c>
      <c r="AI961">
        <f t="shared" si="132"/>
        <v>6432</v>
      </c>
      <c r="AJ961" t="str">
        <f t="shared" si="133"/>
        <v/>
      </c>
      <c r="AK961">
        <f t="shared" si="134"/>
        <v>1435</v>
      </c>
      <c r="AL961">
        <f t="shared" si="127"/>
        <v>1807</v>
      </c>
      <c r="AM961">
        <f t="shared" si="128"/>
        <v>1279</v>
      </c>
      <c r="AN961" t="str">
        <f t="shared" si="129"/>
        <v/>
      </c>
      <c r="AO961" t="e">
        <f t="shared" si="130"/>
        <v>#VALUE!</v>
      </c>
    </row>
    <row r="962" spans="1:41">
      <c r="A962">
        <f t="shared" si="135"/>
        <v>958</v>
      </c>
      <c r="B962" t="s">
        <v>266</v>
      </c>
      <c r="C962">
        <v>3</v>
      </c>
      <c r="D962">
        <v>3</v>
      </c>
      <c r="E962" t="s">
        <v>387</v>
      </c>
      <c r="F962">
        <v>412</v>
      </c>
      <c r="G962">
        <v>2</v>
      </c>
      <c r="H962">
        <v>97</v>
      </c>
      <c r="I962" t="s">
        <v>386</v>
      </c>
      <c r="J962" t="s">
        <v>386</v>
      </c>
      <c r="K962">
        <v>1000000</v>
      </c>
      <c r="L962">
        <v>5134</v>
      </c>
      <c r="M962">
        <v>5134</v>
      </c>
      <c r="N962">
        <v>6486</v>
      </c>
      <c r="O962">
        <v>0</v>
      </c>
      <c r="P962">
        <v>839</v>
      </c>
      <c r="Q962">
        <v>789</v>
      </c>
      <c r="R962">
        <v>0</v>
      </c>
      <c r="S962" t="s">
        <v>386</v>
      </c>
      <c r="T962" t="s">
        <v>386</v>
      </c>
      <c r="U962">
        <v>9704</v>
      </c>
      <c r="V962">
        <v>468.7312359</v>
      </c>
      <c r="AH962">
        <f t="shared" si="131"/>
        <v>5134</v>
      </c>
      <c r="AI962">
        <f t="shared" si="132"/>
        <v>6486</v>
      </c>
      <c r="AJ962" t="str">
        <f t="shared" si="133"/>
        <v/>
      </c>
      <c r="AK962">
        <f t="shared" si="134"/>
        <v>839</v>
      </c>
      <c r="AL962">
        <f t="shared" si="127"/>
        <v>789</v>
      </c>
      <c r="AM962" t="str">
        <f t="shared" si="128"/>
        <v/>
      </c>
      <c r="AN962" t="e">
        <f t="shared" si="129"/>
        <v>#VALUE!</v>
      </c>
      <c r="AO962" t="e">
        <f t="shared" si="130"/>
        <v>#VALUE!</v>
      </c>
    </row>
    <row r="963" spans="1:41">
      <c r="A963">
        <f t="shared" si="135"/>
        <v>959</v>
      </c>
      <c r="B963" t="s">
        <v>266</v>
      </c>
      <c r="C963">
        <v>2</v>
      </c>
      <c r="D963">
        <v>2</v>
      </c>
      <c r="E963" t="s">
        <v>387</v>
      </c>
      <c r="F963">
        <v>412</v>
      </c>
      <c r="G963">
        <v>2</v>
      </c>
      <c r="H963">
        <v>98</v>
      </c>
      <c r="I963" t="s">
        <v>386</v>
      </c>
      <c r="J963" t="s">
        <v>386</v>
      </c>
      <c r="K963">
        <v>1000000</v>
      </c>
      <c r="L963">
        <v>5169</v>
      </c>
      <c r="M963">
        <v>5169</v>
      </c>
      <c r="N963">
        <v>6540</v>
      </c>
      <c r="O963">
        <v>0</v>
      </c>
      <c r="P963">
        <v>364</v>
      </c>
      <c r="Q963">
        <v>0</v>
      </c>
      <c r="R963" t="s">
        <v>386</v>
      </c>
      <c r="S963" t="s">
        <v>386</v>
      </c>
      <c r="T963" t="s">
        <v>386</v>
      </c>
      <c r="U963">
        <v>6757</v>
      </c>
      <c r="V963">
        <v>469.72028684999998</v>
      </c>
      <c r="AH963">
        <f t="shared" si="131"/>
        <v>5169</v>
      </c>
      <c r="AI963">
        <f t="shared" si="132"/>
        <v>6540</v>
      </c>
      <c r="AJ963" t="str">
        <f t="shared" si="133"/>
        <v/>
      </c>
      <c r="AK963">
        <f t="shared" si="134"/>
        <v>364</v>
      </c>
      <c r="AL963" t="str">
        <f t="shared" si="127"/>
        <v/>
      </c>
      <c r="AM963" t="e">
        <f t="shared" si="128"/>
        <v>#VALUE!</v>
      </c>
      <c r="AN963" t="e">
        <f t="shared" si="129"/>
        <v>#VALUE!</v>
      </c>
      <c r="AO963" t="e">
        <f t="shared" si="130"/>
        <v>#VALUE!</v>
      </c>
    </row>
    <row r="964" spans="1:41">
      <c r="A964">
        <f t="shared" si="135"/>
        <v>960</v>
      </c>
      <c r="B964" t="s">
        <v>266</v>
      </c>
      <c r="C964">
        <v>1</v>
      </c>
      <c r="D964">
        <v>1</v>
      </c>
      <c r="E964" t="s">
        <v>387</v>
      </c>
      <c r="F964">
        <v>412</v>
      </c>
      <c r="G964">
        <v>2</v>
      </c>
      <c r="H964">
        <v>99</v>
      </c>
      <c r="I964" t="s">
        <v>386</v>
      </c>
      <c r="J964" t="s">
        <v>386</v>
      </c>
      <c r="K964">
        <v>1000000</v>
      </c>
      <c r="L964">
        <v>5200</v>
      </c>
      <c r="M964">
        <v>5200</v>
      </c>
      <c r="N964">
        <v>6604</v>
      </c>
      <c r="O964">
        <v>0</v>
      </c>
      <c r="P964">
        <v>0</v>
      </c>
      <c r="Q964" t="s">
        <v>386</v>
      </c>
      <c r="R964" t="s">
        <v>386</v>
      </c>
      <c r="S964" t="s">
        <v>386</v>
      </c>
      <c r="T964" t="s">
        <v>386</v>
      </c>
      <c r="U964">
        <v>3687</v>
      </c>
      <c r="V964">
        <v>470.75014770000001</v>
      </c>
      <c r="AH964">
        <f t="shared" si="131"/>
        <v>5200</v>
      </c>
      <c r="AI964">
        <f t="shared" si="132"/>
        <v>6604</v>
      </c>
      <c r="AJ964" t="str">
        <f t="shared" si="133"/>
        <v/>
      </c>
      <c r="AK964" t="str">
        <f t="shared" si="134"/>
        <v/>
      </c>
      <c r="AL964" t="e">
        <f t="shared" si="127"/>
        <v>#VALUE!</v>
      </c>
      <c r="AM964" t="e">
        <f t="shared" si="128"/>
        <v>#VALUE!</v>
      </c>
      <c r="AN964" t="e">
        <f t="shared" si="129"/>
        <v>#VALUE!</v>
      </c>
      <c r="AO964" t="e">
        <f t="shared" si="130"/>
        <v>#VALUE!</v>
      </c>
    </row>
    <row r="965" spans="1:41">
      <c r="A965">
        <f t="shared" si="135"/>
        <v>961</v>
      </c>
      <c r="B965" t="s">
        <v>277</v>
      </c>
      <c r="C965">
        <v>5</v>
      </c>
      <c r="D965">
        <v>5</v>
      </c>
      <c r="E965" t="s">
        <v>385</v>
      </c>
      <c r="F965">
        <v>412</v>
      </c>
      <c r="G965">
        <v>1</v>
      </c>
      <c r="H965">
        <v>30</v>
      </c>
      <c r="I965" t="s">
        <v>386</v>
      </c>
      <c r="J965" t="s">
        <v>386</v>
      </c>
      <c r="K965">
        <v>1000000</v>
      </c>
      <c r="L965">
        <v>39</v>
      </c>
      <c r="M965">
        <v>39</v>
      </c>
      <c r="N965">
        <v>110</v>
      </c>
      <c r="O965">
        <v>0</v>
      </c>
      <c r="P965">
        <v>96</v>
      </c>
      <c r="Q965">
        <v>159</v>
      </c>
      <c r="R965">
        <v>173</v>
      </c>
      <c r="S965">
        <v>123</v>
      </c>
      <c r="T965">
        <v>0</v>
      </c>
      <c r="U965">
        <v>2977</v>
      </c>
      <c r="V965">
        <v>3405.73565194</v>
      </c>
      <c r="AH965">
        <f t="shared" si="131"/>
        <v>39</v>
      </c>
      <c r="AI965">
        <f t="shared" si="132"/>
        <v>110</v>
      </c>
      <c r="AJ965" t="str">
        <f t="shared" si="133"/>
        <v/>
      </c>
      <c r="AK965">
        <f t="shared" si="134"/>
        <v>96</v>
      </c>
      <c r="AL965">
        <f t="shared" ref="AL965:AL1028" si="136">IF(Q965=AC965, "", Q965-AC965)</f>
        <v>159</v>
      </c>
      <c r="AM965">
        <f t="shared" ref="AM965:AM1028" si="137">IF(R965=AD965, "", R965-AD965)</f>
        <v>173</v>
      </c>
      <c r="AN965">
        <f t="shared" ref="AN965:AN1028" si="138">IF(S965=AE965, "", S965-AE965)</f>
        <v>123</v>
      </c>
      <c r="AO965" t="str">
        <f t="shared" ref="AO965:AO1028" si="139">IF(T965=AF965, "", T965-AF965)</f>
        <v/>
      </c>
    </row>
    <row r="966" spans="1:41">
      <c r="A966">
        <f t="shared" si="135"/>
        <v>962</v>
      </c>
      <c r="B966" t="s">
        <v>277</v>
      </c>
      <c r="C966">
        <v>5</v>
      </c>
      <c r="D966">
        <v>5</v>
      </c>
      <c r="E966" t="s">
        <v>385</v>
      </c>
      <c r="F966">
        <v>412</v>
      </c>
      <c r="G966">
        <v>1</v>
      </c>
      <c r="H966">
        <v>31</v>
      </c>
      <c r="I966" t="s">
        <v>386</v>
      </c>
      <c r="J966" t="s">
        <v>386</v>
      </c>
      <c r="K966">
        <v>1000000</v>
      </c>
      <c r="L966">
        <v>44</v>
      </c>
      <c r="M966">
        <v>44</v>
      </c>
      <c r="N966">
        <v>116</v>
      </c>
      <c r="O966">
        <v>0</v>
      </c>
      <c r="P966">
        <v>119</v>
      </c>
      <c r="Q966">
        <v>191</v>
      </c>
      <c r="R966">
        <v>199</v>
      </c>
      <c r="S966">
        <v>137</v>
      </c>
      <c r="T966">
        <v>0</v>
      </c>
      <c r="U966">
        <v>3009</v>
      </c>
      <c r="V966">
        <v>3409.2260328699999</v>
      </c>
      <c r="AH966">
        <f t="shared" ref="AH966:AH1029" si="140">IF(L966=Y966, "",L966-Y966)</f>
        <v>44</v>
      </c>
      <c r="AI966">
        <f t="shared" ref="AI966:AI1029" si="141">IF(N966=Z966, "", N966-Z966)</f>
        <v>116</v>
      </c>
      <c r="AJ966" t="str">
        <f t="shared" ref="AJ966:AJ1029" si="142">IF(O966=AA966, "", O966-AA966)</f>
        <v/>
      </c>
      <c r="AK966">
        <f t="shared" ref="AK966:AK1029" si="143">IF(P966=AB966, "", P966-AB966)</f>
        <v>119</v>
      </c>
      <c r="AL966">
        <f t="shared" si="136"/>
        <v>191</v>
      </c>
      <c r="AM966">
        <f t="shared" si="137"/>
        <v>199</v>
      </c>
      <c r="AN966">
        <f t="shared" si="138"/>
        <v>137</v>
      </c>
      <c r="AO966" t="str">
        <f t="shared" si="139"/>
        <v/>
      </c>
    </row>
    <row r="967" spans="1:41">
      <c r="A967">
        <f t="shared" ref="A967:A1030" si="144">A966+1</f>
        <v>963</v>
      </c>
      <c r="B967" t="s">
        <v>277</v>
      </c>
      <c r="C967">
        <v>5</v>
      </c>
      <c r="D967">
        <v>5</v>
      </c>
      <c r="E967" t="s">
        <v>385</v>
      </c>
      <c r="F967">
        <v>412</v>
      </c>
      <c r="G967">
        <v>1</v>
      </c>
      <c r="H967">
        <v>32</v>
      </c>
      <c r="I967" t="s">
        <v>386</v>
      </c>
      <c r="J967" t="s">
        <v>386</v>
      </c>
      <c r="K967">
        <v>1000000</v>
      </c>
      <c r="L967">
        <v>49</v>
      </c>
      <c r="M967">
        <v>49</v>
      </c>
      <c r="N967">
        <v>124</v>
      </c>
      <c r="O967">
        <v>0</v>
      </c>
      <c r="P967">
        <v>135</v>
      </c>
      <c r="Q967">
        <v>209</v>
      </c>
      <c r="R967">
        <v>214</v>
      </c>
      <c r="S967">
        <v>146</v>
      </c>
      <c r="T967">
        <v>0</v>
      </c>
      <c r="U967">
        <v>3046</v>
      </c>
      <c r="V967">
        <v>3413.01763682</v>
      </c>
      <c r="AH967">
        <f t="shared" si="140"/>
        <v>49</v>
      </c>
      <c r="AI967">
        <f t="shared" si="141"/>
        <v>124</v>
      </c>
      <c r="AJ967" t="str">
        <f t="shared" si="142"/>
        <v/>
      </c>
      <c r="AK967">
        <f t="shared" si="143"/>
        <v>135</v>
      </c>
      <c r="AL967">
        <f t="shared" si="136"/>
        <v>209</v>
      </c>
      <c r="AM967">
        <f t="shared" si="137"/>
        <v>214</v>
      </c>
      <c r="AN967">
        <f t="shared" si="138"/>
        <v>146</v>
      </c>
      <c r="AO967" t="str">
        <f t="shared" si="139"/>
        <v/>
      </c>
    </row>
    <row r="968" spans="1:41">
      <c r="A968">
        <f t="shared" si="144"/>
        <v>964</v>
      </c>
      <c r="B968" t="s">
        <v>277</v>
      </c>
      <c r="C968">
        <v>5</v>
      </c>
      <c r="D968">
        <v>5</v>
      </c>
      <c r="E968" t="s">
        <v>385</v>
      </c>
      <c r="F968">
        <v>412</v>
      </c>
      <c r="G968">
        <v>1</v>
      </c>
      <c r="H968">
        <v>33</v>
      </c>
      <c r="I968" t="s">
        <v>386</v>
      </c>
      <c r="J968" t="s">
        <v>386</v>
      </c>
      <c r="K968">
        <v>1000000</v>
      </c>
      <c r="L968">
        <v>55</v>
      </c>
      <c r="M968">
        <v>55</v>
      </c>
      <c r="N968">
        <v>132</v>
      </c>
      <c r="O968">
        <v>0</v>
      </c>
      <c r="P968">
        <v>143</v>
      </c>
      <c r="Q968">
        <v>218</v>
      </c>
      <c r="R968">
        <v>223</v>
      </c>
      <c r="S968">
        <v>151</v>
      </c>
      <c r="T968">
        <v>0</v>
      </c>
      <c r="U968">
        <v>3086</v>
      </c>
      <c r="V968">
        <v>3417.0524573500002</v>
      </c>
      <c r="AH968">
        <f t="shared" si="140"/>
        <v>55</v>
      </c>
      <c r="AI968">
        <f t="shared" si="141"/>
        <v>132</v>
      </c>
      <c r="AJ968" t="str">
        <f t="shared" si="142"/>
        <v/>
      </c>
      <c r="AK968">
        <f t="shared" si="143"/>
        <v>143</v>
      </c>
      <c r="AL968">
        <f t="shared" si="136"/>
        <v>218</v>
      </c>
      <c r="AM968">
        <f t="shared" si="137"/>
        <v>223</v>
      </c>
      <c r="AN968">
        <f t="shared" si="138"/>
        <v>151</v>
      </c>
      <c r="AO968" t="str">
        <f t="shared" si="139"/>
        <v/>
      </c>
    </row>
    <row r="969" spans="1:41">
      <c r="A969">
        <f t="shared" si="144"/>
        <v>965</v>
      </c>
      <c r="B969" t="s">
        <v>277</v>
      </c>
      <c r="C969">
        <v>5</v>
      </c>
      <c r="D969">
        <v>5</v>
      </c>
      <c r="E969" t="s">
        <v>385</v>
      </c>
      <c r="F969">
        <v>412</v>
      </c>
      <c r="G969">
        <v>1</v>
      </c>
      <c r="H969">
        <v>34</v>
      </c>
      <c r="I969" t="s">
        <v>386</v>
      </c>
      <c r="J969" t="s">
        <v>386</v>
      </c>
      <c r="K969">
        <v>1000000</v>
      </c>
      <c r="L969">
        <v>62</v>
      </c>
      <c r="M969">
        <v>62</v>
      </c>
      <c r="N969">
        <v>140</v>
      </c>
      <c r="O969">
        <v>0</v>
      </c>
      <c r="P969">
        <v>149</v>
      </c>
      <c r="Q969">
        <v>229</v>
      </c>
      <c r="R969">
        <v>235</v>
      </c>
      <c r="S969">
        <v>163</v>
      </c>
      <c r="T969">
        <v>0</v>
      </c>
      <c r="U969">
        <v>3128</v>
      </c>
      <c r="V969">
        <v>3421.6715484900001</v>
      </c>
      <c r="AH969">
        <f t="shared" si="140"/>
        <v>62</v>
      </c>
      <c r="AI969">
        <f t="shared" si="141"/>
        <v>140</v>
      </c>
      <c r="AJ969" t="str">
        <f t="shared" si="142"/>
        <v/>
      </c>
      <c r="AK969">
        <f t="shared" si="143"/>
        <v>149</v>
      </c>
      <c r="AL969">
        <f t="shared" si="136"/>
        <v>229</v>
      </c>
      <c r="AM969">
        <f t="shared" si="137"/>
        <v>235</v>
      </c>
      <c r="AN969">
        <f t="shared" si="138"/>
        <v>163</v>
      </c>
      <c r="AO969" t="str">
        <f t="shared" si="139"/>
        <v/>
      </c>
    </row>
    <row r="970" spans="1:41">
      <c r="A970">
        <f t="shared" si="144"/>
        <v>966</v>
      </c>
      <c r="B970" t="s">
        <v>277</v>
      </c>
      <c r="C970">
        <v>5</v>
      </c>
      <c r="D970">
        <v>5</v>
      </c>
      <c r="E970" t="s">
        <v>385</v>
      </c>
      <c r="F970">
        <v>412</v>
      </c>
      <c r="G970">
        <v>1</v>
      </c>
      <c r="H970">
        <v>35</v>
      </c>
      <c r="I970" t="s">
        <v>386</v>
      </c>
      <c r="J970" t="s">
        <v>386</v>
      </c>
      <c r="K970">
        <v>1000000</v>
      </c>
      <c r="L970">
        <v>68</v>
      </c>
      <c r="M970">
        <v>68</v>
      </c>
      <c r="N970">
        <v>149</v>
      </c>
      <c r="O970">
        <v>0</v>
      </c>
      <c r="P970">
        <v>159</v>
      </c>
      <c r="Q970">
        <v>246</v>
      </c>
      <c r="R970">
        <v>257</v>
      </c>
      <c r="S970">
        <v>179</v>
      </c>
      <c r="T970">
        <v>0</v>
      </c>
      <c r="U970">
        <v>3173</v>
      </c>
      <c r="V970">
        <v>3426.86473019</v>
      </c>
      <c r="AH970">
        <f t="shared" si="140"/>
        <v>68</v>
      </c>
      <c r="AI970">
        <f t="shared" si="141"/>
        <v>149</v>
      </c>
      <c r="AJ970" t="str">
        <f t="shared" si="142"/>
        <v/>
      </c>
      <c r="AK970">
        <f t="shared" si="143"/>
        <v>159</v>
      </c>
      <c r="AL970">
        <f t="shared" si="136"/>
        <v>246</v>
      </c>
      <c r="AM970">
        <f t="shared" si="137"/>
        <v>257</v>
      </c>
      <c r="AN970">
        <f t="shared" si="138"/>
        <v>179</v>
      </c>
      <c r="AO970" t="str">
        <f t="shared" si="139"/>
        <v/>
      </c>
    </row>
    <row r="971" spans="1:41">
      <c r="A971">
        <f t="shared" si="144"/>
        <v>967</v>
      </c>
      <c r="B971" t="s">
        <v>277</v>
      </c>
      <c r="C971">
        <v>5</v>
      </c>
      <c r="D971">
        <v>5</v>
      </c>
      <c r="E971" t="s">
        <v>385</v>
      </c>
      <c r="F971">
        <v>412</v>
      </c>
      <c r="G971">
        <v>1</v>
      </c>
      <c r="H971">
        <v>36</v>
      </c>
      <c r="I971" t="s">
        <v>386</v>
      </c>
      <c r="J971" t="s">
        <v>386</v>
      </c>
      <c r="K971">
        <v>1000000</v>
      </c>
      <c r="L971">
        <v>76</v>
      </c>
      <c r="M971">
        <v>76</v>
      </c>
      <c r="N971">
        <v>159</v>
      </c>
      <c r="O971">
        <v>0</v>
      </c>
      <c r="P971">
        <v>173</v>
      </c>
      <c r="Q971">
        <v>272</v>
      </c>
      <c r="R971">
        <v>285</v>
      </c>
      <c r="S971">
        <v>199</v>
      </c>
      <c r="T971">
        <v>0</v>
      </c>
      <c r="U971">
        <v>3223</v>
      </c>
      <c r="V971">
        <v>3433.0752518499999</v>
      </c>
      <c r="AH971">
        <f t="shared" si="140"/>
        <v>76</v>
      </c>
      <c r="AI971">
        <f t="shared" si="141"/>
        <v>159</v>
      </c>
      <c r="AJ971" t="str">
        <f t="shared" si="142"/>
        <v/>
      </c>
      <c r="AK971">
        <f t="shared" si="143"/>
        <v>173</v>
      </c>
      <c r="AL971">
        <f t="shared" si="136"/>
        <v>272</v>
      </c>
      <c r="AM971">
        <f t="shared" si="137"/>
        <v>285</v>
      </c>
      <c r="AN971">
        <f t="shared" si="138"/>
        <v>199</v>
      </c>
      <c r="AO971" t="str">
        <f t="shared" si="139"/>
        <v/>
      </c>
    </row>
    <row r="972" spans="1:41">
      <c r="A972">
        <f t="shared" si="144"/>
        <v>968</v>
      </c>
      <c r="B972" t="s">
        <v>277</v>
      </c>
      <c r="C972">
        <v>5</v>
      </c>
      <c r="D972">
        <v>5</v>
      </c>
      <c r="E972" t="s">
        <v>385</v>
      </c>
      <c r="F972">
        <v>412</v>
      </c>
      <c r="G972">
        <v>1</v>
      </c>
      <c r="H972">
        <v>37</v>
      </c>
      <c r="I972" t="s">
        <v>386</v>
      </c>
      <c r="J972" t="s">
        <v>386</v>
      </c>
      <c r="K972">
        <v>1000000</v>
      </c>
      <c r="L972">
        <v>84</v>
      </c>
      <c r="M972">
        <v>84</v>
      </c>
      <c r="N972">
        <v>170</v>
      </c>
      <c r="O972">
        <v>0</v>
      </c>
      <c r="P972">
        <v>194</v>
      </c>
      <c r="Q972">
        <v>304</v>
      </c>
      <c r="R972">
        <v>318</v>
      </c>
      <c r="S972">
        <v>222</v>
      </c>
      <c r="T972">
        <v>0</v>
      </c>
      <c r="U972">
        <v>3278</v>
      </c>
      <c r="V972">
        <v>3440.6511452200002</v>
      </c>
      <c r="AH972">
        <f t="shared" si="140"/>
        <v>84</v>
      </c>
      <c r="AI972">
        <f t="shared" si="141"/>
        <v>170</v>
      </c>
      <c r="AJ972" t="str">
        <f t="shared" si="142"/>
        <v/>
      </c>
      <c r="AK972">
        <f t="shared" si="143"/>
        <v>194</v>
      </c>
      <c r="AL972">
        <f t="shared" si="136"/>
        <v>304</v>
      </c>
      <c r="AM972">
        <f t="shared" si="137"/>
        <v>318</v>
      </c>
      <c r="AN972">
        <f t="shared" si="138"/>
        <v>222</v>
      </c>
      <c r="AO972" t="str">
        <f t="shared" si="139"/>
        <v/>
      </c>
    </row>
    <row r="973" spans="1:41">
      <c r="A973">
        <f t="shared" si="144"/>
        <v>969</v>
      </c>
      <c r="B973" t="s">
        <v>277</v>
      </c>
      <c r="C973">
        <v>5</v>
      </c>
      <c r="D973">
        <v>5</v>
      </c>
      <c r="E973" t="s">
        <v>385</v>
      </c>
      <c r="F973">
        <v>412</v>
      </c>
      <c r="G973">
        <v>1</v>
      </c>
      <c r="H973">
        <v>38</v>
      </c>
      <c r="I973" t="s">
        <v>386</v>
      </c>
      <c r="J973" t="s">
        <v>386</v>
      </c>
      <c r="K973">
        <v>1000000</v>
      </c>
      <c r="L973">
        <v>93</v>
      </c>
      <c r="M973">
        <v>93</v>
      </c>
      <c r="N973">
        <v>183</v>
      </c>
      <c r="O973">
        <v>0</v>
      </c>
      <c r="P973">
        <v>216</v>
      </c>
      <c r="Q973">
        <v>338</v>
      </c>
      <c r="R973">
        <v>353</v>
      </c>
      <c r="S973">
        <v>245</v>
      </c>
      <c r="T973">
        <v>0</v>
      </c>
      <c r="U973">
        <v>3338</v>
      </c>
      <c r="V973">
        <v>3449.7082173200001</v>
      </c>
      <c r="AH973">
        <f t="shared" si="140"/>
        <v>93</v>
      </c>
      <c r="AI973">
        <f t="shared" si="141"/>
        <v>183</v>
      </c>
      <c r="AJ973" t="str">
        <f t="shared" si="142"/>
        <v/>
      </c>
      <c r="AK973">
        <f t="shared" si="143"/>
        <v>216</v>
      </c>
      <c r="AL973">
        <f t="shared" si="136"/>
        <v>338</v>
      </c>
      <c r="AM973">
        <f t="shared" si="137"/>
        <v>353</v>
      </c>
      <c r="AN973">
        <f t="shared" si="138"/>
        <v>245</v>
      </c>
      <c r="AO973" t="str">
        <f t="shared" si="139"/>
        <v/>
      </c>
    </row>
    <row r="974" spans="1:41">
      <c r="A974">
        <f t="shared" si="144"/>
        <v>970</v>
      </c>
      <c r="B974" t="s">
        <v>277</v>
      </c>
      <c r="C974">
        <v>5</v>
      </c>
      <c r="D974">
        <v>5</v>
      </c>
      <c r="E974" t="s">
        <v>385</v>
      </c>
      <c r="F974">
        <v>412</v>
      </c>
      <c r="G974">
        <v>1</v>
      </c>
      <c r="H974">
        <v>39</v>
      </c>
      <c r="I974" t="s">
        <v>386</v>
      </c>
      <c r="J974" t="s">
        <v>386</v>
      </c>
      <c r="K974">
        <v>1000000</v>
      </c>
      <c r="L974">
        <v>103</v>
      </c>
      <c r="M974">
        <v>103</v>
      </c>
      <c r="N974">
        <v>196</v>
      </c>
      <c r="O974">
        <v>0</v>
      </c>
      <c r="P974">
        <v>239</v>
      </c>
      <c r="Q974">
        <v>373</v>
      </c>
      <c r="R974">
        <v>388</v>
      </c>
      <c r="S974">
        <v>269</v>
      </c>
      <c r="T974">
        <v>0</v>
      </c>
      <c r="U974">
        <v>3405</v>
      </c>
      <c r="V974">
        <v>3460.3872473400002</v>
      </c>
      <c r="AH974">
        <f t="shared" si="140"/>
        <v>103</v>
      </c>
      <c r="AI974">
        <f t="shared" si="141"/>
        <v>196</v>
      </c>
      <c r="AJ974" t="str">
        <f t="shared" si="142"/>
        <v/>
      </c>
      <c r="AK974">
        <f t="shared" si="143"/>
        <v>239</v>
      </c>
      <c r="AL974">
        <f t="shared" si="136"/>
        <v>373</v>
      </c>
      <c r="AM974">
        <f t="shared" si="137"/>
        <v>388</v>
      </c>
      <c r="AN974">
        <f t="shared" si="138"/>
        <v>269</v>
      </c>
      <c r="AO974" t="str">
        <f t="shared" si="139"/>
        <v/>
      </c>
    </row>
    <row r="975" spans="1:41">
      <c r="A975">
        <f t="shared" si="144"/>
        <v>971</v>
      </c>
      <c r="B975" t="s">
        <v>277</v>
      </c>
      <c r="C975">
        <v>5</v>
      </c>
      <c r="D975">
        <v>5</v>
      </c>
      <c r="E975" t="s">
        <v>385</v>
      </c>
      <c r="F975">
        <v>412</v>
      </c>
      <c r="G975">
        <v>1</v>
      </c>
      <c r="H975">
        <v>40</v>
      </c>
      <c r="I975" t="s">
        <v>386</v>
      </c>
      <c r="J975" t="s">
        <v>386</v>
      </c>
      <c r="K975">
        <v>1000000</v>
      </c>
      <c r="L975">
        <v>114</v>
      </c>
      <c r="M975">
        <v>114</v>
      </c>
      <c r="N975">
        <v>211</v>
      </c>
      <c r="O975">
        <v>0</v>
      </c>
      <c r="P975">
        <v>264</v>
      </c>
      <c r="Q975">
        <v>412</v>
      </c>
      <c r="R975">
        <v>430</v>
      </c>
      <c r="S975">
        <v>301</v>
      </c>
      <c r="T975">
        <v>0</v>
      </c>
      <c r="U975">
        <v>3480</v>
      </c>
      <c r="V975">
        <v>3472.5633850099998</v>
      </c>
      <c r="AH975">
        <f t="shared" si="140"/>
        <v>114</v>
      </c>
      <c r="AI975">
        <f t="shared" si="141"/>
        <v>211</v>
      </c>
      <c r="AJ975" t="str">
        <f t="shared" si="142"/>
        <v/>
      </c>
      <c r="AK975">
        <f t="shared" si="143"/>
        <v>264</v>
      </c>
      <c r="AL975">
        <f t="shared" si="136"/>
        <v>412</v>
      </c>
      <c r="AM975">
        <f t="shared" si="137"/>
        <v>430</v>
      </c>
      <c r="AN975">
        <f t="shared" si="138"/>
        <v>301</v>
      </c>
      <c r="AO975" t="str">
        <f t="shared" si="139"/>
        <v/>
      </c>
    </row>
    <row r="976" spans="1:41">
      <c r="A976">
        <f t="shared" si="144"/>
        <v>972</v>
      </c>
      <c r="B976" t="s">
        <v>277</v>
      </c>
      <c r="C976">
        <v>5</v>
      </c>
      <c r="D976">
        <v>5</v>
      </c>
      <c r="E976" t="s">
        <v>385</v>
      </c>
      <c r="F976">
        <v>412</v>
      </c>
      <c r="G976">
        <v>1</v>
      </c>
      <c r="H976">
        <v>41</v>
      </c>
      <c r="I976" t="s">
        <v>386</v>
      </c>
      <c r="J976" t="s">
        <v>386</v>
      </c>
      <c r="K976">
        <v>1000000</v>
      </c>
      <c r="L976">
        <v>127</v>
      </c>
      <c r="M976">
        <v>127</v>
      </c>
      <c r="N976">
        <v>228</v>
      </c>
      <c r="O976">
        <v>0</v>
      </c>
      <c r="P976">
        <v>293</v>
      </c>
      <c r="Q976">
        <v>460</v>
      </c>
      <c r="R976">
        <v>483</v>
      </c>
      <c r="S976">
        <v>339</v>
      </c>
      <c r="T976">
        <v>0</v>
      </c>
      <c r="U976">
        <v>3563</v>
      </c>
      <c r="V976">
        <v>3485.9429144699998</v>
      </c>
      <c r="AH976">
        <f t="shared" si="140"/>
        <v>127</v>
      </c>
      <c r="AI976">
        <f t="shared" si="141"/>
        <v>228</v>
      </c>
      <c r="AJ976" t="str">
        <f t="shared" si="142"/>
        <v/>
      </c>
      <c r="AK976">
        <f t="shared" si="143"/>
        <v>293</v>
      </c>
      <c r="AL976">
        <f t="shared" si="136"/>
        <v>460</v>
      </c>
      <c r="AM976">
        <f t="shared" si="137"/>
        <v>483</v>
      </c>
      <c r="AN976">
        <f t="shared" si="138"/>
        <v>339</v>
      </c>
      <c r="AO976" t="str">
        <f t="shared" si="139"/>
        <v/>
      </c>
    </row>
    <row r="977" spans="1:41">
      <c r="A977">
        <f t="shared" si="144"/>
        <v>973</v>
      </c>
      <c r="B977" t="s">
        <v>277</v>
      </c>
      <c r="C977">
        <v>5</v>
      </c>
      <c r="D977">
        <v>5</v>
      </c>
      <c r="E977" t="s">
        <v>385</v>
      </c>
      <c r="F977">
        <v>412</v>
      </c>
      <c r="G977">
        <v>1</v>
      </c>
      <c r="H977">
        <v>42</v>
      </c>
      <c r="I977" t="s">
        <v>386</v>
      </c>
      <c r="J977" t="s">
        <v>386</v>
      </c>
      <c r="K977">
        <v>1000000</v>
      </c>
      <c r="L977">
        <v>141</v>
      </c>
      <c r="M977">
        <v>141</v>
      </c>
      <c r="N977">
        <v>247</v>
      </c>
      <c r="O977">
        <v>0</v>
      </c>
      <c r="P977">
        <v>329</v>
      </c>
      <c r="Q977">
        <v>519</v>
      </c>
      <c r="R977">
        <v>547</v>
      </c>
      <c r="S977">
        <v>383</v>
      </c>
      <c r="T977">
        <v>0</v>
      </c>
      <c r="U977">
        <v>3657</v>
      </c>
      <c r="V977">
        <v>3500.2247006900002</v>
      </c>
      <c r="AH977">
        <f t="shared" si="140"/>
        <v>141</v>
      </c>
      <c r="AI977">
        <f t="shared" si="141"/>
        <v>247</v>
      </c>
      <c r="AJ977" t="str">
        <f t="shared" si="142"/>
        <v/>
      </c>
      <c r="AK977">
        <f t="shared" si="143"/>
        <v>329</v>
      </c>
      <c r="AL977">
        <f t="shared" si="136"/>
        <v>519</v>
      </c>
      <c r="AM977">
        <f t="shared" si="137"/>
        <v>547</v>
      </c>
      <c r="AN977">
        <f t="shared" si="138"/>
        <v>383</v>
      </c>
      <c r="AO977" t="str">
        <f t="shared" si="139"/>
        <v/>
      </c>
    </row>
    <row r="978" spans="1:41">
      <c r="A978">
        <f t="shared" si="144"/>
        <v>974</v>
      </c>
      <c r="B978" t="s">
        <v>277</v>
      </c>
      <c r="C978">
        <v>5</v>
      </c>
      <c r="D978">
        <v>5</v>
      </c>
      <c r="E978" t="s">
        <v>385</v>
      </c>
      <c r="F978">
        <v>412</v>
      </c>
      <c r="G978">
        <v>1</v>
      </c>
      <c r="H978">
        <v>43</v>
      </c>
      <c r="I978" t="s">
        <v>386</v>
      </c>
      <c r="J978" t="s">
        <v>386</v>
      </c>
      <c r="K978">
        <v>1000000</v>
      </c>
      <c r="L978">
        <v>157</v>
      </c>
      <c r="M978">
        <v>157</v>
      </c>
      <c r="N978">
        <v>268</v>
      </c>
      <c r="O978">
        <v>0</v>
      </c>
      <c r="P978">
        <v>374</v>
      </c>
      <c r="Q978">
        <v>589</v>
      </c>
      <c r="R978">
        <v>619</v>
      </c>
      <c r="S978">
        <v>434</v>
      </c>
      <c r="T978">
        <v>0</v>
      </c>
      <c r="U978">
        <v>3762</v>
      </c>
      <c r="V978">
        <v>3515.31279623</v>
      </c>
      <c r="AH978">
        <f t="shared" si="140"/>
        <v>157</v>
      </c>
      <c r="AI978">
        <f t="shared" si="141"/>
        <v>268</v>
      </c>
      <c r="AJ978" t="str">
        <f t="shared" si="142"/>
        <v/>
      </c>
      <c r="AK978">
        <f t="shared" si="143"/>
        <v>374</v>
      </c>
      <c r="AL978">
        <f t="shared" si="136"/>
        <v>589</v>
      </c>
      <c r="AM978">
        <f t="shared" si="137"/>
        <v>619</v>
      </c>
      <c r="AN978">
        <f t="shared" si="138"/>
        <v>434</v>
      </c>
      <c r="AO978" t="str">
        <f t="shared" si="139"/>
        <v/>
      </c>
    </row>
    <row r="979" spans="1:41">
      <c r="A979">
        <f t="shared" si="144"/>
        <v>975</v>
      </c>
      <c r="B979" t="s">
        <v>277</v>
      </c>
      <c r="C979">
        <v>5</v>
      </c>
      <c r="D979">
        <v>5</v>
      </c>
      <c r="E979" t="s">
        <v>385</v>
      </c>
      <c r="F979">
        <v>412</v>
      </c>
      <c r="G979">
        <v>1</v>
      </c>
      <c r="H979">
        <v>44</v>
      </c>
      <c r="I979" t="s">
        <v>386</v>
      </c>
      <c r="J979" t="s">
        <v>386</v>
      </c>
      <c r="K979">
        <v>1000000</v>
      </c>
      <c r="L979">
        <v>174</v>
      </c>
      <c r="M979">
        <v>174</v>
      </c>
      <c r="N979">
        <v>292</v>
      </c>
      <c r="O979">
        <v>0</v>
      </c>
      <c r="P979">
        <v>422</v>
      </c>
      <c r="Q979">
        <v>664</v>
      </c>
      <c r="R979">
        <v>697</v>
      </c>
      <c r="S979">
        <v>487</v>
      </c>
      <c r="T979">
        <v>0</v>
      </c>
      <c r="U979">
        <v>3881</v>
      </c>
      <c r="V979">
        <v>3531.5464654100001</v>
      </c>
      <c r="AH979">
        <f t="shared" si="140"/>
        <v>174</v>
      </c>
      <c r="AI979">
        <f t="shared" si="141"/>
        <v>292</v>
      </c>
      <c r="AJ979" t="str">
        <f t="shared" si="142"/>
        <v/>
      </c>
      <c r="AK979">
        <f t="shared" si="143"/>
        <v>422</v>
      </c>
      <c r="AL979">
        <f t="shared" si="136"/>
        <v>664</v>
      </c>
      <c r="AM979">
        <f t="shared" si="137"/>
        <v>697</v>
      </c>
      <c r="AN979">
        <f t="shared" si="138"/>
        <v>487</v>
      </c>
      <c r="AO979" t="str">
        <f t="shared" si="139"/>
        <v/>
      </c>
    </row>
    <row r="980" spans="1:41">
      <c r="A980">
        <f t="shared" si="144"/>
        <v>976</v>
      </c>
      <c r="B980" t="s">
        <v>277</v>
      </c>
      <c r="C980">
        <v>5</v>
      </c>
      <c r="D980">
        <v>5</v>
      </c>
      <c r="E980" t="s">
        <v>385</v>
      </c>
      <c r="F980">
        <v>412</v>
      </c>
      <c r="G980">
        <v>1</v>
      </c>
      <c r="H980">
        <v>45</v>
      </c>
      <c r="I980" t="s">
        <v>386</v>
      </c>
      <c r="J980" t="s">
        <v>386</v>
      </c>
      <c r="K980">
        <v>1000000</v>
      </c>
      <c r="L980">
        <v>194</v>
      </c>
      <c r="M980">
        <v>194</v>
      </c>
      <c r="N980">
        <v>319</v>
      </c>
      <c r="O980">
        <v>0</v>
      </c>
      <c r="P980">
        <v>474</v>
      </c>
      <c r="Q980">
        <v>745</v>
      </c>
      <c r="R980">
        <v>780</v>
      </c>
      <c r="S980">
        <v>545</v>
      </c>
      <c r="T980">
        <v>0</v>
      </c>
      <c r="U980">
        <v>4014</v>
      </c>
      <c r="V980">
        <v>3549.4644538399998</v>
      </c>
      <c r="AH980">
        <f t="shared" si="140"/>
        <v>194</v>
      </c>
      <c r="AI980">
        <f t="shared" si="141"/>
        <v>319</v>
      </c>
      <c r="AJ980" t="str">
        <f t="shared" si="142"/>
        <v/>
      </c>
      <c r="AK980">
        <f t="shared" si="143"/>
        <v>474</v>
      </c>
      <c r="AL980">
        <f t="shared" si="136"/>
        <v>745</v>
      </c>
      <c r="AM980">
        <f t="shared" si="137"/>
        <v>780</v>
      </c>
      <c r="AN980">
        <f t="shared" si="138"/>
        <v>545</v>
      </c>
      <c r="AO980" t="str">
        <f t="shared" si="139"/>
        <v/>
      </c>
    </row>
    <row r="981" spans="1:41">
      <c r="A981">
        <f t="shared" si="144"/>
        <v>977</v>
      </c>
      <c r="B981" t="s">
        <v>277</v>
      </c>
      <c r="C981">
        <v>5</v>
      </c>
      <c r="D981">
        <v>5</v>
      </c>
      <c r="E981" t="s">
        <v>385</v>
      </c>
      <c r="F981">
        <v>412</v>
      </c>
      <c r="G981">
        <v>1</v>
      </c>
      <c r="H981">
        <v>46</v>
      </c>
      <c r="I981" t="s">
        <v>386</v>
      </c>
      <c r="J981" t="s">
        <v>386</v>
      </c>
      <c r="K981">
        <v>1000000</v>
      </c>
      <c r="L981">
        <v>217</v>
      </c>
      <c r="M981">
        <v>217</v>
      </c>
      <c r="N981">
        <v>349</v>
      </c>
      <c r="O981">
        <v>0</v>
      </c>
      <c r="P981">
        <v>528</v>
      </c>
      <c r="Q981">
        <v>827</v>
      </c>
      <c r="R981">
        <v>863</v>
      </c>
      <c r="S981">
        <v>597</v>
      </c>
      <c r="T981">
        <v>0</v>
      </c>
      <c r="U981">
        <v>4163</v>
      </c>
      <c r="V981">
        <v>3569.2845549100002</v>
      </c>
      <c r="AH981">
        <f t="shared" si="140"/>
        <v>217</v>
      </c>
      <c r="AI981">
        <f t="shared" si="141"/>
        <v>349</v>
      </c>
      <c r="AJ981" t="str">
        <f t="shared" si="142"/>
        <v/>
      </c>
      <c r="AK981">
        <f t="shared" si="143"/>
        <v>528</v>
      </c>
      <c r="AL981">
        <f t="shared" si="136"/>
        <v>827</v>
      </c>
      <c r="AM981">
        <f t="shared" si="137"/>
        <v>863</v>
      </c>
      <c r="AN981">
        <f t="shared" si="138"/>
        <v>597</v>
      </c>
      <c r="AO981" t="str">
        <f t="shared" si="139"/>
        <v/>
      </c>
    </row>
    <row r="982" spans="1:41">
      <c r="A982">
        <f t="shared" si="144"/>
        <v>978</v>
      </c>
      <c r="B982" t="s">
        <v>277</v>
      </c>
      <c r="C982">
        <v>5</v>
      </c>
      <c r="D982">
        <v>5</v>
      </c>
      <c r="E982" t="s">
        <v>385</v>
      </c>
      <c r="F982">
        <v>412</v>
      </c>
      <c r="G982">
        <v>1</v>
      </c>
      <c r="H982">
        <v>47</v>
      </c>
      <c r="I982" t="s">
        <v>386</v>
      </c>
      <c r="J982" t="s">
        <v>386</v>
      </c>
      <c r="K982">
        <v>1000000</v>
      </c>
      <c r="L982">
        <v>241</v>
      </c>
      <c r="M982">
        <v>241</v>
      </c>
      <c r="N982">
        <v>381</v>
      </c>
      <c r="O982">
        <v>0</v>
      </c>
      <c r="P982">
        <v>578</v>
      </c>
      <c r="Q982">
        <v>902</v>
      </c>
      <c r="R982">
        <v>931</v>
      </c>
      <c r="S982">
        <v>638</v>
      </c>
      <c r="T982">
        <v>0</v>
      </c>
      <c r="U982">
        <v>4324</v>
      </c>
      <c r="V982">
        <v>3590.7614086899998</v>
      </c>
      <c r="AH982">
        <f t="shared" si="140"/>
        <v>241</v>
      </c>
      <c r="AI982">
        <f t="shared" si="141"/>
        <v>381</v>
      </c>
      <c r="AJ982" t="str">
        <f t="shared" si="142"/>
        <v/>
      </c>
      <c r="AK982">
        <f t="shared" si="143"/>
        <v>578</v>
      </c>
      <c r="AL982">
        <f t="shared" si="136"/>
        <v>902</v>
      </c>
      <c r="AM982">
        <f t="shared" si="137"/>
        <v>931</v>
      </c>
      <c r="AN982">
        <f t="shared" si="138"/>
        <v>638</v>
      </c>
      <c r="AO982" t="str">
        <f t="shared" si="139"/>
        <v/>
      </c>
    </row>
    <row r="983" spans="1:41">
      <c r="A983">
        <f t="shared" si="144"/>
        <v>979</v>
      </c>
      <c r="B983" t="s">
        <v>277</v>
      </c>
      <c r="C983">
        <v>5</v>
      </c>
      <c r="D983">
        <v>5</v>
      </c>
      <c r="E983" t="s">
        <v>385</v>
      </c>
      <c r="F983">
        <v>412</v>
      </c>
      <c r="G983">
        <v>1</v>
      </c>
      <c r="H983">
        <v>48</v>
      </c>
      <c r="I983" t="s">
        <v>386</v>
      </c>
      <c r="J983" t="s">
        <v>386</v>
      </c>
      <c r="K983">
        <v>1000000</v>
      </c>
      <c r="L983">
        <v>266</v>
      </c>
      <c r="M983">
        <v>266</v>
      </c>
      <c r="N983">
        <v>416</v>
      </c>
      <c r="O983">
        <v>0</v>
      </c>
      <c r="P983">
        <v>621</v>
      </c>
      <c r="Q983">
        <v>956</v>
      </c>
      <c r="R983">
        <v>978</v>
      </c>
      <c r="S983">
        <v>663</v>
      </c>
      <c r="T983">
        <v>0</v>
      </c>
      <c r="U983">
        <v>4496</v>
      </c>
      <c r="V983">
        <v>3613.55023725</v>
      </c>
      <c r="AH983">
        <f t="shared" si="140"/>
        <v>266</v>
      </c>
      <c r="AI983">
        <f t="shared" si="141"/>
        <v>416</v>
      </c>
      <c r="AJ983" t="str">
        <f t="shared" si="142"/>
        <v/>
      </c>
      <c r="AK983">
        <f t="shared" si="143"/>
        <v>621</v>
      </c>
      <c r="AL983">
        <f t="shared" si="136"/>
        <v>956</v>
      </c>
      <c r="AM983">
        <f t="shared" si="137"/>
        <v>978</v>
      </c>
      <c r="AN983">
        <f t="shared" si="138"/>
        <v>663</v>
      </c>
      <c r="AO983" t="str">
        <f t="shared" si="139"/>
        <v/>
      </c>
    </row>
    <row r="984" spans="1:41">
      <c r="A984">
        <f t="shared" si="144"/>
        <v>980</v>
      </c>
      <c r="B984" t="s">
        <v>277</v>
      </c>
      <c r="C984">
        <v>5</v>
      </c>
      <c r="D984">
        <v>5</v>
      </c>
      <c r="E984" t="s">
        <v>385</v>
      </c>
      <c r="F984">
        <v>412</v>
      </c>
      <c r="G984">
        <v>1</v>
      </c>
      <c r="H984">
        <v>49</v>
      </c>
      <c r="I984" t="s">
        <v>386</v>
      </c>
      <c r="J984" t="s">
        <v>386</v>
      </c>
      <c r="K984">
        <v>1000000</v>
      </c>
      <c r="L984">
        <v>294</v>
      </c>
      <c r="M984">
        <v>294</v>
      </c>
      <c r="N984">
        <v>452</v>
      </c>
      <c r="O984">
        <v>0</v>
      </c>
      <c r="P984">
        <v>646</v>
      </c>
      <c r="Q984">
        <v>988</v>
      </c>
      <c r="R984">
        <v>1003</v>
      </c>
      <c r="S984">
        <v>679</v>
      </c>
      <c r="T984">
        <v>0</v>
      </c>
      <c r="U984">
        <v>4676</v>
      </c>
      <c r="V984">
        <v>3636.7331256500001</v>
      </c>
      <c r="AH984">
        <f t="shared" si="140"/>
        <v>294</v>
      </c>
      <c r="AI984">
        <f t="shared" si="141"/>
        <v>452</v>
      </c>
      <c r="AJ984" t="str">
        <f t="shared" si="142"/>
        <v/>
      </c>
      <c r="AK984">
        <f t="shared" si="143"/>
        <v>646</v>
      </c>
      <c r="AL984">
        <f t="shared" si="136"/>
        <v>988</v>
      </c>
      <c r="AM984">
        <f t="shared" si="137"/>
        <v>1003</v>
      </c>
      <c r="AN984">
        <f t="shared" si="138"/>
        <v>679</v>
      </c>
      <c r="AO984" t="str">
        <f t="shared" si="139"/>
        <v/>
      </c>
    </row>
    <row r="985" spans="1:41">
      <c r="A985">
        <f t="shared" si="144"/>
        <v>981</v>
      </c>
      <c r="B985" t="s">
        <v>277</v>
      </c>
      <c r="C985">
        <v>5</v>
      </c>
      <c r="D985">
        <v>5</v>
      </c>
      <c r="E985" t="s">
        <v>385</v>
      </c>
      <c r="F985">
        <v>412</v>
      </c>
      <c r="G985">
        <v>1</v>
      </c>
      <c r="H985">
        <v>50</v>
      </c>
      <c r="I985" t="s">
        <v>386</v>
      </c>
      <c r="J985" t="s">
        <v>386</v>
      </c>
      <c r="K985">
        <v>1000000</v>
      </c>
      <c r="L985">
        <v>321</v>
      </c>
      <c r="M985">
        <v>321</v>
      </c>
      <c r="N985">
        <v>490</v>
      </c>
      <c r="O985">
        <v>0</v>
      </c>
      <c r="P985">
        <v>663</v>
      </c>
      <c r="Q985">
        <v>1009</v>
      </c>
      <c r="R985">
        <v>1025</v>
      </c>
      <c r="S985">
        <v>696</v>
      </c>
      <c r="T985">
        <v>0</v>
      </c>
      <c r="U985">
        <v>4863</v>
      </c>
      <c r="V985">
        <v>3660.1030367399999</v>
      </c>
      <c r="AH985">
        <f t="shared" si="140"/>
        <v>321</v>
      </c>
      <c r="AI985">
        <f t="shared" si="141"/>
        <v>490</v>
      </c>
      <c r="AJ985" t="str">
        <f t="shared" si="142"/>
        <v/>
      </c>
      <c r="AK985">
        <f t="shared" si="143"/>
        <v>663</v>
      </c>
      <c r="AL985">
        <f t="shared" si="136"/>
        <v>1009</v>
      </c>
      <c r="AM985">
        <f t="shared" si="137"/>
        <v>1025</v>
      </c>
      <c r="AN985">
        <f t="shared" si="138"/>
        <v>696</v>
      </c>
      <c r="AO985" t="str">
        <f t="shared" si="139"/>
        <v/>
      </c>
    </row>
    <row r="986" spans="1:41">
      <c r="A986">
        <f t="shared" si="144"/>
        <v>982</v>
      </c>
      <c r="B986" t="s">
        <v>277</v>
      </c>
      <c r="C986">
        <v>5</v>
      </c>
      <c r="D986">
        <v>5</v>
      </c>
      <c r="E986" t="s">
        <v>385</v>
      </c>
      <c r="F986">
        <v>412</v>
      </c>
      <c r="G986">
        <v>1</v>
      </c>
      <c r="H986">
        <v>51</v>
      </c>
      <c r="I986" t="s">
        <v>386</v>
      </c>
      <c r="J986" t="s">
        <v>386</v>
      </c>
      <c r="K986">
        <v>1000000</v>
      </c>
      <c r="L986">
        <v>350</v>
      </c>
      <c r="M986">
        <v>350</v>
      </c>
      <c r="N986">
        <v>529</v>
      </c>
      <c r="O986">
        <v>0</v>
      </c>
      <c r="P986">
        <v>678</v>
      </c>
      <c r="Q986">
        <v>1036</v>
      </c>
      <c r="R986">
        <v>1059</v>
      </c>
      <c r="S986">
        <v>726</v>
      </c>
      <c r="T986">
        <v>0</v>
      </c>
      <c r="U986">
        <v>5055</v>
      </c>
      <c r="V986">
        <v>3684.2351530199999</v>
      </c>
      <c r="AH986">
        <f t="shared" si="140"/>
        <v>350</v>
      </c>
      <c r="AI986">
        <f t="shared" si="141"/>
        <v>529</v>
      </c>
      <c r="AJ986" t="str">
        <f t="shared" si="142"/>
        <v/>
      </c>
      <c r="AK986">
        <f t="shared" si="143"/>
        <v>678</v>
      </c>
      <c r="AL986">
        <f t="shared" si="136"/>
        <v>1036</v>
      </c>
      <c r="AM986">
        <f t="shared" si="137"/>
        <v>1059</v>
      </c>
      <c r="AN986">
        <f t="shared" si="138"/>
        <v>726</v>
      </c>
      <c r="AO986" t="str">
        <f t="shared" si="139"/>
        <v/>
      </c>
    </row>
    <row r="987" spans="1:41">
      <c r="A987">
        <f t="shared" si="144"/>
        <v>983</v>
      </c>
      <c r="B987" t="s">
        <v>277</v>
      </c>
      <c r="C987">
        <v>5</v>
      </c>
      <c r="D987">
        <v>5</v>
      </c>
      <c r="E987" t="s">
        <v>385</v>
      </c>
      <c r="F987">
        <v>412</v>
      </c>
      <c r="G987">
        <v>1</v>
      </c>
      <c r="H987">
        <v>52</v>
      </c>
      <c r="I987" t="s">
        <v>386</v>
      </c>
      <c r="J987" t="s">
        <v>386</v>
      </c>
      <c r="K987">
        <v>1000000</v>
      </c>
      <c r="L987">
        <v>380</v>
      </c>
      <c r="M987">
        <v>380</v>
      </c>
      <c r="N987">
        <v>569</v>
      </c>
      <c r="O987">
        <v>0</v>
      </c>
      <c r="P987">
        <v>703</v>
      </c>
      <c r="Q987">
        <v>1081</v>
      </c>
      <c r="R987">
        <v>1112</v>
      </c>
      <c r="S987">
        <v>762</v>
      </c>
      <c r="T987">
        <v>0</v>
      </c>
      <c r="U987">
        <v>5255</v>
      </c>
      <c r="V987">
        <v>3710.3457950299999</v>
      </c>
      <c r="AH987">
        <f t="shared" si="140"/>
        <v>380</v>
      </c>
      <c r="AI987">
        <f t="shared" si="141"/>
        <v>569</v>
      </c>
      <c r="AJ987" t="str">
        <f t="shared" si="142"/>
        <v/>
      </c>
      <c r="AK987">
        <f t="shared" si="143"/>
        <v>703</v>
      </c>
      <c r="AL987">
        <f t="shared" si="136"/>
        <v>1081</v>
      </c>
      <c r="AM987">
        <f t="shared" si="137"/>
        <v>1112</v>
      </c>
      <c r="AN987">
        <f t="shared" si="138"/>
        <v>762</v>
      </c>
      <c r="AO987" t="str">
        <f t="shared" si="139"/>
        <v/>
      </c>
    </row>
    <row r="988" spans="1:41">
      <c r="A988">
        <f t="shared" si="144"/>
        <v>984</v>
      </c>
      <c r="B988" t="s">
        <v>277</v>
      </c>
      <c r="C988">
        <v>5</v>
      </c>
      <c r="D988">
        <v>5</v>
      </c>
      <c r="E988" t="s">
        <v>385</v>
      </c>
      <c r="F988">
        <v>412</v>
      </c>
      <c r="G988">
        <v>1</v>
      </c>
      <c r="H988">
        <v>53</v>
      </c>
      <c r="I988" t="s">
        <v>386</v>
      </c>
      <c r="J988" t="s">
        <v>386</v>
      </c>
      <c r="K988">
        <v>1000000</v>
      </c>
      <c r="L988">
        <v>412</v>
      </c>
      <c r="M988">
        <v>412</v>
      </c>
      <c r="N988">
        <v>611</v>
      </c>
      <c r="O988">
        <v>0</v>
      </c>
      <c r="P988">
        <v>740</v>
      </c>
      <c r="Q988">
        <v>1145</v>
      </c>
      <c r="R988">
        <v>1179</v>
      </c>
      <c r="S988">
        <v>813</v>
      </c>
      <c r="T988">
        <v>0</v>
      </c>
      <c r="U988">
        <v>5465</v>
      </c>
      <c r="V988">
        <v>3739.9301313699998</v>
      </c>
      <c r="AH988">
        <f t="shared" si="140"/>
        <v>412</v>
      </c>
      <c r="AI988">
        <f t="shared" si="141"/>
        <v>611</v>
      </c>
      <c r="AJ988" t="str">
        <f t="shared" si="142"/>
        <v/>
      </c>
      <c r="AK988">
        <f t="shared" si="143"/>
        <v>740</v>
      </c>
      <c r="AL988">
        <f t="shared" si="136"/>
        <v>1145</v>
      </c>
      <c r="AM988">
        <f t="shared" si="137"/>
        <v>1179</v>
      </c>
      <c r="AN988">
        <f t="shared" si="138"/>
        <v>813</v>
      </c>
      <c r="AO988" t="str">
        <f t="shared" si="139"/>
        <v/>
      </c>
    </row>
    <row r="989" spans="1:41">
      <c r="A989">
        <f t="shared" si="144"/>
        <v>985</v>
      </c>
      <c r="B989" t="s">
        <v>277</v>
      </c>
      <c r="C989">
        <v>5</v>
      </c>
      <c r="D989">
        <v>5</v>
      </c>
      <c r="E989" t="s">
        <v>385</v>
      </c>
      <c r="F989">
        <v>412</v>
      </c>
      <c r="G989">
        <v>1</v>
      </c>
      <c r="H989">
        <v>54</v>
      </c>
      <c r="I989" t="s">
        <v>386</v>
      </c>
      <c r="J989" t="s">
        <v>386</v>
      </c>
      <c r="K989">
        <v>1000000</v>
      </c>
      <c r="L989">
        <v>446</v>
      </c>
      <c r="M989">
        <v>446</v>
      </c>
      <c r="N989">
        <v>657</v>
      </c>
      <c r="O989">
        <v>0</v>
      </c>
      <c r="P989">
        <v>793</v>
      </c>
      <c r="Q989">
        <v>1227</v>
      </c>
      <c r="R989">
        <v>1273</v>
      </c>
      <c r="S989">
        <v>885</v>
      </c>
      <c r="T989">
        <v>0</v>
      </c>
      <c r="U989">
        <v>5690</v>
      </c>
      <c r="V989">
        <v>3773.4131595499998</v>
      </c>
      <c r="AH989">
        <f t="shared" si="140"/>
        <v>446</v>
      </c>
      <c r="AI989">
        <f t="shared" si="141"/>
        <v>657</v>
      </c>
      <c r="AJ989" t="str">
        <f t="shared" si="142"/>
        <v/>
      </c>
      <c r="AK989">
        <f t="shared" si="143"/>
        <v>793</v>
      </c>
      <c r="AL989">
        <f t="shared" si="136"/>
        <v>1227</v>
      </c>
      <c r="AM989">
        <f t="shared" si="137"/>
        <v>1273</v>
      </c>
      <c r="AN989">
        <f t="shared" si="138"/>
        <v>885</v>
      </c>
      <c r="AO989" t="str">
        <f t="shared" si="139"/>
        <v/>
      </c>
    </row>
    <row r="990" spans="1:41">
      <c r="A990">
        <f t="shared" si="144"/>
        <v>986</v>
      </c>
      <c r="B990" t="s">
        <v>277</v>
      </c>
      <c r="C990">
        <v>5</v>
      </c>
      <c r="D990">
        <v>5</v>
      </c>
      <c r="E990" t="s">
        <v>385</v>
      </c>
      <c r="F990">
        <v>412</v>
      </c>
      <c r="G990">
        <v>1</v>
      </c>
      <c r="H990">
        <v>55</v>
      </c>
      <c r="I990" t="s">
        <v>386</v>
      </c>
      <c r="J990" t="s">
        <v>386</v>
      </c>
      <c r="K990">
        <v>1000000</v>
      </c>
      <c r="L990">
        <v>482</v>
      </c>
      <c r="M990">
        <v>482</v>
      </c>
      <c r="N990">
        <v>706</v>
      </c>
      <c r="O990">
        <v>0</v>
      </c>
      <c r="P990">
        <v>856</v>
      </c>
      <c r="Q990">
        <v>1335</v>
      </c>
      <c r="R990">
        <v>1395</v>
      </c>
      <c r="S990">
        <v>972</v>
      </c>
      <c r="T990">
        <v>0</v>
      </c>
      <c r="U990">
        <v>5933</v>
      </c>
      <c r="V990">
        <v>3810.7455611300002</v>
      </c>
      <c r="AH990">
        <f t="shared" si="140"/>
        <v>482</v>
      </c>
      <c r="AI990">
        <f t="shared" si="141"/>
        <v>706</v>
      </c>
      <c r="AJ990" t="str">
        <f t="shared" si="142"/>
        <v/>
      </c>
      <c r="AK990">
        <f t="shared" si="143"/>
        <v>856</v>
      </c>
      <c r="AL990">
        <f t="shared" si="136"/>
        <v>1335</v>
      </c>
      <c r="AM990">
        <f t="shared" si="137"/>
        <v>1395</v>
      </c>
      <c r="AN990">
        <f t="shared" si="138"/>
        <v>972</v>
      </c>
      <c r="AO990" t="str">
        <f t="shared" si="139"/>
        <v/>
      </c>
    </row>
    <row r="991" spans="1:41">
      <c r="A991">
        <f t="shared" si="144"/>
        <v>987</v>
      </c>
      <c r="B991" t="s">
        <v>277</v>
      </c>
      <c r="C991">
        <v>5</v>
      </c>
      <c r="D991">
        <v>5</v>
      </c>
      <c r="E991" t="s">
        <v>385</v>
      </c>
      <c r="F991">
        <v>412</v>
      </c>
      <c r="G991">
        <v>1</v>
      </c>
      <c r="H991">
        <v>56</v>
      </c>
      <c r="I991" t="s">
        <v>386</v>
      </c>
      <c r="J991" t="s">
        <v>386</v>
      </c>
      <c r="K991">
        <v>1000000</v>
      </c>
      <c r="L991">
        <v>522</v>
      </c>
      <c r="M991">
        <v>522</v>
      </c>
      <c r="N991">
        <v>760</v>
      </c>
      <c r="O991">
        <v>0</v>
      </c>
      <c r="P991">
        <v>940</v>
      </c>
      <c r="Q991">
        <v>1475</v>
      </c>
      <c r="R991">
        <v>1541</v>
      </c>
      <c r="S991">
        <v>1075</v>
      </c>
      <c r="T991">
        <v>0</v>
      </c>
      <c r="U991">
        <v>6200</v>
      </c>
      <c r="V991">
        <v>3851.4841917200001</v>
      </c>
      <c r="AH991">
        <f t="shared" si="140"/>
        <v>522</v>
      </c>
      <c r="AI991">
        <f t="shared" si="141"/>
        <v>760</v>
      </c>
      <c r="AJ991" t="str">
        <f t="shared" si="142"/>
        <v/>
      </c>
      <c r="AK991">
        <f t="shared" si="143"/>
        <v>940</v>
      </c>
      <c r="AL991">
        <f t="shared" si="136"/>
        <v>1475</v>
      </c>
      <c r="AM991">
        <f t="shared" si="137"/>
        <v>1541</v>
      </c>
      <c r="AN991">
        <f t="shared" si="138"/>
        <v>1075</v>
      </c>
      <c r="AO991" t="str">
        <f t="shared" si="139"/>
        <v/>
      </c>
    </row>
    <row r="992" spans="1:41">
      <c r="A992">
        <f t="shared" si="144"/>
        <v>988</v>
      </c>
      <c r="B992" t="s">
        <v>277</v>
      </c>
      <c r="C992">
        <v>5</v>
      </c>
      <c r="D992">
        <v>5</v>
      </c>
      <c r="E992" t="s">
        <v>385</v>
      </c>
      <c r="F992">
        <v>412</v>
      </c>
      <c r="G992">
        <v>1</v>
      </c>
      <c r="H992">
        <v>57</v>
      </c>
      <c r="I992" t="s">
        <v>386</v>
      </c>
      <c r="J992" t="s">
        <v>386</v>
      </c>
      <c r="K992">
        <v>1000000</v>
      </c>
      <c r="L992">
        <v>566</v>
      </c>
      <c r="M992">
        <v>566</v>
      </c>
      <c r="N992">
        <v>819</v>
      </c>
      <c r="O992">
        <v>0</v>
      </c>
      <c r="P992">
        <v>1040</v>
      </c>
      <c r="Q992">
        <v>1629</v>
      </c>
      <c r="R992">
        <v>1701</v>
      </c>
      <c r="S992">
        <v>1183</v>
      </c>
      <c r="T992">
        <v>0</v>
      </c>
      <c r="U992">
        <v>6493</v>
      </c>
      <c r="V992">
        <v>3895.9560743799998</v>
      </c>
      <c r="AH992">
        <f t="shared" si="140"/>
        <v>566</v>
      </c>
      <c r="AI992">
        <f t="shared" si="141"/>
        <v>819</v>
      </c>
      <c r="AJ992" t="str">
        <f t="shared" si="142"/>
        <v/>
      </c>
      <c r="AK992">
        <f t="shared" si="143"/>
        <v>1040</v>
      </c>
      <c r="AL992">
        <f t="shared" si="136"/>
        <v>1629</v>
      </c>
      <c r="AM992">
        <f t="shared" si="137"/>
        <v>1701</v>
      </c>
      <c r="AN992">
        <f t="shared" si="138"/>
        <v>1183</v>
      </c>
      <c r="AO992" t="str">
        <f t="shared" si="139"/>
        <v/>
      </c>
    </row>
    <row r="993" spans="1:41">
      <c r="A993">
        <f t="shared" si="144"/>
        <v>989</v>
      </c>
      <c r="B993" t="s">
        <v>277</v>
      </c>
      <c r="C993">
        <v>5</v>
      </c>
      <c r="D993">
        <v>5</v>
      </c>
      <c r="E993" t="s">
        <v>385</v>
      </c>
      <c r="F993">
        <v>412</v>
      </c>
      <c r="G993">
        <v>1</v>
      </c>
      <c r="H993">
        <v>58</v>
      </c>
      <c r="I993" t="s">
        <v>386</v>
      </c>
      <c r="J993" t="s">
        <v>386</v>
      </c>
      <c r="K993">
        <v>1000000</v>
      </c>
      <c r="L993">
        <v>614</v>
      </c>
      <c r="M993">
        <v>614</v>
      </c>
      <c r="N993">
        <v>884</v>
      </c>
      <c r="O993">
        <v>0</v>
      </c>
      <c r="P993">
        <v>1143</v>
      </c>
      <c r="Q993">
        <v>1787</v>
      </c>
      <c r="R993">
        <v>1859</v>
      </c>
      <c r="S993">
        <v>1287</v>
      </c>
      <c r="T993">
        <v>0</v>
      </c>
      <c r="U993">
        <v>6814</v>
      </c>
      <c r="V993">
        <v>3945.3168808999999</v>
      </c>
      <c r="AH993">
        <f t="shared" si="140"/>
        <v>614</v>
      </c>
      <c r="AI993">
        <f t="shared" si="141"/>
        <v>884</v>
      </c>
      <c r="AJ993" t="str">
        <f t="shared" si="142"/>
        <v/>
      </c>
      <c r="AK993">
        <f t="shared" si="143"/>
        <v>1143</v>
      </c>
      <c r="AL993">
        <f t="shared" si="136"/>
        <v>1787</v>
      </c>
      <c r="AM993">
        <f t="shared" si="137"/>
        <v>1859</v>
      </c>
      <c r="AN993">
        <f t="shared" si="138"/>
        <v>1287</v>
      </c>
      <c r="AO993" t="str">
        <f t="shared" si="139"/>
        <v/>
      </c>
    </row>
    <row r="994" spans="1:41">
      <c r="A994">
        <f t="shared" si="144"/>
        <v>990</v>
      </c>
      <c r="B994" t="s">
        <v>277</v>
      </c>
      <c r="C994">
        <v>5</v>
      </c>
      <c r="D994">
        <v>5</v>
      </c>
      <c r="E994" t="s">
        <v>385</v>
      </c>
      <c r="F994">
        <v>412</v>
      </c>
      <c r="G994">
        <v>1</v>
      </c>
      <c r="H994">
        <v>59</v>
      </c>
      <c r="I994" t="s">
        <v>386</v>
      </c>
      <c r="J994" t="s">
        <v>386</v>
      </c>
      <c r="K994">
        <v>1000000</v>
      </c>
      <c r="L994">
        <v>667</v>
      </c>
      <c r="M994">
        <v>667</v>
      </c>
      <c r="N994">
        <v>955</v>
      </c>
      <c r="O994">
        <v>0</v>
      </c>
      <c r="P994">
        <v>1245</v>
      </c>
      <c r="Q994">
        <v>1938</v>
      </c>
      <c r="R994">
        <v>2008</v>
      </c>
      <c r="S994">
        <v>1384</v>
      </c>
      <c r="T994">
        <v>0</v>
      </c>
      <c r="U994">
        <v>7163</v>
      </c>
      <c r="V994">
        <v>4000.8246252399999</v>
      </c>
      <c r="AH994">
        <f t="shared" si="140"/>
        <v>667</v>
      </c>
      <c r="AI994">
        <f t="shared" si="141"/>
        <v>955</v>
      </c>
      <c r="AJ994" t="str">
        <f t="shared" si="142"/>
        <v/>
      </c>
      <c r="AK994">
        <f t="shared" si="143"/>
        <v>1245</v>
      </c>
      <c r="AL994">
        <f t="shared" si="136"/>
        <v>1938</v>
      </c>
      <c r="AM994">
        <f t="shared" si="137"/>
        <v>2008</v>
      </c>
      <c r="AN994">
        <f t="shared" si="138"/>
        <v>1384</v>
      </c>
      <c r="AO994" t="str">
        <f t="shared" si="139"/>
        <v/>
      </c>
    </row>
    <row r="995" spans="1:41">
      <c r="A995">
        <f t="shared" si="144"/>
        <v>991</v>
      </c>
      <c r="B995" t="s">
        <v>277</v>
      </c>
      <c r="C995">
        <v>5</v>
      </c>
      <c r="D995">
        <v>5</v>
      </c>
      <c r="E995" t="s">
        <v>385</v>
      </c>
      <c r="F995">
        <v>412</v>
      </c>
      <c r="G995">
        <v>1</v>
      </c>
      <c r="H995">
        <v>60</v>
      </c>
      <c r="I995" t="s">
        <v>386</v>
      </c>
      <c r="J995" t="s">
        <v>386</v>
      </c>
      <c r="K995">
        <v>1000000</v>
      </c>
      <c r="L995">
        <v>723</v>
      </c>
      <c r="M995">
        <v>723</v>
      </c>
      <c r="N995">
        <v>1031</v>
      </c>
      <c r="O995">
        <v>0</v>
      </c>
      <c r="P995">
        <v>1339</v>
      </c>
      <c r="Q995">
        <v>2075</v>
      </c>
      <c r="R995">
        <v>2141</v>
      </c>
      <c r="S995">
        <v>1471</v>
      </c>
      <c r="T995">
        <v>0</v>
      </c>
      <c r="U995">
        <v>7539</v>
      </c>
      <c r="V995">
        <v>4063.9520757400001</v>
      </c>
      <c r="AH995">
        <f t="shared" si="140"/>
        <v>723</v>
      </c>
      <c r="AI995">
        <f t="shared" si="141"/>
        <v>1031</v>
      </c>
      <c r="AJ995" t="str">
        <f t="shared" si="142"/>
        <v/>
      </c>
      <c r="AK995">
        <f t="shared" si="143"/>
        <v>1339</v>
      </c>
      <c r="AL995">
        <f t="shared" si="136"/>
        <v>2075</v>
      </c>
      <c r="AM995">
        <f t="shared" si="137"/>
        <v>2141</v>
      </c>
      <c r="AN995">
        <f t="shared" si="138"/>
        <v>1471</v>
      </c>
      <c r="AO995" t="str">
        <f t="shared" si="139"/>
        <v/>
      </c>
    </row>
    <row r="996" spans="1:41">
      <c r="A996">
        <f t="shared" si="144"/>
        <v>992</v>
      </c>
      <c r="B996" t="s">
        <v>277</v>
      </c>
      <c r="C996">
        <v>5</v>
      </c>
      <c r="D996">
        <v>5</v>
      </c>
      <c r="E996" t="s">
        <v>385</v>
      </c>
      <c r="F996">
        <v>412</v>
      </c>
      <c r="G996">
        <v>1</v>
      </c>
      <c r="H996">
        <v>61</v>
      </c>
      <c r="I996" t="s">
        <v>386</v>
      </c>
      <c r="J996" t="s">
        <v>386</v>
      </c>
      <c r="K996">
        <v>1000000</v>
      </c>
      <c r="L996">
        <v>783</v>
      </c>
      <c r="M996">
        <v>783</v>
      </c>
      <c r="N996">
        <v>1112</v>
      </c>
      <c r="O996">
        <v>0</v>
      </c>
      <c r="P996">
        <v>1421</v>
      </c>
      <c r="Q996">
        <v>2195</v>
      </c>
      <c r="R996">
        <v>2257</v>
      </c>
      <c r="S996">
        <v>1545</v>
      </c>
      <c r="T996">
        <v>0</v>
      </c>
      <c r="U996">
        <v>7938</v>
      </c>
      <c r="V996">
        <v>4134.88597381</v>
      </c>
      <c r="AH996">
        <f t="shared" si="140"/>
        <v>783</v>
      </c>
      <c r="AI996">
        <f t="shared" si="141"/>
        <v>1112</v>
      </c>
      <c r="AJ996" t="str">
        <f t="shared" si="142"/>
        <v/>
      </c>
      <c r="AK996">
        <f t="shared" si="143"/>
        <v>1421</v>
      </c>
      <c r="AL996">
        <f t="shared" si="136"/>
        <v>2195</v>
      </c>
      <c r="AM996">
        <f t="shared" si="137"/>
        <v>2257</v>
      </c>
      <c r="AN996">
        <f t="shared" si="138"/>
        <v>1545</v>
      </c>
      <c r="AO996" t="str">
        <f t="shared" si="139"/>
        <v/>
      </c>
    </row>
    <row r="997" spans="1:41">
      <c r="A997">
        <f t="shared" si="144"/>
        <v>993</v>
      </c>
      <c r="B997" t="s">
        <v>277</v>
      </c>
      <c r="C997">
        <v>5</v>
      </c>
      <c r="D997">
        <v>5</v>
      </c>
      <c r="E997" t="s">
        <v>385</v>
      </c>
      <c r="F997">
        <v>412</v>
      </c>
      <c r="G997">
        <v>1</v>
      </c>
      <c r="H997">
        <v>62</v>
      </c>
      <c r="I997" t="s">
        <v>386</v>
      </c>
      <c r="J997" t="s">
        <v>386</v>
      </c>
      <c r="K997">
        <v>1000000</v>
      </c>
      <c r="L997">
        <v>846</v>
      </c>
      <c r="M997">
        <v>846</v>
      </c>
      <c r="N997">
        <v>1197</v>
      </c>
      <c r="O997">
        <v>0</v>
      </c>
      <c r="P997">
        <v>1493</v>
      </c>
      <c r="Q997">
        <v>2298</v>
      </c>
      <c r="R997">
        <v>2356</v>
      </c>
      <c r="S997">
        <v>1609</v>
      </c>
      <c r="T997">
        <v>0</v>
      </c>
      <c r="U997">
        <v>8358</v>
      </c>
      <c r="V997">
        <v>4213.59862866</v>
      </c>
      <c r="AH997">
        <f t="shared" si="140"/>
        <v>846</v>
      </c>
      <c r="AI997">
        <f t="shared" si="141"/>
        <v>1197</v>
      </c>
      <c r="AJ997" t="str">
        <f t="shared" si="142"/>
        <v/>
      </c>
      <c r="AK997">
        <f t="shared" si="143"/>
        <v>1493</v>
      </c>
      <c r="AL997">
        <f t="shared" si="136"/>
        <v>2298</v>
      </c>
      <c r="AM997">
        <f t="shared" si="137"/>
        <v>2356</v>
      </c>
      <c r="AN997">
        <f t="shared" si="138"/>
        <v>1609</v>
      </c>
      <c r="AO997" t="str">
        <f t="shared" si="139"/>
        <v/>
      </c>
    </row>
    <row r="998" spans="1:41">
      <c r="A998">
        <f t="shared" si="144"/>
        <v>994</v>
      </c>
      <c r="B998" t="s">
        <v>277</v>
      </c>
      <c r="C998">
        <v>5</v>
      </c>
      <c r="D998">
        <v>5</v>
      </c>
      <c r="E998" t="s">
        <v>385</v>
      </c>
      <c r="F998">
        <v>412</v>
      </c>
      <c r="G998">
        <v>1</v>
      </c>
      <c r="H998">
        <v>63</v>
      </c>
      <c r="I998" t="s">
        <v>386</v>
      </c>
      <c r="J998" t="s">
        <v>386</v>
      </c>
      <c r="K998">
        <v>1000000</v>
      </c>
      <c r="L998">
        <v>912</v>
      </c>
      <c r="M998">
        <v>912</v>
      </c>
      <c r="N998">
        <v>1286</v>
      </c>
      <c r="O998">
        <v>0</v>
      </c>
      <c r="P998">
        <v>1556</v>
      </c>
      <c r="Q998">
        <v>2391</v>
      </c>
      <c r="R998">
        <v>2449</v>
      </c>
      <c r="S998">
        <v>1675</v>
      </c>
      <c r="T998">
        <v>0</v>
      </c>
      <c r="U998">
        <v>8796</v>
      </c>
      <c r="V998">
        <v>4301.9666815199998</v>
      </c>
      <c r="AH998">
        <f t="shared" si="140"/>
        <v>912</v>
      </c>
      <c r="AI998">
        <f t="shared" si="141"/>
        <v>1286</v>
      </c>
      <c r="AJ998" t="str">
        <f t="shared" si="142"/>
        <v/>
      </c>
      <c r="AK998">
        <f t="shared" si="143"/>
        <v>1556</v>
      </c>
      <c r="AL998">
        <f t="shared" si="136"/>
        <v>2391</v>
      </c>
      <c r="AM998">
        <f t="shared" si="137"/>
        <v>2449</v>
      </c>
      <c r="AN998">
        <f t="shared" si="138"/>
        <v>1675</v>
      </c>
      <c r="AO998" t="str">
        <f t="shared" si="139"/>
        <v/>
      </c>
    </row>
    <row r="999" spans="1:41">
      <c r="A999">
        <f t="shared" si="144"/>
        <v>995</v>
      </c>
      <c r="B999" t="s">
        <v>277</v>
      </c>
      <c r="C999">
        <v>5</v>
      </c>
      <c r="D999">
        <v>5</v>
      </c>
      <c r="E999" t="s">
        <v>385</v>
      </c>
      <c r="F999">
        <v>412</v>
      </c>
      <c r="G999">
        <v>1</v>
      </c>
      <c r="H999">
        <v>64</v>
      </c>
      <c r="I999" t="s">
        <v>386</v>
      </c>
      <c r="J999" t="s">
        <v>386</v>
      </c>
      <c r="K999">
        <v>1000000</v>
      </c>
      <c r="L999">
        <v>981</v>
      </c>
      <c r="M999">
        <v>981</v>
      </c>
      <c r="N999">
        <v>1380</v>
      </c>
      <c r="O999">
        <v>0</v>
      </c>
      <c r="P999">
        <v>1618</v>
      </c>
      <c r="Q999">
        <v>2488</v>
      </c>
      <c r="R999">
        <v>2556</v>
      </c>
      <c r="S999">
        <v>1755</v>
      </c>
      <c r="T999">
        <v>0</v>
      </c>
      <c r="U999">
        <v>9255</v>
      </c>
      <c r="V999">
        <v>4403.3943307999998</v>
      </c>
      <c r="AH999">
        <f t="shared" si="140"/>
        <v>981</v>
      </c>
      <c r="AI999">
        <f t="shared" si="141"/>
        <v>1380</v>
      </c>
      <c r="AJ999" t="str">
        <f t="shared" si="142"/>
        <v/>
      </c>
      <c r="AK999">
        <f t="shared" si="143"/>
        <v>1618</v>
      </c>
      <c r="AL999">
        <f t="shared" si="136"/>
        <v>2488</v>
      </c>
      <c r="AM999">
        <f t="shared" si="137"/>
        <v>2556</v>
      </c>
      <c r="AN999">
        <f t="shared" si="138"/>
        <v>1755</v>
      </c>
      <c r="AO999" t="str">
        <f t="shared" si="139"/>
        <v/>
      </c>
    </row>
    <row r="1000" spans="1:41">
      <c r="A1000">
        <f t="shared" si="144"/>
        <v>996</v>
      </c>
      <c r="B1000" t="s">
        <v>277</v>
      </c>
      <c r="C1000">
        <v>5</v>
      </c>
      <c r="D1000">
        <v>5</v>
      </c>
      <c r="E1000" t="s">
        <v>385</v>
      </c>
      <c r="F1000">
        <v>412</v>
      </c>
      <c r="G1000">
        <v>1</v>
      </c>
      <c r="H1000">
        <v>65</v>
      </c>
      <c r="I1000" t="s">
        <v>386</v>
      </c>
      <c r="J1000" t="s">
        <v>386</v>
      </c>
      <c r="K1000">
        <v>1000000</v>
      </c>
      <c r="L1000">
        <v>1053</v>
      </c>
      <c r="M1000">
        <v>1053</v>
      </c>
      <c r="N1000">
        <v>1477</v>
      </c>
      <c r="O1000">
        <v>0</v>
      </c>
      <c r="P1000">
        <v>1687</v>
      </c>
      <c r="Q1000">
        <v>2602</v>
      </c>
      <c r="R1000">
        <v>2681</v>
      </c>
      <c r="S1000">
        <v>1840</v>
      </c>
      <c r="T1000">
        <v>0</v>
      </c>
      <c r="U1000">
        <v>9733</v>
      </c>
      <c r="V1000">
        <v>4524.3164665100003</v>
      </c>
      <c r="AH1000">
        <f t="shared" si="140"/>
        <v>1053</v>
      </c>
      <c r="AI1000">
        <f t="shared" si="141"/>
        <v>1477</v>
      </c>
      <c r="AJ1000" t="str">
        <f t="shared" si="142"/>
        <v/>
      </c>
      <c r="AK1000">
        <f t="shared" si="143"/>
        <v>1687</v>
      </c>
      <c r="AL1000">
        <f t="shared" si="136"/>
        <v>2602</v>
      </c>
      <c r="AM1000">
        <f t="shared" si="137"/>
        <v>2681</v>
      </c>
      <c r="AN1000">
        <f t="shared" si="138"/>
        <v>1840</v>
      </c>
      <c r="AO1000" t="str">
        <f t="shared" si="139"/>
        <v/>
      </c>
    </row>
    <row r="1001" spans="1:41">
      <c r="A1001">
        <f t="shared" si="144"/>
        <v>997</v>
      </c>
      <c r="B1001" t="s">
        <v>277</v>
      </c>
      <c r="C1001">
        <v>5</v>
      </c>
      <c r="D1001">
        <v>5</v>
      </c>
      <c r="E1001" t="s">
        <v>385</v>
      </c>
      <c r="F1001">
        <v>412</v>
      </c>
      <c r="G1001">
        <v>1</v>
      </c>
      <c r="H1001">
        <v>66</v>
      </c>
      <c r="I1001" t="s">
        <v>386</v>
      </c>
      <c r="J1001" t="s">
        <v>386</v>
      </c>
      <c r="K1001">
        <v>1000000</v>
      </c>
      <c r="L1001">
        <v>1128</v>
      </c>
      <c r="M1001">
        <v>1128</v>
      </c>
      <c r="N1001">
        <v>1578</v>
      </c>
      <c r="O1001">
        <v>0</v>
      </c>
      <c r="P1001">
        <v>1763</v>
      </c>
      <c r="Q1001">
        <v>2721</v>
      </c>
      <c r="R1001">
        <v>2794</v>
      </c>
      <c r="S1001">
        <v>1905</v>
      </c>
      <c r="T1001">
        <v>0</v>
      </c>
      <c r="U1001">
        <v>10231</v>
      </c>
      <c r="V1001">
        <v>4669.8439983400003</v>
      </c>
      <c r="AH1001">
        <f t="shared" si="140"/>
        <v>1128</v>
      </c>
      <c r="AI1001">
        <f t="shared" si="141"/>
        <v>1578</v>
      </c>
      <c r="AJ1001" t="str">
        <f t="shared" si="142"/>
        <v/>
      </c>
      <c r="AK1001">
        <f t="shared" si="143"/>
        <v>1763</v>
      </c>
      <c r="AL1001">
        <f t="shared" si="136"/>
        <v>2721</v>
      </c>
      <c r="AM1001">
        <f t="shared" si="137"/>
        <v>2794</v>
      </c>
      <c r="AN1001">
        <f t="shared" si="138"/>
        <v>1905</v>
      </c>
      <c r="AO1001" t="str">
        <f t="shared" si="139"/>
        <v/>
      </c>
    </row>
    <row r="1002" spans="1:41">
      <c r="A1002">
        <f t="shared" si="144"/>
        <v>998</v>
      </c>
      <c r="B1002" t="s">
        <v>277</v>
      </c>
      <c r="C1002">
        <v>5</v>
      </c>
      <c r="D1002">
        <v>5</v>
      </c>
      <c r="E1002" t="s">
        <v>385</v>
      </c>
      <c r="F1002">
        <v>412</v>
      </c>
      <c r="G1002">
        <v>1</v>
      </c>
      <c r="H1002">
        <v>67</v>
      </c>
      <c r="I1002" t="s">
        <v>386</v>
      </c>
      <c r="J1002" t="s">
        <v>386</v>
      </c>
      <c r="K1002">
        <v>1000000</v>
      </c>
      <c r="L1002">
        <v>1205</v>
      </c>
      <c r="M1002">
        <v>1205</v>
      </c>
      <c r="N1002">
        <v>1682</v>
      </c>
      <c r="O1002">
        <v>0</v>
      </c>
      <c r="P1002">
        <v>1826</v>
      </c>
      <c r="Q1002">
        <v>2800</v>
      </c>
      <c r="R1002">
        <v>2848</v>
      </c>
      <c r="S1002">
        <v>1919</v>
      </c>
      <c r="T1002">
        <v>0</v>
      </c>
      <c r="U1002">
        <v>10741</v>
      </c>
      <c r="V1002">
        <v>4839.1791286099997</v>
      </c>
      <c r="AH1002">
        <f t="shared" si="140"/>
        <v>1205</v>
      </c>
      <c r="AI1002">
        <f t="shared" si="141"/>
        <v>1682</v>
      </c>
      <c r="AJ1002" t="str">
        <f t="shared" si="142"/>
        <v/>
      </c>
      <c r="AK1002">
        <f t="shared" si="143"/>
        <v>1826</v>
      </c>
      <c r="AL1002">
        <f t="shared" si="136"/>
        <v>2800</v>
      </c>
      <c r="AM1002">
        <f t="shared" si="137"/>
        <v>2848</v>
      </c>
      <c r="AN1002">
        <f t="shared" si="138"/>
        <v>1919</v>
      </c>
      <c r="AO1002" t="str">
        <f t="shared" si="139"/>
        <v/>
      </c>
    </row>
    <row r="1003" spans="1:41">
      <c r="A1003">
        <f t="shared" si="144"/>
        <v>999</v>
      </c>
      <c r="B1003" t="s">
        <v>277</v>
      </c>
      <c r="C1003">
        <v>5</v>
      </c>
      <c r="D1003">
        <v>5</v>
      </c>
      <c r="E1003" t="s">
        <v>385</v>
      </c>
      <c r="F1003">
        <v>412</v>
      </c>
      <c r="G1003">
        <v>1</v>
      </c>
      <c r="H1003">
        <v>68</v>
      </c>
      <c r="I1003" t="s">
        <v>386</v>
      </c>
      <c r="J1003" t="s">
        <v>386</v>
      </c>
      <c r="K1003">
        <v>1000000</v>
      </c>
      <c r="L1003">
        <v>1282</v>
      </c>
      <c r="M1003">
        <v>1282</v>
      </c>
      <c r="N1003">
        <v>1787</v>
      </c>
      <c r="O1003">
        <v>0</v>
      </c>
      <c r="P1003">
        <v>1842</v>
      </c>
      <c r="Q1003">
        <v>2792</v>
      </c>
      <c r="R1003">
        <v>2801</v>
      </c>
      <c r="S1003">
        <v>1862</v>
      </c>
      <c r="T1003">
        <v>0</v>
      </c>
      <c r="U1003">
        <v>11253</v>
      </c>
      <c r="V1003">
        <v>5024.3825635399999</v>
      </c>
      <c r="AH1003">
        <f t="shared" si="140"/>
        <v>1282</v>
      </c>
      <c r="AI1003">
        <f t="shared" si="141"/>
        <v>1787</v>
      </c>
      <c r="AJ1003" t="str">
        <f t="shared" si="142"/>
        <v/>
      </c>
      <c r="AK1003">
        <f t="shared" si="143"/>
        <v>1842</v>
      </c>
      <c r="AL1003">
        <f t="shared" si="136"/>
        <v>2792</v>
      </c>
      <c r="AM1003">
        <f t="shared" si="137"/>
        <v>2801</v>
      </c>
      <c r="AN1003">
        <f t="shared" si="138"/>
        <v>1862</v>
      </c>
      <c r="AO1003" t="str">
        <f t="shared" si="139"/>
        <v/>
      </c>
    </row>
    <row r="1004" spans="1:41">
      <c r="A1004">
        <f t="shared" si="144"/>
        <v>1000</v>
      </c>
      <c r="B1004" t="s">
        <v>277</v>
      </c>
      <c r="C1004">
        <v>5</v>
      </c>
      <c r="D1004">
        <v>5</v>
      </c>
      <c r="E1004" t="s">
        <v>385</v>
      </c>
      <c r="F1004">
        <v>412</v>
      </c>
      <c r="G1004">
        <v>1</v>
      </c>
      <c r="H1004">
        <v>69</v>
      </c>
      <c r="I1004" t="s">
        <v>386</v>
      </c>
      <c r="J1004" t="s">
        <v>386</v>
      </c>
      <c r="K1004">
        <v>1000000</v>
      </c>
      <c r="L1004">
        <v>1358</v>
      </c>
      <c r="M1004">
        <v>1358</v>
      </c>
      <c r="N1004">
        <v>1889</v>
      </c>
      <c r="O1004">
        <v>0</v>
      </c>
      <c r="P1004">
        <v>1795</v>
      </c>
      <c r="Q1004">
        <v>2683</v>
      </c>
      <c r="R1004">
        <v>2659</v>
      </c>
      <c r="S1004">
        <v>1752</v>
      </c>
      <c r="T1004">
        <v>0</v>
      </c>
      <c r="U1004">
        <v>11754</v>
      </c>
      <c r="V1004">
        <v>5214.0096755900004</v>
      </c>
      <c r="AH1004">
        <f t="shared" si="140"/>
        <v>1358</v>
      </c>
      <c r="AI1004">
        <f t="shared" si="141"/>
        <v>1889</v>
      </c>
      <c r="AJ1004" t="str">
        <f t="shared" si="142"/>
        <v/>
      </c>
      <c r="AK1004">
        <f t="shared" si="143"/>
        <v>1795</v>
      </c>
      <c r="AL1004">
        <f t="shared" si="136"/>
        <v>2683</v>
      </c>
      <c r="AM1004">
        <f t="shared" si="137"/>
        <v>2659</v>
      </c>
      <c r="AN1004">
        <f t="shared" si="138"/>
        <v>1752</v>
      </c>
      <c r="AO1004" t="str">
        <f t="shared" si="139"/>
        <v/>
      </c>
    </row>
    <row r="1005" spans="1:41">
      <c r="A1005">
        <f t="shared" si="144"/>
        <v>1001</v>
      </c>
      <c r="B1005" t="s">
        <v>277</v>
      </c>
      <c r="C1005">
        <v>5</v>
      </c>
      <c r="D1005">
        <v>5</v>
      </c>
      <c r="E1005" t="s">
        <v>385</v>
      </c>
      <c r="F1005">
        <v>412</v>
      </c>
      <c r="G1005">
        <v>1</v>
      </c>
      <c r="H1005">
        <v>70</v>
      </c>
      <c r="I1005" t="s">
        <v>386</v>
      </c>
      <c r="J1005" t="s">
        <v>386</v>
      </c>
      <c r="K1005">
        <v>1000000</v>
      </c>
      <c r="L1005">
        <v>1430</v>
      </c>
      <c r="M1005">
        <v>1430</v>
      </c>
      <c r="N1005">
        <v>1987</v>
      </c>
      <c r="O1005">
        <v>0</v>
      </c>
      <c r="P1005">
        <v>1690</v>
      </c>
      <c r="Q1005">
        <v>2501</v>
      </c>
      <c r="R1005">
        <v>2464</v>
      </c>
      <c r="S1005">
        <v>1621</v>
      </c>
      <c r="T1005">
        <v>0</v>
      </c>
      <c r="U1005">
        <v>12232</v>
      </c>
      <c r="V1005">
        <v>5397.2129349200004</v>
      </c>
      <c r="AH1005">
        <f t="shared" si="140"/>
        <v>1430</v>
      </c>
      <c r="AI1005">
        <f t="shared" si="141"/>
        <v>1987</v>
      </c>
      <c r="AJ1005" t="str">
        <f t="shared" si="142"/>
        <v/>
      </c>
      <c r="AK1005">
        <f t="shared" si="143"/>
        <v>1690</v>
      </c>
      <c r="AL1005">
        <f t="shared" si="136"/>
        <v>2501</v>
      </c>
      <c r="AM1005">
        <f t="shared" si="137"/>
        <v>2464</v>
      </c>
      <c r="AN1005">
        <f t="shared" si="138"/>
        <v>1621</v>
      </c>
      <c r="AO1005" t="str">
        <f t="shared" si="139"/>
        <v/>
      </c>
    </row>
    <row r="1006" spans="1:41">
      <c r="A1006">
        <f t="shared" si="144"/>
        <v>1002</v>
      </c>
      <c r="B1006" t="s">
        <v>277</v>
      </c>
      <c r="C1006">
        <v>5</v>
      </c>
      <c r="D1006">
        <v>5</v>
      </c>
      <c r="E1006" t="s">
        <v>385</v>
      </c>
      <c r="F1006">
        <v>412</v>
      </c>
      <c r="G1006">
        <v>1</v>
      </c>
      <c r="H1006">
        <v>71</v>
      </c>
      <c r="I1006" t="s">
        <v>386</v>
      </c>
      <c r="J1006" t="s">
        <v>386</v>
      </c>
      <c r="K1006">
        <v>1000000</v>
      </c>
      <c r="L1006">
        <v>1497</v>
      </c>
      <c r="M1006">
        <v>1497</v>
      </c>
      <c r="N1006">
        <v>2078</v>
      </c>
      <c r="O1006">
        <v>0</v>
      </c>
      <c r="P1006">
        <v>1559</v>
      </c>
      <c r="Q1006">
        <v>2303</v>
      </c>
      <c r="R1006">
        <v>2274</v>
      </c>
      <c r="S1006">
        <v>1503</v>
      </c>
      <c r="T1006">
        <v>0</v>
      </c>
      <c r="U1006">
        <v>12678</v>
      </c>
      <c r="V1006">
        <v>5569.4948734099999</v>
      </c>
      <c r="AH1006">
        <f t="shared" si="140"/>
        <v>1497</v>
      </c>
      <c r="AI1006">
        <f t="shared" si="141"/>
        <v>2078</v>
      </c>
      <c r="AJ1006" t="str">
        <f t="shared" si="142"/>
        <v/>
      </c>
      <c r="AK1006">
        <f t="shared" si="143"/>
        <v>1559</v>
      </c>
      <c r="AL1006">
        <f t="shared" si="136"/>
        <v>2303</v>
      </c>
      <c r="AM1006">
        <f t="shared" si="137"/>
        <v>2274</v>
      </c>
      <c r="AN1006">
        <f t="shared" si="138"/>
        <v>1503</v>
      </c>
      <c r="AO1006" t="str">
        <f t="shared" si="139"/>
        <v/>
      </c>
    </row>
    <row r="1007" spans="1:41">
      <c r="A1007">
        <f t="shared" si="144"/>
        <v>1003</v>
      </c>
      <c r="B1007" t="s">
        <v>277</v>
      </c>
      <c r="C1007">
        <v>5</v>
      </c>
      <c r="D1007">
        <v>5</v>
      </c>
      <c r="E1007" t="s">
        <v>385</v>
      </c>
      <c r="F1007">
        <v>412</v>
      </c>
      <c r="G1007">
        <v>1</v>
      </c>
      <c r="H1007">
        <v>72</v>
      </c>
      <c r="I1007" t="s">
        <v>386</v>
      </c>
      <c r="J1007" t="s">
        <v>386</v>
      </c>
      <c r="K1007">
        <v>1000000</v>
      </c>
      <c r="L1007">
        <v>1560</v>
      </c>
      <c r="M1007">
        <v>1560</v>
      </c>
      <c r="N1007">
        <v>2163</v>
      </c>
      <c r="O1007">
        <v>0</v>
      </c>
      <c r="P1007">
        <v>1438</v>
      </c>
      <c r="Q1007">
        <v>2133</v>
      </c>
      <c r="R1007">
        <v>2119</v>
      </c>
      <c r="S1007">
        <v>1406</v>
      </c>
      <c r="T1007">
        <v>0</v>
      </c>
      <c r="U1007">
        <v>13093</v>
      </c>
      <c r="V1007">
        <v>5734.0113538400001</v>
      </c>
      <c r="AH1007">
        <f t="shared" si="140"/>
        <v>1560</v>
      </c>
      <c r="AI1007">
        <f t="shared" si="141"/>
        <v>2163</v>
      </c>
      <c r="AJ1007" t="str">
        <f t="shared" si="142"/>
        <v/>
      </c>
      <c r="AK1007">
        <f t="shared" si="143"/>
        <v>1438</v>
      </c>
      <c r="AL1007">
        <f t="shared" si="136"/>
        <v>2133</v>
      </c>
      <c r="AM1007">
        <f t="shared" si="137"/>
        <v>2119</v>
      </c>
      <c r="AN1007">
        <f t="shared" si="138"/>
        <v>1406</v>
      </c>
      <c r="AO1007" t="str">
        <f t="shared" si="139"/>
        <v/>
      </c>
    </row>
    <row r="1008" spans="1:41">
      <c r="A1008">
        <f t="shared" si="144"/>
        <v>1004</v>
      </c>
      <c r="B1008" t="s">
        <v>277</v>
      </c>
      <c r="C1008">
        <v>5</v>
      </c>
      <c r="D1008">
        <v>5</v>
      </c>
      <c r="E1008" t="s">
        <v>385</v>
      </c>
      <c r="F1008">
        <v>412</v>
      </c>
      <c r="G1008">
        <v>1</v>
      </c>
      <c r="H1008">
        <v>73</v>
      </c>
      <c r="I1008" t="s">
        <v>386</v>
      </c>
      <c r="J1008" t="s">
        <v>386</v>
      </c>
      <c r="K1008">
        <v>1000000</v>
      </c>
      <c r="L1008">
        <v>1618</v>
      </c>
      <c r="M1008">
        <v>1618</v>
      </c>
      <c r="N1008">
        <v>2242</v>
      </c>
      <c r="O1008">
        <v>0</v>
      </c>
      <c r="P1008">
        <v>1341</v>
      </c>
      <c r="Q1008">
        <v>2001</v>
      </c>
      <c r="R1008">
        <v>1993</v>
      </c>
      <c r="S1008">
        <v>1324</v>
      </c>
      <c r="T1008">
        <v>0</v>
      </c>
      <c r="U1008">
        <v>13479</v>
      </c>
      <c r="V1008">
        <v>5898.8010648199997</v>
      </c>
      <c r="AH1008">
        <f t="shared" si="140"/>
        <v>1618</v>
      </c>
      <c r="AI1008">
        <f t="shared" si="141"/>
        <v>2242</v>
      </c>
      <c r="AJ1008" t="str">
        <f t="shared" si="142"/>
        <v/>
      </c>
      <c r="AK1008">
        <f t="shared" si="143"/>
        <v>1341</v>
      </c>
      <c r="AL1008">
        <f t="shared" si="136"/>
        <v>2001</v>
      </c>
      <c r="AM1008">
        <f t="shared" si="137"/>
        <v>1993</v>
      </c>
      <c r="AN1008">
        <f t="shared" si="138"/>
        <v>1324</v>
      </c>
      <c r="AO1008" t="str">
        <f t="shared" si="139"/>
        <v/>
      </c>
    </row>
    <row r="1009" spans="1:41">
      <c r="A1009">
        <f t="shared" si="144"/>
        <v>1005</v>
      </c>
      <c r="B1009" t="s">
        <v>277</v>
      </c>
      <c r="C1009">
        <v>5</v>
      </c>
      <c r="D1009">
        <v>5</v>
      </c>
      <c r="E1009" t="s">
        <v>385</v>
      </c>
      <c r="F1009">
        <v>412</v>
      </c>
      <c r="G1009">
        <v>1</v>
      </c>
      <c r="H1009">
        <v>74</v>
      </c>
      <c r="I1009" t="s">
        <v>386</v>
      </c>
      <c r="J1009" t="s">
        <v>386</v>
      </c>
      <c r="K1009">
        <v>1000000</v>
      </c>
      <c r="L1009">
        <v>1672</v>
      </c>
      <c r="M1009">
        <v>1672</v>
      </c>
      <c r="N1009">
        <v>2316</v>
      </c>
      <c r="O1009">
        <v>0</v>
      </c>
      <c r="P1009">
        <v>1263</v>
      </c>
      <c r="Q1009">
        <v>1885</v>
      </c>
      <c r="R1009">
        <v>1875</v>
      </c>
      <c r="S1009">
        <v>1241</v>
      </c>
      <c r="T1009">
        <v>0</v>
      </c>
      <c r="U1009">
        <v>13840</v>
      </c>
      <c r="V1009">
        <v>6072.9818362300002</v>
      </c>
      <c r="AH1009">
        <f t="shared" si="140"/>
        <v>1672</v>
      </c>
      <c r="AI1009">
        <f t="shared" si="141"/>
        <v>2316</v>
      </c>
      <c r="AJ1009" t="str">
        <f t="shared" si="142"/>
        <v/>
      </c>
      <c r="AK1009">
        <f t="shared" si="143"/>
        <v>1263</v>
      </c>
      <c r="AL1009">
        <f t="shared" si="136"/>
        <v>1885</v>
      </c>
      <c r="AM1009">
        <f t="shared" si="137"/>
        <v>1875</v>
      </c>
      <c r="AN1009">
        <f t="shared" si="138"/>
        <v>1241</v>
      </c>
      <c r="AO1009" t="str">
        <f t="shared" si="139"/>
        <v/>
      </c>
    </row>
    <row r="1010" spans="1:41">
      <c r="A1010">
        <f t="shared" si="144"/>
        <v>1006</v>
      </c>
      <c r="B1010" t="s">
        <v>277</v>
      </c>
      <c r="C1010">
        <v>5</v>
      </c>
      <c r="D1010">
        <v>5</v>
      </c>
      <c r="E1010" t="s">
        <v>385</v>
      </c>
      <c r="F1010">
        <v>412</v>
      </c>
      <c r="G1010">
        <v>1</v>
      </c>
      <c r="H1010">
        <v>75</v>
      </c>
      <c r="I1010" t="s">
        <v>386</v>
      </c>
      <c r="J1010" t="s">
        <v>386</v>
      </c>
      <c r="K1010">
        <v>1000000</v>
      </c>
      <c r="L1010">
        <v>1723</v>
      </c>
      <c r="M1010">
        <v>1723</v>
      </c>
      <c r="N1010">
        <v>2385</v>
      </c>
      <c r="O1010">
        <v>0</v>
      </c>
      <c r="P1010">
        <v>1186</v>
      </c>
      <c r="Q1010">
        <v>1764</v>
      </c>
      <c r="R1010">
        <v>1747</v>
      </c>
      <c r="S1010">
        <v>1151</v>
      </c>
      <c r="T1010">
        <v>0</v>
      </c>
      <c r="U1010">
        <v>14177</v>
      </c>
      <c r="V1010">
        <v>6259.82582817</v>
      </c>
      <c r="AH1010">
        <f t="shared" si="140"/>
        <v>1723</v>
      </c>
      <c r="AI1010">
        <f t="shared" si="141"/>
        <v>2385</v>
      </c>
      <c r="AJ1010" t="str">
        <f t="shared" si="142"/>
        <v/>
      </c>
      <c r="AK1010">
        <f t="shared" si="143"/>
        <v>1186</v>
      </c>
      <c r="AL1010">
        <f t="shared" si="136"/>
        <v>1764</v>
      </c>
      <c r="AM1010">
        <f t="shared" si="137"/>
        <v>1747</v>
      </c>
      <c r="AN1010">
        <f t="shared" si="138"/>
        <v>1151</v>
      </c>
      <c r="AO1010" t="str">
        <f t="shared" si="139"/>
        <v/>
      </c>
    </row>
    <row r="1011" spans="1:41">
      <c r="A1011">
        <f t="shared" si="144"/>
        <v>1007</v>
      </c>
      <c r="B1011" t="s">
        <v>277</v>
      </c>
      <c r="C1011">
        <v>4</v>
      </c>
      <c r="D1011">
        <v>4</v>
      </c>
      <c r="E1011" t="s">
        <v>385</v>
      </c>
      <c r="F1011">
        <v>412</v>
      </c>
      <c r="G1011">
        <v>1</v>
      </c>
      <c r="H1011">
        <v>76</v>
      </c>
      <c r="I1011" t="s">
        <v>386</v>
      </c>
      <c r="J1011" t="s">
        <v>386</v>
      </c>
      <c r="K1011">
        <v>1000000</v>
      </c>
      <c r="L1011">
        <v>1751</v>
      </c>
      <c r="M1011">
        <v>1751</v>
      </c>
      <c r="N1011">
        <v>2507</v>
      </c>
      <c r="O1011">
        <v>0</v>
      </c>
      <c r="P1011">
        <v>856</v>
      </c>
      <c r="Q1011">
        <v>1127</v>
      </c>
      <c r="R1011">
        <v>834</v>
      </c>
      <c r="S1011">
        <v>0</v>
      </c>
      <c r="T1011" t="s">
        <v>386</v>
      </c>
      <c r="U1011">
        <v>14765</v>
      </c>
      <c r="V1011">
        <v>5763.9022658499998</v>
      </c>
      <c r="AH1011">
        <f t="shared" si="140"/>
        <v>1751</v>
      </c>
      <c r="AI1011">
        <f t="shared" si="141"/>
        <v>2507</v>
      </c>
      <c r="AJ1011" t="str">
        <f t="shared" si="142"/>
        <v/>
      </c>
      <c r="AK1011">
        <f t="shared" si="143"/>
        <v>856</v>
      </c>
      <c r="AL1011">
        <f t="shared" si="136"/>
        <v>1127</v>
      </c>
      <c r="AM1011">
        <f t="shared" si="137"/>
        <v>834</v>
      </c>
      <c r="AN1011" t="str">
        <f t="shared" si="138"/>
        <v/>
      </c>
      <c r="AO1011" t="e">
        <f t="shared" si="139"/>
        <v>#VALUE!</v>
      </c>
    </row>
    <row r="1012" spans="1:41">
      <c r="A1012">
        <f t="shared" si="144"/>
        <v>1008</v>
      </c>
      <c r="B1012" t="s">
        <v>277</v>
      </c>
      <c r="C1012">
        <v>3</v>
      </c>
      <c r="D1012">
        <v>3</v>
      </c>
      <c r="E1012" t="s">
        <v>385</v>
      </c>
      <c r="F1012">
        <v>412</v>
      </c>
      <c r="G1012">
        <v>1</v>
      </c>
      <c r="H1012">
        <v>77</v>
      </c>
      <c r="I1012" t="s">
        <v>386</v>
      </c>
      <c r="J1012" t="s">
        <v>386</v>
      </c>
      <c r="K1012">
        <v>1000000</v>
      </c>
      <c r="L1012">
        <v>1776</v>
      </c>
      <c r="M1012">
        <v>1776</v>
      </c>
      <c r="N1012">
        <v>2696</v>
      </c>
      <c r="O1012">
        <v>0</v>
      </c>
      <c r="P1012">
        <v>544</v>
      </c>
      <c r="Q1012">
        <v>536</v>
      </c>
      <c r="R1012">
        <v>0</v>
      </c>
      <c r="S1012" t="s">
        <v>386</v>
      </c>
      <c r="T1012" t="s">
        <v>386</v>
      </c>
      <c r="U1012">
        <v>15680</v>
      </c>
      <c r="V1012">
        <v>5230.6450605299997</v>
      </c>
      <c r="AH1012">
        <f t="shared" si="140"/>
        <v>1776</v>
      </c>
      <c r="AI1012">
        <f t="shared" si="141"/>
        <v>2696</v>
      </c>
      <c r="AJ1012" t="str">
        <f t="shared" si="142"/>
        <v/>
      </c>
      <c r="AK1012">
        <f t="shared" si="143"/>
        <v>544</v>
      </c>
      <c r="AL1012">
        <f t="shared" si="136"/>
        <v>536</v>
      </c>
      <c r="AM1012" t="str">
        <f t="shared" si="137"/>
        <v/>
      </c>
      <c r="AN1012" t="e">
        <f t="shared" si="138"/>
        <v>#VALUE!</v>
      </c>
      <c r="AO1012" t="e">
        <f t="shared" si="139"/>
        <v>#VALUE!</v>
      </c>
    </row>
    <row r="1013" spans="1:41">
      <c r="A1013">
        <f t="shared" si="144"/>
        <v>1009</v>
      </c>
      <c r="B1013" t="s">
        <v>277</v>
      </c>
      <c r="C1013">
        <v>2</v>
      </c>
      <c r="D1013">
        <v>2</v>
      </c>
      <c r="E1013" t="s">
        <v>385</v>
      </c>
      <c r="F1013">
        <v>412</v>
      </c>
      <c r="G1013">
        <v>1</v>
      </c>
      <c r="H1013">
        <v>78</v>
      </c>
      <c r="I1013" t="s">
        <v>386</v>
      </c>
      <c r="J1013" t="s">
        <v>386</v>
      </c>
      <c r="K1013">
        <v>1000000</v>
      </c>
      <c r="L1013">
        <v>1800</v>
      </c>
      <c r="M1013">
        <v>1800</v>
      </c>
      <c r="N1013">
        <v>2958</v>
      </c>
      <c r="O1013">
        <v>0</v>
      </c>
      <c r="P1013">
        <v>258</v>
      </c>
      <c r="Q1013">
        <v>0</v>
      </c>
      <c r="R1013" t="s">
        <v>386</v>
      </c>
      <c r="S1013" t="s">
        <v>386</v>
      </c>
      <c r="T1013" t="s">
        <v>386</v>
      </c>
      <c r="U1013">
        <v>15039</v>
      </c>
      <c r="V1013">
        <v>4656.0327587100001</v>
      </c>
      <c r="AH1013">
        <f t="shared" si="140"/>
        <v>1800</v>
      </c>
      <c r="AI1013">
        <f t="shared" si="141"/>
        <v>2958</v>
      </c>
      <c r="AJ1013" t="str">
        <f t="shared" si="142"/>
        <v/>
      </c>
      <c r="AK1013">
        <f t="shared" si="143"/>
        <v>258</v>
      </c>
      <c r="AL1013" t="str">
        <f t="shared" si="136"/>
        <v/>
      </c>
      <c r="AM1013" t="e">
        <f t="shared" si="137"/>
        <v>#VALUE!</v>
      </c>
      <c r="AN1013" t="e">
        <f t="shared" si="138"/>
        <v>#VALUE!</v>
      </c>
      <c r="AO1013" t="e">
        <f t="shared" si="139"/>
        <v>#VALUE!</v>
      </c>
    </row>
    <row r="1014" spans="1:41">
      <c r="A1014">
        <f t="shared" si="144"/>
        <v>1010</v>
      </c>
      <c r="B1014" t="s">
        <v>277</v>
      </c>
      <c r="C1014">
        <v>1</v>
      </c>
      <c r="D1014">
        <v>1</v>
      </c>
      <c r="E1014" t="s">
        <v>385</v>
      </c>
      <c r="F1014">
        <v>412</v>
      </c>
      <c r="G1014">
        <v>1</v>
      </c>
      <c r="H1014">
        <v>79</v>
      </c>
      <c r="I1014" t="s">
        <v>386</v>
      </c>
      <c r="J1014" t="s">
        <v>386</v>
      </c>
      <c r="K1014">
        <v>1000000</v>
      </c>
      <c r="L1014">
        <v>1822</v>
      </c>
      <c r="M1014">
        <v>1822</v>
      </c>
      <c r="N1014">
        <v>3648</v>
      </c>
      <c r="O1014">
        <v>0</v>
      </c>
      <c r="P1014">
        <v>0</v>
      </c>
      <c r="Q1014" t="s">
        <v>386</v>
      </c>
      <c r="R1014" t="s">
        <v>386</v>
      </c>
      <c r="S1014" t="s">
        <v>386</v>
      </c>
      <c r="T1014" t="s">
        <v>386</v>
      </c>
      <c r="U1014">
        <v>14011</v>
      </c>
      <c r="V1014">
        <v>4038.9884757099999</v>
      </c>
      <c r="AH1014">
        <f t="shared" si="140"/>
        <v>1822</v>
      </c>
      <c r="AI1014">
        <f t="shared" si="141"/>
        <v>3648</v>
      </c>
      <c r="AJ1014" t="str">
        <f t="shared" si="142"/>
        <v/>
      </c>
      <c r="AK1014" t="str">
        <f t="shared" si="143"/>
        <v/>
      </c>
      <c r="AL1014" t="e">
        <f t="shared" si="136"/>
        <v>#VALUE!</v>
      </c>
      <c r="AM1014" t="e">
        <f t="shared" si="137"/>
        <v>#VALUE!</v>
      </c>
      <c r="AN1014" t="e">
        <f t="shared" si="138"/>
        <v>#VALUE!</v>
      </c>
      <c r="AO1014" t="e">
        <f t="shared" si="139"/>
        <v>#VALUE!</v>
      </c>
    </row>
    <row r="1015" spans="1:41">
      <c r="A1015">
        <f t="shared" si="144"/>
        <v>1011</v>
      </c>
      <c r="B1015" t="s">
        <v>277</v>
      </c>
      <c r="C1015">
        <v>5</v>
      </c>
      <c r="D1015">
        <v>5</v>
      </c>
      <c r="E1015" t="s">
        <v>387</v>
      </c>
      <c r="F1015">
        <v>412</v>
      </c>
      <c r="G1015">
        <v>1</v>
      </c>
      <c r="H1015">
        <v>30</v>
      </c>
      <c r="I1015" t="s">
        <v>386</v>
      </c>
      <c r="J1015" t="s">
        <v>386</v>
      </c>
      <c r="K1015">
        <v>1000000</v>
      </c>
      <c r="L1015">
        <v>39</v>
      </c>
      <c r="M1015">
        <v>39</v>
      </c>
      <c r="N1015">
        <v>110</v>
      </c>
      <c r="O1015">
        <v>0</v>
      </c>
      <c r="P1015">
        <v>96</v>
      </c>
      <c r="Q1015">
        <v>159</v>
      </c>
      <c r="R1015">
        <v>173</v>
      </c>
      <c r="S1015">
        <v>123</v>
      </c>
      <c r="T1015">
        <v>0</v>
      </c>
      <c r="U1015">
        <v>2977</v>
      </c>
      <c r="V1015">
        <v>3408.06282874</v>
      </c>
      <c r="AH1015">
        <f t="shared" si="140"/>
        <v>39</v>
      </c>
      <c r="AI1015">
        <f t="shared" si="141"/>
        <v>110</v>
      </c>
      <c r="AJ1015" t="str">
        <f t="shared" si="142"/>
        <v/>
      </c>
      <c r="AK1015">
        <f t="shared" si="143"/>
        <v>96</v>
      </c>
      <c r="AL1015">
        <f t="shared" si="136"/>
        <v>159</v>
      </c>
      <c r="AM1015">
        <f t="shared" si="137"/>
        <v>173</v>
      </c>
      <c r="AN1015">
        <f t="shared" si="138"/>
        <v>123</v>
      </c>
      <c r="AO1015" t="str">
        <f t="shared" si="139"/>
        <v/>
      </c>
    </row>
    <row r="1016" spans="1:41">
      <c r="A1016">
        <f t="shared" si="144"/>
        <v>1012</v>
      </c>
      <c r="B1016" t="s">
        <v>277</v>
      </c>
      <c r="C1016">
        <v>5</v>
      </c>
      <c r="D1016">
        <v>5</v>
      </c>
      <c r="E1016" t="s">
        <v>387</v>
      </c>
      <c r="F1016">
        <v>412</v>
      </c>
      <c r="G1016">
        <v>1</v>
      </c>
      <c r="H1016">
        <v>31</v>
      </c>
      <c r="I1016" t="s">
        <v>386</v>
      </c>
      <c r="J1016" t="s">
        <v>386</v>
      </c>
      <c r="K1016">
        <v>1000000</v>
      </c>
      <c r="L1016">
        <v>44</v>
      </c>
      <c r="M1016">
        <v>44</v>
      </c>
      <c r="N1016">
        <v>116</v>
      </c>
      <c r="O1016">
        <v>0</v>
      </c>
      <c r="P1016">
        <v>119</v>
      </c>
      <c r="Q1016">
        <v>191</v>
      </c>
      <c r="R1016">
        <v>199</v>
      </c>
      <c r="S1016">
        <v>137</v>
      </c>
      <c r="T1016">
        <v>0</v>
      </c>
      <c r="U1016">
        <v>3009</v>
      </c>
      <c r="V1016">
        <v>3411.45570688</v>
      </c>
      <c r="AH1016">
        <f t="shared" si="140"/>
        <v>44</v>
      </c>
      <c r="AI1016">
        <f t="shared" si="141"/>
        <v>116</v>
      </c>
      <c r="AJ1016" t="str">
        <f t="shared" si="142"/>
        <v/>
      </c>
      <c r="AK1016">
        <f t="shared" si="143"/>
        <v>119</v>
      </c>
      <c r="AL1016">
        <f t="shared" si="136"/>
        <v>191</v>
      </c>
      <c r="AM1016">
        <f t="shared" si="137"/>
        <v>199</v>
      </c>
      <c r="AN1016">
        <f t="shared" si="138"/>
        <v>137</v>
      </c>
      <c r="AO1016" t="str">
        <f t="shared" si="139"/>
        <v/>
      </c>
    </row>
    <row r="1017" spans="1:41">
      <c r="A1017">
        <f t="shared" si="144"/>
        <v>1013</v>
      </c>
      <c r="B1017" t="s">
        <v>277</v>
      </c>
      <c r="C1017">
        <v>5</v>
      </c>
      <c r="D1017">
        <v>5</v>
      </c>
      <c r="E1017" t="s">
        <v>387</v>
      </c>
      <c r="F1017">
        <v>412</v>
      </c>
      <c r="G1017">
        <v>1</v>
      </c>
      <c r="H1017">
        <v>32</v>
      </c>
      <c r="I1017" t="s">
        <v>386</v>
      </c>
      <c r="J1017" t="s">
        <v>386</v>
      </c>
      <c r="K1017">
        <v>1000000</v>
      </c>
      <c r="L1017">
        <v>49</v>
      </c>
      <c r="M1017">
        <v>49</v>
      </c>
      <c r="N1017">
        <v>124</v>
      </c>
      <c r="O1017">
        <v>0</v>
      </c>
      <c r="P1017">
        <v>135</v>
      </c>
      <c r="Q1017">
        <v>209</v>
      </c>
      <c r="R1017">
        <v>214</v>
      </c>
      <c r="S1017">
        <v>146</v>
      </c>
      <c r="T1017">
        <v>0</v>
      </c>
      <c r="U1017">
        <v>3046</v>
      </c>
      <c r="V1017">
        <v>3415.2412898500002</v>
      </c>
      <c r="AH1017">
        <f t="shared" si="140"/>
        <v>49</v>
      </c>
      <c r="AI1017">
        <f t="shared" si="141"/>
        <v>124</v>
      </c>
      <c r="AJ1017" t="str">
        <f t="shared" si="142"/>
        <v/>
      </c>
      <c r="AK1017">
        <f t="shared" si="143"/>
        <v>135</v>
      </c>
      <c r="AL1017">
        <f t="shared" si="136"/>
        <v>209</v>
      </c>
      <c r="AM1017">
        <f t="shared" si="137"/>
        <v>214</v>
      </c>
      <c r="AN1017">
        <f t="shared" si="138"/>
        <v>146</v>
      </c>
      <c r="AO1017" t="str">
        <f t="shared" si="139"/>
        <v/>
      </c>
    </row>
    <row r="1018" spans="1:41">
      <c r="A1018">
        <f t="shared" si="144"/>
        <v>1014</v>
      </c>
      <c r="B1018" t="s">
        <v>277</v>
      </c>
      <c r="C1018">
        <v>5</v>
      </c>
      <c r="D1018">
        <v>5</v>
      </c>
      <c r="E1018" t="s">
        <v>387</v>
      </c>
      <c r="F1018">
        <v>412</v>
      </c>
      <c r="G1018">
        <v>1</v>
      </c>
      <c r="H1018">
        <v>33</v>
      </c>
      <c r="I1018" t="s">
        <v>386</v>
      </c>
      <c r="J1018" t="s">
        <v>386</v>
      </c>
      <c r="K1018">
        <v>1000000</v>
      </c>
      <c r="L1018">
        <v>55</v>
      </c>
      <c r="M1018">
        <v>55</v>
      </c>
      <c r="N1018">
        <v>132</v>
      </c>
      <c r="O1018">
        <v>0</v>
      </c>
      <c r="P1018">
        <v>143</v>
      </c>
      <c r="Q1018">
        <v>218</v>
      </c>
      <c r="R1018">
        <v>223</v>
      </c>
      <c r="S1018">
        <v>151</v>
      </c>
      <c r="T1018">
        <v>0</v>
      </c>
      <c r="U1018">
        <v>3086</v>
      </c>
      <c r="V1018">
        <v>3419.4108167899999</v>
      </c>
      <c r="AH1018">
        <f t="shared" si="140"/>
        <v>55</v>
      </c>
      <c r="AI1018">
        <f t="shared" si="141"/>
        <v>132</v>
      </c>
      <c r="AJ1018" t="str">
        <f t="shared" si="142"/>
        <v/>
      </c>
      <c r="AK1018">
        <f t="shared" si="143"/>
        <v>143</v>
      </c>
      <c r="AL1018">
        <f t="shared" si="136"/>
        <v>218</v>
      </c>
      <c r="AM1018">
        <f t="shared" si="137"/>
        <v>223</v>
      </c>
      <c r="AN1018">
        <f t="shared" si="138"/>
        <v>151</v>
      </c>
      <c r="AO1018" t="str">
        <f t="shared" si="139"/>
        <v/>
      </c>
    </row>
    <row r="1019" spans="1:41">
      <c r="A1019">
        <f t="shared" si="144"/>
        <v>1015</v>
      </c>
      <c r="B1019" t="s">
        <v>277</v>
      </c>
      <c r="C1019">
        <v>5</v>
      </c>
      <c r="D1019">
        <v>5</v>
      </c>
      <c r="E1019" t="s">
        <v>387</v>
      </c>
      <c r="F1019">
        <v>412</v>
      </c>
      <c r="G1019">
        <v>1</v>
      </c>
      <c r="H1019">
        <v>34</v>
      </c>
      <c r="I1019" t="s">
        <v>386</v>
      </c>
      <c r="J1019" t="s">
        <v>386</v>
      </c>
      <c r="K1019">
        <v>1000000</v>
      </c>
      <c r="L1019">
        <v>62</v>
      </c>
      <c r="M1019">
        <v>62</v>
      </c>
      <c r="N1019">
        <v>140</v>
      </c>
      <c r="O1019">
        <v>0</v>
      </c>
      <c r="P1019">
        <v>149</v>
      </c>
      <c r="Q1019">
        <v>229</v>
      </c>
      <c r="R1019">
        <v>235</v>
      </c>
      <c r="S1019">
        <v>163</v>
      </c>
      <c r="T1019">
        <v>0</v>
      </c>
      <c r="U1019">
        <v>3128</v>
      </c>
      <c r="V1019">
        <v>3424.0333137600001</v>
      </c>
      <c r="AH1019">
        <f t="shared" si="140"/>
        <v>62</v>
      </c>
      <c r="AI1019">
        <f t="shared" si="141"/>
        <v>140</v>
      </c>
      <c r="AJ1019" t="str">
        <f t="shared" si="142"/>
        <v/>
      </c>
      <c r="AK1019">
        <f t="shared" si="143"/>
        <v>149</v>
      </c>
      <c r="AL1019">
        <f t="shared" si="136"/>
        <v>229</v>
      </c>
      <c r="AM1019">
        <f t="shared" si="137"/>
        <v>235</v>
      </c>
      <c r="AN1019">
        <f t="shared" si="138"/>
        <v>163</v>
      </c>
      <c r="AO1019" t="str">
        <f t="shared" si="139"/>
        <v/>
      </c>
    </row>
    <row r="1020" spans="1:41">
      <c r="A1020">
        <f t="shared" si="144"/>
        <v>1016</v>
      </c>
      <c r="B1020" t="s">
        <v>277</v>
      </c>
      <c r="C1020">
        <v>5</v>
      </c>
      <c r="D1020">
        <v>5</v>
      </c>
      <c r="E1020" t="s">
        <v>387</v>
      </c>
      <c r="F1020">
        <v>412</v>
      </c>
      <c r="G1020">
        <v>1</v>
      </c>
      <c r="H1020">
        <v>35</v>
      </c>
      <c r="I1020" t="s">
        <v>386</v>
      </c>
      <c r="J1020" t="s">
        <v>386</v>
      </c>
      <c r="K1020">
        <v>1000000</v>
      </c>
      <c r="L1020">
        <v>68</v>
      </c>
      <c r="M1020">
        <v>68</v>
      </c>
      <c r="N1020">
        <v>149</v>
      </c>
      <c r="O1020">
        <v>0</v>
      </c>
      <c r="P1020">
        <v>159</v>
      </c>
      <c r="Q1020">
        <v>246</v>
      </c>
      <c r="R1020">
        <v>257</v>
      </c>
      <c r="S1020">
        <v>179</v>
      </c>
      <c r="T1020">
        <v>0</v>
      </c>
      <c r="U1020">
        <v>3173</v>
      </c>
      <c r="V1020">
        <v>3428.8135753900001</v>
      </c>
      <c r="AH1020">
        <f t="shared" si="140"/>
        <v>68</v>
      </c>
      <c r="AI1020">
        <f t="shared" si="141"/>
        <v>149</v>
      </c>
      <c r="AJ1020" t="str">
        <f t="shared" si="142"/>
        <v/>
      </c>
      <c r="AK1020">
        <f t="shared" si="143"/>
        <v>159</v>
      </c>
      <c r="AL1020">
        <f t="shared" si="136"/>
        <v>246</v>
      </c>
      <c r="AM1020">
        <f t="shared" si="137"/>
        <v>257</v>
      </c>
      <c r="AN1020">
        <f t="shared" si="138"/>
        <v>179</v>
      </c>
      <c r="AO1020" t="str">
        <f t="shared" si="139"/>
        <v/>
      </c>
    </row>
    <row r="1021" spans="1:41">
      <c r="A1021">
        <f t="shared" si="144"/>
        <v>1017</v>
      </c>
      <c r="B1021" t="s">
        <v>277</v>
      </c>
      <c r="C1021">
        <v>5</v>
      </c>
      <c r="D1021">
        <v>5</v>
      </c>
      <c r="E1021" t="s">
        <v>387</v>
      </c>
      <c r="F1021">
        <v>412</v>
      </c>
      <c r="G1021">
        <v>1</v>
      </c>
      <c r="H1021">
        <v>36</v>
      </c>
      <c r="I1021" t="s">
        <v>386</v>
      </c>
      <c r="J1021" t="s">
        <v>386</v>
      </c>
      <c r="K1021">
        <v>1000000</v>
      </c>
      <c r="L1021">
        <v>76</v>
      </c>
      <c r="M1021">
        <v>76</v>
      </c>
      <c r="N1021">
        <v>159</v>
      </c>
      <c r="O1021">
        <v>0</v>
      </c>
      <c r="P1021">
        <v>173</v>
      </c>
      <c r="Q1021">
        <v>272</v>
      </c>
      <c r="R1021">
        <v>285</v>
      </c>
      <c r="S1021">
        <v>199</v>
      </c>
      <c r="T1021">
        <v>0</v>
      </c>
      <c r="U1021">
        <v>3223</v>
      </c>
      <c r="V1021">
        <v>3433.8495137700002</v>
      </c>
      <c r="AH1021">
        <f t="shared" si="140"/>
        <v>76</v>
      </c>
      <c r="AI1021">
        <f t="shared" si="141"/>
        <v>159</v>
      </c>
      <c r="AJ1021" t="str">
        <f t="shared" si="142"/>
        <v/>
      </c>
      <c r="AK1021">
        <f t="shared" si="143"/>
        <v>173</v>
      </c>
      <c r="AL1021">
        <f t="shared" si="136"/>
        <v>272</v>
      </c>
      <c r="AM1021">
        <f t="shared" si="137"/>
        <v>285</v>
      </c>
      <c r="AN1021">
        <f t="shared" si="138"/>
        <v>199</v>
      </c>
      <c r="AO1021" t="str">
        <f t="shared" si="139"/>
        <v/>
      </c>
    </row>
    <row r="1022" spans="1:41">
      <c r="A1022">
        <f t="shared" si="144"/>
        <v>1018</v>
      </c>
      <c r="B1022" t="s">
        <v>277</v>
      </c>
      <c r="C1022">
        <v>5</v>
      </c>
      <c r="D1022">
        <v>5</v>
      </c>
      <c r="E1022" t="s">
        <v>387</v>
      </c>
      <c r="F1022">
        <v>412</v>
      </c>
      <c r="G1022">
        <v>1</v>
      </c>
      <c r="H1022">
        <v>37</v>
      </c>
      <c r="I1022" t="s">
        <v>386</v>
      </c>
      <c r="J1022" t="s">
        <v>386</v>
      </c>
      <c r="K1022">
        <v>1000000</v>
      </c>
      <c r="L1022">
        <v>84</v>
      </c>
      <c r="M1022">
        <v>84</v>
      </c>
      <c r="N1022">
        <v>170</v>
      </c>
      <c r="O1022">
        <v>0</v>
      </c>
      <c r="P1022">
        <v>194</v>
      </c>
      <c r="Q1022">
        <v>304</v>
      </c>
      <c r="R1022">
        <v>318</v>
      </c>
      <c r="S1022">
        <v>222</v>
      </c>
      <c r="T1022">
        <v>0</v>
      </c>
      <c r="U1022">
        <v>3278</v>
      </c>
      <c r="V1022">
        <v>3439.1758674399998</v>
      </c>
      <c r="AH1022">
        <f t="shared" si="140"/>
        <v>84</v>
      </c>
      <c r="AI1022">
        <f t="shared" si="141"/>
        <v>170</v>
      </c>
      <c r="AJ1022" t="str">
        <f t="shared" si="142"/>
        <v/>
      </c>
      <c r="AK1022">
        <f t="shared" si="143"/>
        <v>194</v>
      </c>
      <c r="AL1022">
        <f t="shared" si="136"/>
        <v>304</v>
      </c>
      <c r="AM1022">
        <f t="shared" si="137"/>
        <v>318</v>
      </c>
      <c r="AN1022">
        <f t="shared" si="138"/>
        <v>222</v>
      </c>
      <c r="AO1022" t="str">
        <f t="shared" si="139"/>
        <v/>
      </c>
    </row>
    <row r="1023" spans="1:41">
      <c r="A1023">
        <f t="shared" si="144"/>
        <v>1019</v>
      </c>
      <c r="B1023" t="s">
        <v>277</v>
      </c>
      <c r="C1023">
        <v>5</v>
      </c>
      <c r="D1023">
        <v>5</v>
      </c>
      <c r="E1023" t="s">
        <v>387</v>
      </c>
      <c r="F1023">
        <v>412</v>
      </c>
      <c r="G1023">
        <v>1</v>
      </c>
      <c r="H1023">
        <v>38</v>
      </c>
      <c r="I1023" t="s">
        <v>386</v>
      </c>
      <c r="J1023" t="s">
        <v>386</v>
      </c>
      <c r="K1023">
        <v>1000000</v>
      </c>
      <c r="L1023">
        <v>93</v>
      </c>
      <c r="M1023">
        <v>93</v>
      </c>
      <c r="N1023">
        <v>183</v>
      </c>
      <c r="O1023">
        <v>0</v>
      </c>
      <c r="P1023">
        <v>216</v>
      </c>
      <c r="Q1023">
        <v>338</v>
      </c>
      <c r="R1023">
        <v>353</v>
      </c>
      <c r="S1023">
        <v>245</v>
      </c>
      <c r="T1023">
        <v>0</v>
      </c>
      <c r="U1023">
        <v>3338</v>
      </c>
      <c r="V1023">
        <v>3444.7812498600001</v>
      </c>
      <c r="AH1023">
        <f t="shared" si="140"/>
        <v>93</v>
      </c>
      <c r="AI1023">
        <f t="shared" si="141"/>
        <v>183</v>
      </c>
      <c r="AJ1023" t="str">
        <f t="shared" si="142"/>
        <v/>
      </c>
      <c r="AK1023">
        <f t="shared" si="143"/>
        <v>216</v>
      </c>
      <c r="AL1023">
        <f t="shared" si="136"/>
        <v>338</v>
      </c>
      <c r="AM1023">
        <f t="shared" si="137"/>
        <v>353</v>
      </c>
      <c r="AN1023">
        <f t="shared" si="138"/>
        <v>245</v>
      </c>
      <c r="AO1023" t="str">
        <f t="shared" si="139"/>
        <v/>
      </c>
    </row>
    <row r="1024" spans="1:41">
      <c r="A1024">
        <f t="shared" si="144"/>
        <v>1020</v>
      </c>
      <c r="B1024" t="s">
        <v>277</v>
      </c>
      <c r="C1024">
        <v>5</v>
      </c>
      <c r="D1024">
        <v>5</v>
      </c>
      <c r="E1024" t="s">
        <v>387</v>
      </c>
      <c r="F1024">
        <v>412</v>
      </c>
      <c r="G1024">
        <v>1</v>
      </c>
      <c r="H1024">
        <v>39</v>
      </c>
      <c r="I1024" t="s">
        <v>386</v>
      </c>
      <c r="J1024" t="s">
        <v>386</v>
      </c>
      <c r="K1024">
        <v>1000000</v>
      </c>
      <c r="L1024">
        <v>103</v>
      </c>
      <c r="M1024">
        <v>103</v>
      </c>
      <c r="N1024">
        <v>196</v>
      </c>
      <c r="O1024">
        <v>0</v>
      </c>
      <c r="P1024">
        <v>239</v>
      </c>
      <c r="Q1024">
        <v>373</v>
      </c>
      <c r="R1024">
        <v>388</v>
      </c>
      <c r="S1024">
        <v>269</v>
      </c>
      <c r="T1024">
        <v>0</v>
      </c>
      <c r="U1024">
        <v>3405</v>
      </c>
      <c r="V1024">
        <v>3450.8667054299999</v>
      </c>
      <c r="AH1024">
        <f t="shared" si="140"/>
        <v>103</v>
      </c>
      <c r="AI1024">
        <f t="shared" si="141"/>
        <v>196</v>
      </c>
      <c r="AJ1024" t="str">
        <f t="shared" si="142"/>
        <v/>
      </c>
      <c r="AK1024">
        <f t="shared" si="143"/>
        <v>239</v>
      </c>
      <c r="AL1024">
        <f t="shared" si="136"/>
        <v>373</v>
      </c>
      <c r="AM1024">
        <f t="shared" si="137"/>
        <v>388</v>
      </c>
      <c r="AN1024">
        <f t="shared" si="138"/>
        <v>269</v>
      </c>
      <c r="AO1024" t="str">
        <f t="shared" si="139"/>
        <v/>
      </c>
    </row>
    <row r="1025" spans="1:41">
      <c r="A1025">
        <f t="shared" si="144"/>
        <v>1021</v>
      </c>
      <c r="B1025" t="s">
        <v>277</v>
      </c>
      <c r="C1025">
        <v>5</v>
      </c>
      <c r="D1025">
        <v>5</v>
      </c>
      <c r="E1025" t="s">
        <v>387</v>
      </c>
      <c r="F1025">
        <v>412</v>
      </c>
      <c r="G1025">
        <v>1</v>
      </c>
      <c r="H1025">
        <v>40</v>
      </c>
      <c r="I1025" t="s">
        <v>386</v>
      </c>
      <c r="J1025" t="s">
        <v>386</v>
      </c>
      <c r="K1025">
        <v>1000000</v>
      </c>
      <c r="L1025">
        <v>114</v>
      </c>
      <c r="M1025">
        <v>114</v>
      </c>
      <c r="N1025">
        <v>211</v>
      </c>
      <c r="O1025">
        <v>0</v>
      </c>
      <c r="P1025">
        <v>264</v>
      </c>
      <c r="Q1025">
        <v>412</v>
      </c>
      <c r="R1025">
        <v>430</v>
      </c>
      <c r="S1025">
        <v>301</v>
      </c>
      <c r="T1025">
        <v>0</v>
      </c>
      <c r="U1025">
        <v>3480</v>
      </c>
      <c r="V1025">
        <v>3457.6915635300002</v>
      </c>
      <c r="AH1025">
        <f t="shared" si="140"/>
        <v>114</v>
      </c>
      <c r="AI1025">
        <f t="shared" si="141"/>
        <v>211</v>
      </c>
      <c r="AJ1025" t="str">
        <f t="shared" si="142"/>
        <v/>
      </c>
      <c r="AK1025">
        <f t="shared" si="143"/>
        <v>264</v>
      </c>
      <c r="AL1025">
        <f t="shared" si="136"/>
        <v>412</v>
      </c>
      <c r="AM1025">
        <f t="shared" si="137"/>
        <v>430</v>
      </c>
      <c r="AN1025">
        <f t="shared" si="138"/>
        <v>301</v>
      </c>
      <c r="AO1025" t="str">
        <f t="shared" si="139"/>
        <v/>
      </c>
    </row>
    <row r="1026" spans="1:41">
      <c r="A1026">
        <f t="shared" si="144"/>
        <v>1022</v>
      </c>
      <c r="B1026" t="s">
        <v>277</v>
      </c>
      <c r="C1026">
        <v>5</v>
      </c>
      <c r="D1026">
        <v>5</v>
      </c>
      <c r="E1026" t="s">
        <v>387</v>
      </c>
      <c r="F1026">
        <v>412</v>
      </c>
      <c r="G1026">
        <v>1</v>
      </c>
      <c r="H1026">
        <v>41</v>
      </c>
      <c r="I1026" t="s">
        <v>386</v>
      </c>
      <c r="J1026" t="s">
        <v>386</v>
      </c>
      <c r="K1026">
        <v>1000000</v>
      </c>
      <c r="L1026">
        <v>127</v>
      </c>
      <c r="M1026">
        <v>127</v>
      </c>
      <c r="N1026">
        <v>228</v>
      </c>
      <c r="O1026">
        <v>0</v>
      </c>
      <c r="P1026">
        <v>293</v>
      </c>
      <c r="Q1026">
        <v>460</v>
      </c>
      <c r="R1026">
        <v>483</v>
      </c>
      <c r="S1026">
        <v>339</v>
      </c>
      <c r="T1026">
        <v>0</v>
      </c>
      <c r="U1026">
        <v>3563</v>
      </c>
      <c r="V1026">
        <v>3464.83952572</v>
      </c>
      <c r="AH1026">
        <f t="shared" si="140"/>
        <v>127</v>
      </c>
      <c r="AI1026">
        <f t="shared" si="141"/>
        <v>228</v>
      </c>
      <c r="AJ1026" t="str">
        <f t="shared" si="142"/>
        <v/>
      </c>
      <c r="AK1026">
        <f t="shared" si="143"/>
        <v>293</v>
      </c>
      <c r="AL1026">
        <f t="shared" si="136"/>
        <v>460</v>
      </c>
      <c r="AM1026">
        <f t="shared" si="137"/>
        <v>483</v>
      </c>
      <c r="AN1026">
        <f t="shared" si="138"/>
        <v>339</v>
      </c>
      <c r="AO1026" t="str">
        <f t="shared" si="139"/>
        <v/>
      </c>
    </row>
    <row r="1027" spans="1:41">
      <c r="A1027">
        <f t="shared" si="144"/>
        <v>1023</v>
      </c>
      <c r="B1027" t="s">
        <v>277</v>
      </c>
      <c r="C1027">
        <v>5</v>
      </c>
      <c r="D1027">
        <v>5</v>
      </c>
      <c r="E1027" t="s">
        <v>387</v>
      </c>
      <c r="F1027">
        <v>412</v>
      </c>
      <c r="G1027">
        <v>1</v>
      </c>
      <c r="H1027">
        <v>42</v>
      </c>
      <c r="I1027" t="s">
        <v>386</v>
      </c>
      <c r="J1027" t="s">
        <v>386</v>
      </c>
      <c r="K1027">
        <v>1000000</v>
      </c>
      <c r="L1027">
        <v>141</v>
      </c>
      <c r="M1027">
        <v>141</v>
      </c>
      <c r="N1027">
        <v>247</v>
      </c>
      <c r="O1027">
        <v>0</v>
      </c>
      <c r="P1027">
        <v>329</v>
      </c>
      <c r="Q1027">
        <v>519</v>
      </c>
      <c r="R1027">
        <v>547</v>
      </c>
      <c r="S1027">
        <v>383</v>
      </c>
      <c r="T1027">
        <v>0</v>
      </c>
      <c r="U1027">
        <v>3657</v>
      </c>
      <c r="V1027">
        <v>3472.4815984000002</v>
      </c>
      <c r="AH1027">
        <f t="shared" si="140"/>
        <v>141</v>
      </c>
      <c r="AI1027">
        <f t="shared" si="141"/>
        <v>247</v>
      </c>
      <c r="AJ1027" t="str">
        <f t="shared" si="142"/>
        <v/>
      </c>
      <c r="AK1027">
        <f t="shared" si="143"/>
        <v>329</v>
      </c>
      <c r="AL1027">
        <f t="shared" si="136"/>
        <v>519</v>
      </c>
      <c r="AM1027">
        <f t="shared" si="137"/>
        <v>547</v>
      </c>
      <c r="AN1027">
        <f t="shared" si="138"/>
        <v>383</v>
      </c>
      <c r="AO1027" t="str">
        <f t="shared" si="139"/>
        <v/>
      </c>
    </row>
    <row r="1028" spans="1:41">
      <c r="A1028">
        <f t="shared" si="144"/>
        <v>1024</v>
      </c>
      <c r="B1028" t="s">
        <v>277</v>
      </c>
      <c r="C1028">
        <v>5</v>
      </c>
      <c r="D1028">
        <v>5</v>
      </c>
      <c r="E1028" t="s">
        <v>387</v>
      </c>
      <c r="F1028">
        <v>412</v>
      </c>
      <c r="G1028">
        <v>1</v>
      </c>
      <c r="H1028">
        <v>43</v>
      </c>
      <c r="I1028" t="s">
        <v>386</v>
      </c>
      <c r="J1028" t="s">
        <v>386</v>
      </c>
      <c r="K1028">
        <v>1000000</v>
      </c>
      <c r="L1028">
        <v>157</v>
      </c>
      <c r="M1028">
        <v>157</v>
      </c>
      <c r="N1028">
        <v>268</v>
      </c>
      <c r="O1028">
        <v>0</v>
      </c>
      <c r="P1028">
        <v>374</v>
      </c>
      <c r="Q1028">
        <v>589</v>
      </c>
      <c r="R1028">
        <v>619</v>
      </c>
      <c r="S1028">
        <v>434</v>
      </c>
      <c r="T1028">
        <v>0</v>
      </c>
      <c r="U1028">
        <v>3762</v>
      </c>
      <c r="V1028">
        <v>3480.2360102500002</v>
      </c>
      <c r="AH1028">
        <f t="shared" si="140"/>
        <v>157</v>
      </c>
      <c r="AI1028">
        <f t="shared" si="141"/>
        <v>268</v>
      </c>
      <c r="AJ1028" t="str">
        <f t="shared" si="142"/>
        <v/>
      </c>
      <c r="AK1028">
        <f t="shared" si="143"/>
        <v>374</v>
      </c>
      <c r="AL1028">
        <f t="shared" si="136"/>
        <v>589</v>
      </c>
      <c r="AM1028">
        <f t="shared" si="137"/>
        <v>619</v>
      </c>
      <c r="AN1028">
        <f t="shared" si="138"/>
        <v>434</v>
      </c>
      <c r="AO1028" t="str">
        <f t="shared" si="139"/>
        <v/>
      </c>
    </row>
    <row r="1029" spans="1:41">
      <c r="A1029">
        <f t="shared" si="144"/>
        <v>1025</v>
      </c>
      <c r="B1029" t="s">
        <v>277</v>
      </c>
      <c r="C1029">
        <v>5</v>
      </c>
      <c r="D1029">
        <v>5</v>
      </c>
      <c r="E1029" t="s">
        <v>387</v>
      </c>
      <c r="F1029">
        <v>412</v>
      </c>
      <c r="G1029">
        <v>1</v>
      </c>
      <c r="H1029">
        <v>44</v>
      </c>
      <c r="I1029" t="s">
        <v>386</v>
      </c>
      <c r="J1029" t="s">
        <v>386</v>
      </c>
      <c r="K1029">
        <v>1000000</v>
      </c>
      <c r="L1029">
        <v>174</v>
      </c>
      <c r="M1029">
        <v>174</v>
      </c>
      <c r="N1029">
        <v>292</v>
      </c>
      <c r="O1029">
        <v>0</v>
      </c>
      <c r="P1029">
        <v>422</v>
      </c>
      <c r="Q1029">
        <v>664</v>
      </c>
      <c r="R1029">
        <v>697</v>
      </c>
      <c r="S1029">
        <v>487</v>
      </c>
      <c r="T1029">
        <v>0</v>
      </c>
      <c r="U1029">
        <v>3881</v>
      </c>
      <c r="V1029">
        <v>3487.3828039300001</v>
      </c>
      <c r="AH1029">
        <f t="shared" si="140"/>
        <v>174</v>
      </c>
      <c r="AI1029">
        <f t="shared" si="141"/>
        <v>292</v>
      </c>
      <c r="AJ1029" t="str">
        <f t="shared" si="142"/>
        <v/>
      </c>
      <c r="AK1029">
        <f t="shared" si="143"/>
        <v>422</v>
      </c>
      <c r="AL1029">
        <f t="shared" ref="AL1029:AL1092" si="145">IF(Q1029=AC1029, "", Q1029-AC1029)</f>
        <v>664</v>
      </c>
      <c r="AM1029">
        <f t="shared" ref="AM1029:AM1092" si="146">IF(R1029=AD1029, "", R1029-AD1029)</f>
        <v>697</v>
      </c>
      <c r="AN1029">
        <f t="shared" ref="AN1029:AN1092" si="147">IF(S1029=AE1029, "", S1029-AE1029)</f>
        <v>487</v>
      </c>
      <c r="AO1029" t="str">
        <f t="shared" ref="AO1029:AO1092" si="148">IF(T1029=AF1029, "", T1029-AF1029)</f>
        <v/>
      </c>
    </row>
    <row r="1030" spans="1:41">
      <c r="A1030">
        <f t="shared" si="144"/>
        <v>1026</v>
      </c>
      <c r="B1030" t="s">
        <v>277</v>
      </c>
      <c r="C1030">
        <v>5</v>
      </c>
      <c r="D1030">
        <v>5</v>
      </c>
      <c r="E1030" t="s">
        <v>387</v>
      </c>
      <c r="F1030">
        <v>412</v>
      </c>
      <c r="G1030">
        <v>1</v>
      </c>
      <c r="H1030">
        <v>45</v>
      </c>
      <c r="I1030" t="s">
        <v>386</v>
      </c>
      <c r="J1030" t="s">
        <v>386</v>
      </c>
      <c r="K1030">
        <v>1000000</v>
      </c>
      <c r="L1030">
        <v>194</v>
      </c>
      <c r="M1030">
        <v>194</v>
      </c>
      <c r="N1030">
        <v>319</v>
      </c>
      <c r="O1030">
        <v>0</v>
      </c>
      <c r="P1030">
        <v>474</v>
      </c>
      <c r="Q1030">
        <v>745</v>
      </c>
      <c r="R1030">
        <v>780</v>
      </c>
      <c r="S1030">
        <v>545</v>
      </c>
      <c r="T1030">
        <v>0</v>
      </c>
      <c r="U1030">
        <v>4014</v>
      </c>
      <c r="V1030">
        <v>3493.4184458899999</v>
      </c>
      <c r="AH1030">
        <f t="shared" ref="AH1030:AH1093" si="149">IF(L1030=Y1030, "",L1030-Y1030)</f>
        <v>194</v>
      </c>
      <c r="AI1030">
        <f t="shared" ref="AI1030:AI1093" si="150">IF(N1030=Z1030, "", N1030-Z1030)</f>
        <v>319</v>
      </c>
      <c r="AJ1030" t="str">
        <f t="shared" ref="AJ1030:AJ1093" si="151">IF(O1030=AA1030, "", O1030-AA1030)</f>
        <v/>
      </c>
      <c r="AK1030">
        <f t="shared" ref="AK1030:AK1093" si="152">IF(P1030=AB1030, "", P1030-AB1030)</f>
        <v>474</v>
      </c>
      <c r="AL1030">
        <f t="shared" si="145"/>
        <v>745</v>
      </c>
      <c r="AM1030">
        <f t="shared" si="146"/>
        <v>780</v>
      </c>
      <c r="AN1030">
        <f t="shared" si="147"/>
        <v>545</v>
      </c>
      <c r="AO1030" t="str">
        <f t="shared" si="148"/>
        <v/>
      </c>
    </row>
    <row r="1031" spans="1:41">
      <c r="A1031">
        <f t="shared" ref="A1031:A1094" si="153">A1030+1</f>
        <v>1027</v>
      </c>
      <c r="B1031" t="s">
        <v>277</v>
      </c>
      <c r="C1031">
        <v>5</v>
      </c>
      <c r="D1031">
        <v>5</v>
      </c>
      <c r="E1031" t="s">
        <v>387</v>
      </c>
      <c r="F1031">
        <v>412</v>
      </c>
      <c r="G1031">
        <v>1</v>
      </c>
      <c r="H1031">
        <v>46</v>
      </c>
      <c r="I1031" t="s">
        <v>386</v>
      </c>
      <c r="J1031" t="s">
        <v>386</v>
      </c>
      <c r="K1031">
        <v>1000000</v>
      </c>
      <c r="L1031">
        <v>217</v>
      </c>
      <c r="M1031">
        <v>217</v>
      </c>
      <c r="N1031">
        <v>349</v>
      </c>
      <c r="O1031">
        <v>0</v>
      </c>
      <c r="P1031">
        <v>528</v>
      </c>
      <c r="Q1031">
        <v>827</v>
      </c>
      <c r="R1031">
        <v>863</v>
      </c>
      <c r="S1031">
        <v>597</v>
      </c>
      <c r="T1031">
        <v>0</v>
      </c>
      <c r="U1031">
        <v>4163</v>
      </c>
      <c r="V1031">
        <v>3498.3587069</v>
      </c>
      <c r="AH1031">
        <f t="shared" si="149"/>
        <v>217</v>
      </c>
      <c r="AI1031">
        <f t="shared" si="150"/>
        <v>349</v>
      </c>
      <c r="AJ1031" t="str">
        <f t="shared" si="151"/>
        <v/>
      </c>
      <c r="AK1031">
        <f t="shared" si="152"/>
        <v>528</v>
      </c>
      <c r="AL1031">
        <f t="shared" si="145"/>
        <v>827</v>
      </c>
      <c r="AM1031">
        <f t="shared" si="146"/>
        <v>863</v>
      </c>
      <c r="AN1031">
        <f t="shared" si="147"/>
        <v>597</v>
      </c>
      <c r="AO1031" t="str">
        <f t="shared" si="148"/>
        <v/>
      </c>
    </row>
    <row r="1032" spans="1:41">
      <c r="A1032">
        <f t="shared" si="153"/>
        <v>1028</v>
      </c>
      <c r="B1032" t="s">
        <v>277</v>
      </c>
      <c r="C1032">
        <v>5</v>
      </c>
      <c r="D1032">
        <v>5</v>
      </c>
      <c r="E1032" t="s">
        <v>387</v>
      </c>
      <c r="F1032">
        <v>412</v>
      </c>
      <c r="G1032">
        <v>1</v>
      </c>
      <c r="H1032">
        <v>47</v>
      </c>
      <c r="I1032" t="s">
        <v>386</v>
      </c>
      <c r="J1032" t="s">
        <v>386</v>
      </c>
      <c r="K1032">
        <v>1000000</v>
      </c>
      <c r="L1032">
        <v>241</v>
      </c>
      <c r="M1032">
        <v>241</v>
      </c>
      <c r="N1032">
        <v>381</v>
      </c>
      <c r="O1032">
        <v>0</v>
      </c>
      <c r="P1032">
        <v>578</v>
      </c>
      <c r="Q1032">
        <v>902</v>
      </c>
      <c r="R1032">
        <v>931</v>
      </c>
      <c r="S1032">
        <v>638</v>
      </c>
      <c r="T1032">
        <v>0</v>
      </c>
      <c r="U1032">
        <v>4324</v>
      </c>
      <c r="V1032">
        <v>3501.8906993199998</v>
      </c>
      <c r="AH1032">
        <f t="shared" si="149"/>
        <v>241</v>
      </c>
      <c r="AI1032">
        <f t="shared" si="150"/>
        <v>381</v>
      </c>
      <c r="AJ1032" t="str">
        <f t="shared" si="151"/>
        <v/>
      </c>
      <c r="AK1032">
        <f t="shared" si="152"/>
        <v>578</v>
      </c>
      <c r="AL1032">
        <f t="shared" si="145"/>
        <v>902</v>
      </c>
      <c r="AM1032">
        <f t="shared" si="146"/>
        <v>931</v>
      </c>
      <c r="AN1032">
        <f t="shared" si="147"/>
        <v>638</v>
      </c>
      <c r="AO1032" t="str">
        <f t="shared" si="148"/>
        <v/>
      </c>
    </row>
    <row r="1033" spans="1:41">
      <c r="A1033">
        <f t="shared" si="153"/>
        <v>1029</v>
      </c>
      <c r="B1033" t="s">
        <v>277</v>
      </c>
      <c r="C1033">
        <v>5</v>
      </c>
      <c r="D1033">
        <v>5</v>
      </c>
      <c r="E1033" t="s">
        <v>387</v>
      </c>
      <c r="F1033">
        <v>412</v>
      </c>
      <c r="G1033">
        <v>1</v>
      </c>
      <c r="H1033">
        <v>48</v>
      </c>
      <c r="I1033" t="s">
        <v>386</v>
      </c>
      <c r="J1033" t="s">
        <v>386</v>
      </c>
      <c r="K1033">
        <v>1000000</v>
      </c>
      <c r="L1033">
        <v>266</v>
      </c>
      <c r="M1033">
        <v>266</v>
      </c>
      <c r="N1033">
        <v>416</v>
      </c>
      <c r="O1033">
        <v>0</v>
      </c>
      <c r="P1033">
        <v>621</v>
      </c>
      <c r="Q1033">
        <v>956</v>
      </c>
      <c r="R1033">
        <v>978</v>
      </c>
      <c r="S1033">
        <v>663</v>
      </c>
      <c r="T1033">
        <v>0</v>
      </c>
      <c r="U1033">
        <v>4496</v>
      </c>
      <c r="V1033">
        <v>3504.5730368700001</v>
      </c>
      <c r="AH1033">
        <f t="shared" si="149"/>
        <v>266</v>
      </c>
      <c r="AI1033">
        <f t="shared" si="150"/>
        <v>416</v>
      </c>
      <c r="AJ1033" t="str">
        <f t="shared" si="151"/>
        <v/>
      </c>
      <c r="AK1033">
        <f t="shared" si="152"/>
        <v>621</v>
      </c>
      <c r="AL1033">
        <f t="shared" si="145"/>
        <v>956</v>
      </c>
      <c r="AM1033">
        <f t="shared" si="146"/>
        <v>978</v>
      </c>
      <c r="AN1033">
        <f t="shared" si="147"/>
        <v>663</v>
      </c>
      <c r="AO1033" t="str">
        <f t="shared" si="148"/>
        <v/>
      </c>
    </row>
    <row r="1034" spans="1:41">
      <c r="A1034">
        <f t="shared" si="153"/>
        <v>1030</v>
      </c>
      <c r="B1034" t="s">
        <v>277</v>
      </c>
      <c r="C1034">
        <v>5</v>
      </c>
      <c r="D1034">
        <v>5</v>
      </c>
      <c r="E1034" t="s">
        <v>387</v>
      </c>
      <c r="F1034">
        <v>412</v>
      </c>
      <c r="G1034">
        <v>1</v>
      </c>
      <c r="H1034">
        <v>49</v>
      </c>
      <c r="I1034" t="s">
        <v>386</v>
      </c>
      <c r="J1034" t="s">
        <v>386</v>
      </c>
      <c r="K1034">
        <v>1000000</v>
      </c>
      <c r="L1034">
        <v>294</v>
      </c>
      <c r="M1034">
        <v>294</v>
      </c>
      <c r="N1034">
        <v>452</v>
      </c>
      <c r="O1034">
        <v>0</v>
      </c>
      <c r="P1034">
        <v>646</v>
      </c>
      <c r="Q1034">
        <v>988</v>
      </c>
      <c r="R1034">
        <v>1003</v>
      </c>
      <c r="S1034">
        <v>679</v>
      </c>
      <c r="T1034">
        <v>0</v>
      </c>
      <c r="U1034">
        <v>4676</v>
      </c>
      <c r="V1034">
        <v>3507.3981249600001</v>
      </c>
      <c r="AH1034">
        <f t="shared" si="149"/>
        <v>294</v>
      </c>
      <c r="AI1034">
        <f t="shared" si="150"/>
        <v>452</v>
      </c>
      <c r="AJ1034" t="str">
        <f t="shared" si="151"/>
        <v/>
      </c>
      <c r="AK1034">
        <f t="shared" si="152"/>
        <v>646</v>
      </c>
      <c r="AL1034">
        <f t="shared" si="145"/>
        <v>988</v>
      </c>
      <c r="AM1034">
        <f t="shared" si="146"/>
        <v>1003</v>
      </c>
      <c r="AN1034">
        <f t="shared" si="147"/>
        <v>679</v>
      </c>
      <c r="AO1034" t="str">
        <f t="shared" si="148"/>
        <v/>
      </c>
    </row>
    <row r="1035" spans="1:41">
      <c r="A1035">
        <f t="shared" si="153"/>
        <v>1031</v>
      </c>
      <c r="B1035" t="s">
        <v>277</v>
      </c>
      <c r="C1035">
        <v>5</v>
      </c>
      <c r="D1035">
        <v>5</v>
      </c>
      <c r="E1035" t="s">
        <v>387</v>
      </c>
      <c r="F1035">
        <v>412</v>
      </c>
      <c r="G1035">
        <v>1</v>
      </c>
      <c r="H1035">
        <v>50</v>
      </c>
      <c r="I1035" t="s">
        <v>386</v>
      </c>
      <c r="J1035" t="s">
        <v>386</v>
      </c>
      <c r="K1035">
        <v>1000000</v>
      </c>
      <c r="L1035">
        <v>321</v>
      </c>
      <c r="M1035">
        <v>321</v>
      </c>
      <c r="N1035">
        <v>490</v>
      </c>
      <c r="O1035">
        <v>0</v>
      </c>
      <c r="P1035">
        <v>663</v>
      </c>
      <c r="Q1035">
        <v>1009</v>
      </c>
      <c r="R1035">
        <v>1025</v>
      </c>
      <c r="S1035">
        <v>696</v>
      </c>
      <c r="T1035">
        <v>0</v>
      </c>
      <c r="U1035">
        <v>4863</v>
      </c>
      <c r="V1035">
        <v>3511.0237164199998</v>
      </c>
      <c r="AH1035">
        <f t="shared" si="149"/>
        <v>321</v>
      </c>
      <c r="AI1035">
        <f t="shared" si="150"/>
        <v>490</v>
      </c>
      <c r="AJ1035" t="str">
        <f t="shared" si="151"/>
        <v/>
      </c>
      <c r="AK1035">
        <f t="shared" si="152"/>
        <v>663</v>
      </c>
      <c r="AL1035">
        <f t="shared" si="145"/>
        <v>1009</v>
      </c>
      <c r="AM1035">
        <f t="shared" si="146"/>
        <v>1025</v>
      </c>
      <c r="AN1035">
        <f t="shared" si="147"/>
        <v>696</v>
      </c>
      <c r="AO1035" t="str">
        <f t="shared" si="148"/>
        <v/>
      </c>
    </row>
    <row r="1036" spans="1:41">
      <c r="A1036">
        <f t="shared" si="153"/>
        <v>1032</v>
      </c>
      <c r="B1036" t="s">
        <v>277</v>
      </c>
      <c r="C1036">
        <v>5</v>
      </c>
      <c r="D1036">
        <v>5</v>
      </c>
      <c r="E1036" t="s">
        <v>387</v>
      </c>
      <c r="F1036">
        <v>412</v>
      </c>
      <c r="G1036">
        <v>1</v>
      </c>
      <c r="H1036">
        <v>51</v>
      </c>
      <c r="I1036" t="s">
        <v>386</v>
      </c>
      <c r="J1036" t="s">
        <v>386</v>
      </c>
      <c r="K1036">
        <v>1000000</v>
      </c>
      <c r="L1036">
        <v>350</v>
      </c>
      <c r="M1036">
        <v>350</v>
      </c>
      <c r="N1036">
        <v>529</v>
      </c>
      <c r="O1036">
        <v>0</v>
      </c>
      <c r="P1036">
        <v>678</v>
      </c>
      <c r="Q1036">
        <v>1036</v>
      </c>
      <c r="R1036">
        <v>1059</v>
      </c>
      <c r="S1036">
        <v>726</v>
      </c>
      <c r="T1036">
        <v>0</v>
      </c>
      <c r="U1036">
        <v>5055</v>
      </c>
      <c r="V1036">
        <v>3515.84280661</v>
      </c>
      <c r="AH1036">
        <f t="shared" si="149"/>
        <v>350</v>
      </c>
      <c r="AI1036">
        <f t="shared" si="150"/>
        <v>529</v>
      </c>
      <c r="AJ1036" t="str">
        <f t="shared" si="151"/>
        <v/>
      </c>
      <c r="AK1036">
        <f t="shared" si="152"/>
        <v>678</v>
      </c>
      <c r="AL1036">
        <f t="shared" si="145"/>
        <v>1036</v>
      </c>
      <c r="AM1036">
        <f t="shared" si="146"/>
        <v>1059</v>
      </c>
      <c r="AN1036">
        <f t="shared" si="147"/>
        <v>726</v>
      </c>
      <c r="AO1036" t="str">
        <f t="shared" si="148"/>
        <v/>
      </c>
    </row>
    <row r="1037" spans="1:41">
      <c r="A1037">
        <f t="shared" si="153"/>
        <v>1033</v>
      </c>
      <c r="B1037" t="s">
        <v>277</v>
      </c>
      <c r="C1037">
        <v>5</v>
      </c>
      <c r="D1037">
        <v>5</v>
      </c>
      <c r="E1037" t="s">
        <v>387</v>
      </c>
      <c r="F1037">
        <v>412</v>
      </c>
      <c r="G1037">
        <v>1</v>
      </c>
      <c r="H1037">
        <v>52</v>
      </c>
      <c r="I1037" t="s">
        <v>386</v>
      </c>
      <c r="J1037" t="s">
        <v>386</v>
      </c>
      <c r="K1037">
        <v>1000000</v>
      </c>
      <c r="L1037">
        <v>380</v>
      </c>
      <c r="M1037">
        <v>380</v>
      </c>
      <c r="N1037">
        <v>569</v>
      </c>
      <c r="O1037">
        <v>0</v>
      </c>
      <c r="P1037">
        <v>703</v>
      </c>
      <c r="Q1037">
        <v>1081</v>
      </c>
      <c r="R1037">
        <v>1112</v>
      </c>
      <c r="S1037">
        <v>762</v>
      </c>
      <c r="T1037">
        <v>0</v>
      </c>
      <c r="U1037">
        <v>5255</v>
      </c>
      <c r="V1037">
        <v>3522.3361744399999</v>
      </c>
      <c r="AH1037">
        <f t="shared" si="149"/>
        <v>380</v>
      </c>
      <c r="AI1037">
        <f t="shared" si="150"/>
        <v>569</v>
      </c>
      <c r="AJ1037" t="str">
        <f t="shared" si="151"/>
        <v/>
      </c>
      <c r="AK1037">
        <f t="shared" si="152"/>
        <v>703</v>
      </c>
      <c r="AL1037">
        <f t="shared" si="145"/>
        <v>1081</v>
      </c>
      <c r="AM1037">
        <f t="shared" si="146"/>
        <v>1112</v>
      </c>
      <c r="AN1037">
        <f t="shared" si="147"/>
        <v>762</v>
      </c>
      <c r="AO1037" t="str">
        <f t="shared" si="148"/>
        <v/>
      </c>
    </row>
    <row r="1038" spans="1:41">
      <c r="A1038">
        <f t="shared" si="153"/>
        <v>1034</v>
      </c>
      <c r="B1038" t="s">
        <v>277</v>
      </c>
      <c r="C1038">
        <v>5</v>
      </c>
      <c r="D1038">
        <v>5</v>
      </c>
      <c r="E1038" t="s">
        <v>387</v>
      </c>
      <c r="F1038">
        <v>412</v>
      </c>
      <c r="G1038">
        <v>1</v>
      </c>
      <c r="H1038">
        <v>53</v>
      </c>
      <c r="I1038" t="s">
        <v>386</v>
      </c>
      <c r="J1038" t="s">
        <v>386</v>
      </c>
      <c r="K1038">
        <v>1000000</v>
      </c>
      <c r="L1038">
        <v>412</v>
      </c>
      <c r="M1038">
        <v>412</v>
      </c>
      <c r="N1038">
        <v>611</v>
      </c>
      <c r="O1038">
        <v>0</v>
      </c>
      <c r="P1038">
        <v>740</v>
      </c>
      <c r="Q1038">
        <v>1145</v>
      </c>
      <c r="R1038">
        <v>1179</v>
      </c>
      <c r="S1038">
        <v>813</v>
      </c>
      <c r="T1038">
        <v>0</v>
      </c>
      <c r="U1038">
        <v>5465</v>
      </c>
      <c r="V1038">
        <v>3530.4554448899999</v>
      </c>
      <c r="AH1038">
        <f t="shared" si="149"/>
        <v>412</v>
      </c>
      <c r="AI1038">
        <f t="shared" si="150"/>
        <v>611</v>
      </c>
      <c r="AJ1038" t="str">
        <f t="shared" si="151"/>
        <v/>
      </c>
      <c r="AK1038">
        <f t="shared" si="152"/>
        <v>740</v>
      </c>
      <c r="AL1038">
        <f t="shared" si="145"/>
        <v>1145</v>
      </c>
      <c r="AM1038">
        <f t="shared" si="146"/>
        <v>1179</v>
      </c>
      <c r="AN1038">
        <f t="shared" si="147"/>
        <v>813</v>
      </c>
      <c r="AO1038" t="str">
        <f t="shared" si="148"/>
        <v/>
      </c>
    </row>
    <row r="1039" spans="1:41">
      <c r="A1039">
        <f t="shared" si="153"/>
        <v>1035</v>
      </c>
      <c r="B1039" t="s">
        <v>277</v>
      </c>
      <c r="C1039">
        <v>5</v>
      </c>
      <c r="D1039">
        <v>5</v>
      </c>
      <c r="E1039" t="s">
        <v>387</v>
      </c>
      <c r="F1039">
        <v>412</v>
      </c>
      <c r="G1039">
        <v>1</v>
      </c>
      <c r="H1039">
        <v>54</v>
      </c>
      <c r="I1039" t="s">
        <v>386</v>
      </c>
      <c r="J1039" t="s">
        <v>386</v>
      </c>
      <c r="K1039">
        <v>1000000</v>
      </c>
      <c r="L1039">
        <v>446</v>
      </c>
      <c r="M1039">
        <v>446</v>
      </c>
      <c r="N1039">
        <v>657</v>
      </c>
      <c r="O1039">
        <v>0</v>
      </c>
      <c r="P1039">
        <v>793</v>
      </c>
      <c r="Q1039">
        <v>1227</v>
      </c>
      <c r="R1039">
        <v>1273</v>
      </c>
      <c r="S1039">
        <v>885</v>
      </c>
      <c r="T1039">
        <v>0</v>
      </c>
      <c r="U1039">
        <v>5690</v>
      </c>
      <c r="V1039">
        <v>3539.8631834299999</v>
      </c>
      <c r="AH1039">
        <f t="shared" si="149"/>
        <v>446</v>
      </c>
      <c r="AI1039">
        <f t="shared" si="150"/>
        <v>657</v>
      </c>
      <c r="AJ1039" t="str">
        <f t="shared" si="151"/>
        <v/>
      </c>
      <c r="AK1039">
        <f t="shared" si="152"/>
        <v>793</v>
      </c>
      <c r="AL1039">
        <f t="shared" si="145"/>
        <v>1227</v>
      </c>
      <c r="AM1039">
        <f t="shared" si="146"/>
        <v>1273</v>
      </c>
      <c r="AN1039">
        <f t="shared" si="147"/>
        <v>885</v>
      </c>
      <c r="AO1039" t="str">
        <f t="shared" si="148"/>
        <v/>
      </c>
    </row>
    <row r="1040" spans="1:41">
      <c r="A1040">
        <f t="shared" si="153"/>
        <v>1036</v>
      </c>
      <c r="B1040" t="s">
        <v>277</v>
      </c>
      <c r="C1040">
        <v>5</v>
      </c>
      <c r="D1040">
        <v>5</v>
      </c>
      <c r="E1040" t="s">
        <v>387</v>
      </c>
      <c r="F1040">
        <v>412</v>
      </c>
      <c r="G1040">
        <v>1</v>
      </c>
      <c r="H1040">
        <v>55</v>
      </c>
      <c r="I1040" t="s">
        <v>386</v>
      </c>
      <c r="J1040" t="s">
        <v>386</v>
      </c>
      <c r="K1040">
        <v>1000000</v>
      </c>
      <c r="L1040">
        <v>482</v>
      </c>
      <c r="M1040">
        <v>482</v>
      </c>
      <c r="N1040">
        <v>706</v>
      </c>
      <c r="O1040">
        <v>0</v>
      </c>
      <c r="P1040">
        <v>856</v>
      </c>
      <c r="Q1040">
        <v>1335</v>
      </c>
      <c r="R1040">
        <v>1395</v>
      </c>
      <c r="S1040">
        <v>972</v>
      </c>
      <c r="T1040">
        <v>0</v>
      </c>
      <c r="U1040">
        <v>5933</v>
      </c>
      <c r="V1040">
        <v>3550.13221165</v>
      </c>
      <c r="AH1040">
        <f t="shared" si="149"/>
        <v>482</v>
      </c>
      <c r="AI1040">
        <f t="shared" si="150"/>
        <v>706</v>
      </c>
      <c r="AJ1040" t="str">
        <f t="shared" si="151"/>
        <v/>
      </c>
      <c r="AK1040">
        <f t="shared" si="152"/>
        <v>856</v>
      </c>
      <c r="AL1040">
        <f t="shared" si="145"/>
        <v>1335</v>
      </c>
      <c r="AM1040">
        <f t="shared" si="146"/>
        <v>1395</v>
      </c>
      <c r="AN1040">
        <f t="shared" si="147"/>
        <v>972</v>
      </c>
      <c r="AO1040" t="str">
        <f t="shared" si="148"/>
        <v/>
      </c>
    </row>
    <row r="1041" spans="1:41">
      <c r="A1041">
        <f t="shared" si="153"/>
        <v>1037</v>
      </c>
      <c r="B1041" t="s">
        <v>277</v>
      </c>
      <c r="C1041">
        <v>5</v>
      </c>
      <c r="D1041">
        <v>5</v>
      </c>
      <c r="E1041" t="s">
        <v>387</v>
      </c>
      <c r="F1041">
        <v>412</v>
      </c>
      <c r="G1041">
        <v>1</v>
      </c>
      <c r="H1041">
        <v>56</v>
      </c>
      <c r="I1041" t="s">
        <v>386</v>
      </c>
      <c r="J1041" t="s">
        <v>386</v>
      </c>
      <c r="K1041">
        <v>1000000</v>
      </c>
      <c r="L1041">
        <v>522</v>
      </c>
      <c r="M1041">
        <v>522</v>
      </c>
      <c r="N1041">
        <v>760</v>
      </c>
      <c r="O1041">
        <v>0</v>
      </c>
      <c r="P1041">
        <v>940</v>
      </c>
      <c r="Q1041">
        <v>1475</v>
      </c>
      <c r="R1041">
        <v>1541</v>
      </c>
      <c r="S1041">
        <v>1075</v>
      </c>
      <c r="T1041">
        <v>0</v>
      </c>
      <c r="U1041">
        <v>6200</v>
      </c>
      <c r="V1041">
        <v>3561.1909469799998</v>
      </c>
      <c r="AH1041">
        <f t="shared" si="149"/>
        <v>522</v>
      </c>
      <c r="AI1041">
        <f t="shared" si="150"/>
        <v>760</v>
      </c>
      <c r="AJ1041" t="str">
        <f t="shared" si="151"/>
        <v/>
      </c>
      <c r="AK1041">
        <f t="shared" si="152"/>
        <v>940</v>
      </c>
      <c r="AL1041">
        <f t="shared" si="145"/>
        <v>1475</v>
      </c>
      <c r="AM1041">
        <f t="shared" si="146"/>
        <v>1541</v>
      </c>
      <c r="AN1041">
        <f t="shared" si="147"/>
        <v>1075</v>
      </c>
      <c r="AO1041" t="str">
        <f t="shared" si="148"/>
        <v/>
      </c>
    </row>
    <row r="1042" spans="1:41">
      <c r="A1042">
        <f t="shared" si="153"/>
        <v>1038</v>
      </c>
      <c r="B1042" t="s">
        <v>277</v>
      </c>
      <c r="C1042">
        <v>5</v>
      </c>
      <c r="D1042">
        <v>5</v>
      </c>
      <c r="E1042" t="s">
        <v>387</v>
      </c>
      <c r="F1042">
        <v>412</v>
      </c>
      <c r="G1042">
        <v>1</v>
      </c>
      <c r="H1042">
        <v>57</v>
      </c>
      <c r="I1042" t="s">
        <v>386</v>
      </c>
      <c r="J1042" t="s">
        <v>386</v>
      </c>
      <c r="K1042">
        <v>1000000</v>
      </c>
      <c r="L1042">
        <v>566</v>
      </c>
      <c r="M1042">
        <v>566</v>
      </c>
      <c r="N1042">
        <v>819</v>
      </c>
      <c r="O1042">
        <v>0</v>
      </c>
      <c r="P1042">
        <v>1040</v>
      </c>
      <c r="Q1042">
        <v>1629</v>
      </c>
      <c r="R1042">
        <v>1701</v>
      </c>
      <c r="S1042">
        <v>1183</v>
      </c>
      <c r="T1042">
        <v>0</v>
      </c>
      <c r="U1042">
        <v>6493</v>
      </c>
      <c r="V1042">
        <v>3572.9773055700002</v>
      </c>
      <c r="AH1042">
        <f t="shared" si="149"/>
        <v>566</v>
      </c>
      <c r="AI1042">
        <f t="shared" si="150"/>
        <v>819</v>
      </c>
      <c r="AJ1042" t="str">
        <f t="shared" si="151"/>
        <v/>
      </c>
      <c r="AK1042">
        <f t="shared" si="152"/>
        <v>1040</v>
      </c>
      <c r="AL1042">
        <f t="shared" si="145"/>
        <v>1629</v>
      </c>
      <c r="AM1042">
        <f t="shared" si="146"/>
        <v>1701</v>
      </c>
      <c r="AN1042">
        <f t="shared" si="147"/>
        <v>1183</v>
      </c>
      <c r="AO1042" t="str">
        <f t="shared" si="148"/>
        <v/>
      </c>
    </row>
    <row r="1043" spans="1:41">
      <c r="A1043">
        <f t="shared" si="153"/>
        <v>1039</v>
      </c>
      <c r="B1043" t="s">
        <v>277</v>
      </c>
      <c r="C1043">
        <v>5</v>
      </c>
      <c r="D1043">
        <v>5</v>
      </c>
      <c r="E1043" t="s">
        <v>387</v>
      </c>
      <c r="F1043">
        <v>412</v>
      </c>
      <c r="G1043">
        <v>1</v>
      </c>
      <c r="H1043">
        <v>58</v>
      </c>
      <c r="I1043" t="s">
        <v>386</v>
      </c>
      <c r="J1043" t="s">
        <v>386</v>
      </c>
      <c r="K1043">
        <v>1000000</v>
      </c>
      <c r="L1043">
        <v>614</v>
      </c>
      <c r="M1043">
        <v>614</v>
      </c>
      <c r="N1043">
        <v>884</v>
      </c>
      <c r="O1043">
        <v>0</v>
      </c>
      <c r="P1043">
        <v>1143</v>
      </c>
      <c r="Q1043">
        <v>1787</v>
      </c>
      <c r="R1043">
        <v>1859</v>
      </c>
      <c r="S1043">
        <v>1287</v>
      </c>
      <c r="T1043">
        <v>0</v>
      </c>
      <c r="U1043">
        <v>6814</v>
      </c>
      <c r="V1043">
        <v>3586.1283298100002</v>
      </c>
      <c r="AH1043">
        <f t="shared" si="149"/>
        <v>614</v>
      </c>
      <c r="AI1043">
        <f t="shared" si="150"/>
        <v>884</v>
      </c>
      <c r="AJ1043" t="str">
        <f t="shared" si="151"/>
        <v/>
      </c>
      <c r="AK1043">
        <f t="shared" si="152"/>
        <v>1143</v>
      </c>
      <c r="AL1043">
        <f t="shared" si="145"/>
        <v>1787</v>
      </c>
      <c r="AM1043">
        <f t="shared" si="146"/>
        <v>1859</v>
      </c>
      <c r="AN1043">
        <f t="shared" si="147"/>
        <v>1287</v>
      </c>
      <c r="AO1043" t="str">
        <f t="shared" si="148"/>
        <v/>
      </c>
    </row>
    <row r="1044" spans="1:41">
      <c r="A1044">
        <f t="shared" si="153"/>
        <v>1040</v>
      </c>
      <c r="B1044" t="s">
        <v>277</v>
      </c>
      <c r="C1044">
        <v>5</v>
      </c>
      <c r="D1044">
        <v>5</v>
      </c>
      <c r="E1044" t="s">
        <v>387</v>
      </c>
      <c r="F1044">
        <v>412</v>
      </c>
      <c r="G1044">
        <v>1</v>
      </c>
      <c r="H1044">
        <v>59</v>
      </c>
      <c r="I1044" t="s">
        <v>386</v>
      </c>
      <c r="J1044" t="s">
        <v>386</v>
      </c>
      <c r="K1044">
        <v>1000000</v>
      </c>
      <c r="L1044">
        <v>667</v>
      </c>
      <c r="M1044">
        <v>667</v>
      </c>
      <c r="N1044">
        <v>955</v>
      </c>
      <c r="O1044">
        <v>0</v>
      </c>
      <c r="P1044">
        <v>1245</v>
      </c>
      <c r="Q1044">
        <v>1938</v>
      </c>
      <c r="R1044">
        <v>2008</v>
      </c>
      <c r="S1044">
        <v>1384</v>
      </c>
      <c r="T1044">
        <v>0</v>
      </c>
      <c r="U1044">
        <v>7163</v>
      </c>
      <c r="V1044">
        <v>3601.2351846500001</v>
      </c>
      <c r="AH1044">
        <f t="shared" si="149"/>
        <v>667</v>
      </c>
      <c r="AI1044">
        <f t="shared" si="150"/>
        <v>955</v>
      </c>
      <c r="AJ1044" t="str">
        <f t="shared" si="151"/>
        <v/>
      </c>
      <c r="AK1044">
        <f t="shared" si="152"/>
        <v>1245</v>
      </c>
      <c r="AL1044">
        <f t="shared" si="145"/>
        <v>1938</v>
      </c>
      <c r="AM1044">
        <f t="shared" si="146"/>
        <v>2008</v>
      </c>
      <c r="AN1044">
        <f t="shared" si="147"/>
        <v>1384</v>
      </c>
      <c r="AO1044" t="str">
        <f t="shared" si="148"/>
        <v/>
      </c>
    </row>
    <row r="1045" spans="1:41">
      <c r="A1045">
        <f t="shared" si="153"/>
        <v>1041</v>
      </c>
      <c r="B1045" t="s">
        <v>277</v>
      </c>
      <c r="C1045">
        <v>5</v>
      </c>
      <c r="D1045">
        <v>5</v>
      </c>
      <c r="E1045" t="s">
        <v>387</v>
      </c>
      <c r="F1045">
        <v>412</v>
      </c>
      <c r="G1045">
        <v>1</v>
      </c>
      <c r="H1045">
        <v>60</v>
      </c>
      <c r="I1045" t="s">
        <v>386</v>
      </c>
      <c r="J1045" t="s">
        <v>386</v>
      </c>
      <c r="K1045">
        <v>1000000</v>
      </c>
      <c r="L1045">
        <v>723</v>
      </c>
      <c r="M1045">
        <v>723</v>
      </c>
      <c r="N1045">
        <v>1031</v>
      </c>
      <c r="O1045">
        <v>0</v>
      </c>
      <c r="P1045">
        <v>1339</v>
      </c>
      <c r="Q1045">
        <v>2075</v>
      </c>
      <c r="R1045">
        <v>2141</v>
      </c>
      <c r="S1045">
        <v>1471</v>
      </c>
      <c r="T1045">
        <v>0</v>
      </c>
      <c r="U1045">
        <v>7539</v>
      </c>
      <c r="V1045">
        <v>3619.0704625499998</v>
      </c>
      <c r="AH1045">
        <f t="shared" si="149"/>
        <v>723</v>
      </c>
      <c r="AI1045">
        <f t="shared" si="150"/>
        <v>1031</v>
      </c>
      <c r="AJ1045" t="str">
        <f t="shared" si="151"/>
        <v/>
      </c>
      <c r="AK1045">
        <f t="shared" si="152"/>
        <v>1339</v>
      </c>
      <c r="AL1045">
        <f t="shared" si="145"/>
        <v>2075</v>
      </c>
      <c r="AM1045">
        <f t="shared" si="146"/>
        <v>2141</v>
      </c>
      <c r="AN1045">
        <f t="shared" si="147"/>
        <v>1471</v>
      </c>
      <c r="AO1045" t="str">
        <f t="shared" si="148"/>
        <v/>
      </c>
    </row>
    <row r="1046" spans="1:41">
      <c r="A1046">
        <f t="shared" si="153"/>
        <v>1042</v>
      </c>
      <c r="B1046" t="s">
        <v>277</v>
      </c>
      <c r="C1046">
        <v>5</v>
      </c>
      <c r="D1046">
        <v>5</v>
      </c>
      <c r="E1046" t="s">
        <v>387</v>
      </c>
      <c r="F1046">
        <v>412</v>
      </c>
      <c r="G1046">
        <v>1</v>
      </c>
      <c r="H1046">
        <v>61</v>
      </c>
      <c r="I1046" t="s">
        <v>386</v>
      </c>
      <c r="J1046" t="s">
        <v>386</v>
      </c>
      <c r="K1046">
        <v>1000000</v>
      </c>
      <c r="L1046">
        <v>783</v>
      </c>
      <c r="M1046">
        <v>783</v>
      </c>
      <c r="N1046">
        <v>1112</v>
      </c>
      <c r="O1046">
        <v>0</v>
      </c>
      <c r="P1046">
        <v>1421</v>
      </c>
      <c r="Q1046">
        <v>2195</v>
      </c>
      <c r="R1046">
        <v>2257</v>
      </c>
      <c r="S1046">
        <v>1545</v>
      </c>
      <c r="T1046">
        <v>0</v>
      </c>
      <c r="U1046">
        <v>7938</v>
      </c>
      <c r="V1046">
        <v>3639.9049380800002</v>
      </c>
      <c r="AH1046">
        <f t="shared" si="149"/>
        <v>783</v>
      </c>
      <c r="AI1046">
        <f t="shared" si="150"/>
        <v>1112</v>
      </c>
      <c r="AJ1046" t="str">
        <f t="shared" si="151"/>
        <v/>
      </c>
      <c r="AK1046">
        <f t="shared" si="152"/>
        <v>1421</v>
      </c>
      <c r="AL1046">
        <f t="shared" si="145"/>
        <v>2195</v>
      </c>
      <c r="AM1046">
        <f t="shared" si="146"/>
        <v>2257</v>
      </c>
      <c r="AN1046">
        <f t="shared" si="147"/>
        <v>1545</v>
      </c>
      <c r="AO1046" t="str">
        <f t="shared" si="148"/>
        <v/>
      </c>
    </row>
    <row r="1047" spans="1:41">
      <c r="A1047">
        <f t="shared" si="153"/>
        <v>1043</v>
      </c>
      <c r="B1047" t="s">
        <v>277</v>
      </c>
      <c r="C1047">
        <v>5</v>
      </c>
      <c r="D1047">
        <v>5</v>
      </c>
      <c r="E1047" t="s">
        <v>387</v>
      </c>
      <c r="F1047">
        <v>412</v>
      </c>
      <c r="G1047">
        <v>1</v>
      </c>
      <c r="H1047">
        <v>62</v>
      </c>
      <c r="I1047" t="s">
        <v>386</v>
      </c>
      <c r="J1047" t="s">
        <v>386</v>
      </c>
      <c r="K1047">
        <v>1000000</v>
      </c>
      <c r="L1047">
        <v>846</v>
      </c>
      <c r="M1047">
        <v>846</v>
      </c>
      <c r="N1047">
        <v>1197</v>
      </c>
      <c r="O1047">
        <v>0</v>
      </c>
      <c r="P1047">
        <v>1493</v>
      </c>
      <c r="Q1047">
        <v>2298</v>
      </c>
      <c r="R1047">
        <v>2356</v>
      </c>
      <c r="S1047">
        <v>1609</v>
      </c>
      <c r="T1047">
        <v>0</v>
      </c>
      <c r="U1047">
        <v>8358</v>
      </c>
      <c r="V1047">
        <v>3663.82700604</v>
      </c>
      <c r="AH1047">
        <f t="shared" si="149"/>
        <v>846</v>
      </c>
      <c r="AI1047">
        <f t="shared" si="150"/>
        <v>1197</v>
      </c>
      <c r="AJ1047" t="str">
        <f t="shared" si="151"/>
        <v/>
      </c>
      <c r="AK1047">
        <f t="shared" si="152"/>
        <v>1493</v>
      </c>
      <c r="AL1047">
        <f t="shared" si="145"/>
        <v>2298</v>
      </c>
      <c r="AM1047">
        <f t="shared" si="146"/>
        <v>2356</v>
      </c>
      <c r="AN1047">
        <f t="shared" si="147"/>
        <v>1609</v>
      </c>
      <c r="AO1047" t="str">
        <f t="shared" si="148"/>
        <v/>
      </c>
    </row>
    <row r="1048" spans="1:41">
      <c r="A1048">
        <f t="shared" si="153"/>
        <v>1044</v>
      </c>
      <c r="B1048" t="s">
        <v>277</v>
      </c>
      <c r="C1048">
        <v>5</v>
      </c>
      <c r="D1048">
        <v>5</v>
      </c>
      <c r="E1048" t="s">
        <v>387</v>
      </c>
      <c r="F1048">
        <v>412</v>
      </c>
      <c r="G1048">
        <v>1</v>
      </c>
      <c r="H1048">
        <v>63</v>
      </c>
      <c r="I1048" t="s">
        <v>386</v>
      </c>
      <c r="J1048" t="s">
        <v>386</v>
      </c>
      <c r="K1048">
        <v>1000000</v>
      </c>
      <c r="L1048">
        <v>912</v>
      </c>
      <c r="M1048">
        <v>912</v>
      </c>
      <c r="N1048">
        <v>1286</v>
      </c>
      <c r="O1048">
        <v>0</v>
      </c>
      <c r="P1048">
        <v>1556</v>
      </c>
      <c r="Q1048">
        <v>2391</v>
      </c>
      <c r="R1048">
        <v>2449</v>
      </c>
      <c r="S1048">
        <v>1675</v>
      </c>
      <c r="T1048">
        <v>0</v>
      </c>
      <c r="U1048">
        <v>8796</v>
      </c>
      <c r="V1048">
        <v>3692.1003417799998</v>
      </c>
      <c r="AH1048">
        <f t="shared" si="149"/>
        <v>912</v>
      </c>
      <c r="AI1048">
        <f t="shared" si="150"/>
        <v>1286</v>
      </c>
      <c r="AJ1048" t="str">
        <f t="shared" si="151"/>
        <v/>
      </c>
      <c r="AK1048">
        <f t="shared" si="152"/>
        <v>1556</v>
      </c>
      <c r="AL1048">
        <f t="shared" si="145"/>
        <v>2391</v>
      </c>
      <c r="AM1048">
        <f t="shared" si="146"/>
        <v>2449</v>
      </c>
      <c r="AN1048">
        <f t="shared" si="147"/>
        <v>1675</v>
      </c>
      <c r="AO1048" t="str">
        <f t="shared" si="148"/>
        <v/>
      </c>
    </row>
    <row r="1049" spans="1:41">
      <c r="A1049">
        <f t="shared" si="153"/>
        <v>1045</v>
      </c>
      <c r="B1049" t="s">
        <v>277</v>
      </c>
      <c r="C1049">
        <v>5</v>
      </c>
      <c r="D1049">
        <v>5</v>
      </c>
      <c r="E1049" t="s">
        <v>387</v>
      </c>
      <c r="F1049">
        <v>412</v>
      </c>
      <c r="G1049">
        <v>1</v>
      </c>
      <c r="H1049">
        <v>64</v>
      </c>
      <c r="I1049" t="s">
        <v>386</v>
      </c>
      <c r="J1049" t="s">
        <v>386</v>
      </c>
      <c r="K1049">
        <v>1000000</v>
      </c>
      <c r="L1049">
        <v>981</v>
      </c>
      <c r="M1049">
        <v>981</v>
      </c>
      <c r="N1049">
        <v>1380</v>
      </c>
      <c r="O1049">
        <v>0</v>
      </c>
      <c r="P1049">
        <v>1618</v>
      </c>
      <c r="Q1049">
        <v>2488</v>
      </c>
      <c r="R1049">
        <v>2556</v>
      </c>
      <c r="S1049">
        <v>1755</v>
      </c>
      <c r="T1049">
        <v>0</v>
      </c>
      <c r="U1049">
        <v>9255</v>
      </c>
      <c r="V1049">
        <v>3727.7983402899999</v>
      </c>
      <c r="AH1049">
        <f t="shared" si="149"/>
        <v>981</v>
      </c>
      <c r="AI1049">
        <f t="shared" si="150"/>
        <v>1380</v>
      </c>
      <c r="AJ1049" t="str">
        <f t="shared" si="151"/>
        <v/>
      </c>
      <c r="AK1049">
        <f t="shared" si="152"/>
        <v>1618</v>
      </c>
      <c r="AL1049">
        <f t="shared" si="145"/>
        <v>2488</v>
      </c>
      <c r="AM1049">
        <f t="shared" si="146"/>
        <v>2556</v>
      </c>
      <c r="AN1049">
        <f t="shared" si="147"/>
        <v>1755</v>
      </c>
      <c r="AO1049" t="str">
        <f t="shared" si="148"/>
        <v/>
      </c>
    </row>
    <row r="1050" spans="1:41">
      <c r="A1050">
        <f t="shared" si="153"/>
        <v>1046</v>
      </c>
      <c r="B1050" t="s">
        <v>277</v>
      </c>
      <c r="C1050">
        <v>5</v>
      </c>
      <c r="D1050">
        <v>5</v>
      </c>
      <c r="E1050" t="s">
        <v>387</v>
      </c>
      <c r="F1050">
        <v>412</v>
      </c>
      <c r="G1050">
        <v>1</v>
      </c>
      <c r="H1050">
        <v>65</v>
      </c>
      <c r="I1050" t="s">
        <v>386</v>
      </c>
      <c r="J1050" t="s">
        <v>386</v>
      </c>
      <c r="K1050">
        <v>1000000</v>
      </c>
      <c r="L1050">
        <v>1053</v>
      </c>
      <c r="M1050">
        <v>1053</v>
      </c>
      <c r="N1050">
        <v>1477</v>
      </c>
      <c r="O1050">
        <v>0</v>
      </c>
      <c r="P1050">
        <v>1687</v>
      </c>
      <c r="Q1050">
        <v>2602</v>
      </c>
      <c r="R1050">
        <v>2681</v>
      </c>
      <c r="S1050">
        <v>1840</v>
      </c>
      <c r="T1050">
        <v>0</v>
      </c>
      <c r="U1050">
        <v>9733</v>
      </c>
      <c r="V1050">
        <v>3774.5930920000001</v>
      </c>
      <c r="AH1050">
        <f t="shared" si="149"/>
        <v>1053</v>
      </c>
      <c r="AI1050">
        <f t="shared" si="150"/>
        <v>1477</v>
      </c>
      <c r="AJ1050" t="str">
        <f t="shared" si="151"/>
        <v/>
      </c>
      <c r="AK1050">
        <f t="shared" si="152"/>
        <v>1687</v>
      </c>
      <c r="AL1050">
        <f t="shared" si="145"/>
        <v>2602</v>
      </c>
      <c r="AM1050">
        <f t="shared" si="146"/>
        <v>2681</v>
      </c>
      <c r="AN1050">
        <f t="shared" si="147"/>
        <v>1840</v>
      </c>
      <c r="AO1050" t="str">
        <f t="shared" si="148"/>
        <v/>
      </c>
    </row>
    <row r="1051" spans="1:41">
      <c r="A1051">
        <f t="shared" si="153"/>
        <v>1047</v>
      </c>
      <c r="B1051" t="s">
        <v>277</v>
      </c>
      <c r="C1051">
        <v>5</v>
      </c>
      <c r="D1051">
        <v>5</v>
      </c>
      <c r="E1051" t="s">
        <v>387</v>
      </c>
      <c r="F1051">
        <v>412</v>
      </c>
      <c r="G1051">
        <v>1</v>
      </c>
      <c r="H1051">
        <v>66</v>
      </c>
      <c r="I1051" t="s">
        <v>386</v>
      </c>
      <c r="J1051" t="s">
        <v>386</v>
      </c>
      <c r="K1051">
        <v>1000000</v>
      </c>
      <c r="L1051">
        <v>1128</v>
      </c>
      <c r="M1051">
        <v>1128</v>
      </c>
      <c r="N1051">
        <v>1578</v>
      </c>
      <c r="O1051">
        <v>0</v>
      </c>
      <c r="P1051">
        <v>1763</v>
      </c>
      <c r="Q1051">
        <v>2721</v>
      </c>
      <c r="R1051">
        <v>2794</v>
      </c>
      <c r="S1051">
        <v>1905</v>
      </c>
      <c r="T1051">
        <v>0</v>
      </c>
      <c r="U1051">
        <v>10231</v>
      </c>
      <c r="V1051">
        <v>3835.2851033500001</v>
      </c>
      <c r="AH1051">
        <f t="shared" si="149"/>
        <v>1128</v>
      </c>
      <c r="AI1051">
        <f t="shared" si="150"/>
        <v>1578</v>
      </c>
      <c r="AJ1051" t="str">
        <f t="shared" si="151"/>
        <v/>
      </c>
      <c r="AK1051">
        <f t="shared" si="152"/>
        <v>1763</v>
      </c>
      <c r="AL1051">
        <f t="shared" si="145"/>
        <v>2721</v>
      </c>
      <c r="AM1051">
        <f t="shared" si="146"/>
        <v>2794</v>
      </c>
      <c r="AN1051">
        <f t="shared" si="147"/>
        <v>1905</v>
      </c>
      <c r="AO1051" t="str">
        <f t="shared" si="148"/>
        <v/>
      </c>
    </row>
    <row r="1052" spans="1:41">
      <c r="A1052">
        <f t="shared" si="153"/>
        <v>1048</v>
      </c>
      <c r="B1052" t="s">
        <v>277</v>
      </c>
      <c r="C1052">
        <v>5</v>
      </c>
      <c r="D1052">
        <v>5</v>
      </c>
      <c r="E1052" t="s">
        <v>387</v>
      </c>
      <c r="F1052">
        <v>412</v>
      </c>
      <c r="G1052">
        <v>1</v>
      </c>
      <c r="H1052">
        <v>67</v>
      </c>
      <c r="I1052" t="s">
        <v>386</v>
      </c>
      <c r="J1052" t="s">
        <v>386</v>
      </c>
      <c r="K1052">
        <v>1000000</v>
      </c>
      <c r="L1052">
        <v>1205</v>
      </c>
      <c r="M1052">
        <v>1205</v>
      </c>
      <c r="N1052">
        <v>1682</v>
      </c>
      <c r="O1052">
        <v>0</v>
      </c>
      <c r="P1052">
        <v>1826</v>
      </c>
      <c r="Q1052">
        <v>2800</v>
      </c>
      <c r="R1052">
        <v>2848</v>
      </c>
      <c r="S1052">
        <v>1919</v>
      </c>
      <c r="T1052">
        <v>0</v>
      </c>
      <c r="U1052">
        <v>10741</v>
      </c>
      <c r="V1052">
        <v>3909.3440082699999</v>
      </c>
      <c r="AH1052">
        <f t="shared" si="149"/>
        <v>1205</v>
      </c>
      <c r="AI1052">
        <f t="shared" si="150"/>
        <v>1682</v>
      </c>
      <c r="AJ1052" t="str">
        <f t="shared" si="151"/>
        <v/>
      </c>
      <c r="AK1052">
        <f t="shared" si="152"/>
        <v>1826</v>
      </c>
      <c r="AL1052">
        <f t="shared" si="145"/>
        <v>2800</v>
      </c>
      <c r="AM1052">
        <f t="shared" si="146"/>
        <v>2848</v>
      </c>
      <c r="AN1052">
        <f t="shared" si="147"/>
        <v>1919</v>
      </c>
      <c r="AO1052" t="str">
        <f t="shared" si="148"/>
        <v/>
      </c>
    </row>
    <row r="1053" spans="1:41">
      <c r="A1053">
        <f t="shared" si="153"/>
        <v>1049</v>
      </c>
      <c r="B1053" t="s">
        <v>277</v>
      </c>
      <c r="C1053">
        <v>5</v>
      </c>
      <c r="D1053">
        <v>5</v>
      </c>
      <c r="E1053" t="s">
        <v>387</v>
      </c>
      <c r="F1053">
        <v>412</v>
      </c>
      <c r="G1053">
        <v>1</v>
      </c>
      <c r="H1053">
        <v>68</v>
      </c>
      <c r="I1053" t="s">
        <v>386</v>
      </c>
      <c r="J1053" t="s">
        <v>386</v>
      </c>
      <c r="K1053">
        <v>1000000</v>
      </c>
      <c r="L1053">
        <v>1282</v>
      </c>
      <c r="M1053">
        <v>1282</v>
      </c>
      <c r="N1053">
        <v>1787</v>
      </c>
      <c r="O1053">
        <v>0</v>
      </c>
      <c r="P1053">
        <v>1842</v>
      </c>
      <c r="Q1053">
        <v>2792</v>
      </c>
      <c r="R1053">
        <v>2801</v>
      </c>
      <c r="S1053">
        <v>1862</v>
      </c>
      <c r="T1053">
        <v>0</v>
      </c>
      <c r="U1053">
        <v>11253</v>
      </c>
      <c r="V1053">
        <v>3993.0726294299998</v>
      </c>
      <c r="AH1053">
        <f t="shared" si="149"/>
        <v>1282</v>
      </c>
      <c r="AI1053">
        <f t="shared" si="150"/>
        <v>1787</v>
      </c>
      <c r="AJ1053" t="str">
        <f t="shared" si="151"/>
        <v/>
      </c>
      <c r="AK1053">
        <f t="shared" si="152"/>
        <v>1842</v>
      </c>
      <c r="AL1053">
        <f t="shared" si="145"/>
        <v>2792</v>
      </c>
      <c r="AM1053">
        <f t="shared" si="146"/>
        <v>2801</v>
      </c>
      <c r="AN1053">
        <f t="shared" si="147"/>
        <v>1862</v>
      </c>
      <c r="AO1053" t="str">
        <f t="shared" si="148"/>
        <v/>
      </c>
    </row>
    <row r="1054" spans="1:41">
      <c r="A1054">
        <f t="shared" si="153"/>
        <v>1050</v>
      </c>
      <c r="B1054" t="s">
        <v>277</v>
      </c>
      <c r="C1054">
        <v>5</v>
      </c>
      <c r="D1054">
        <v>5</v>
      </c>
      <c r="E1054" t="s">
        <v>387</v>
      </c>
      <c r="F1054">
        <v>412</v>
      </c>
      <c r="G1054">
        <v>1</v>
      </c>
      <c r="H1054">
        <v>69</v>
      </c>
      <c r="I1054" t="s">
        <v>386</v>
      </c>
      <c r="J1054" t="s">
        <v>386</v>
      </c>
      <c r="K1054">
        <v>1000000</v>
      </c>
      <c r="L1054">
        <v>1358</v>
      </c>
      <c r="M1054">
        <v>1358</v>
      </c>
      <c r="N1054">
        <v>1889</v>
      </c>
      <c r="O1054">
        <v>0</v>
      </c>
      <c r="P1054">
        <v>1795</v>
      </c>
      <c r="Q1054">
        <v>2683</v>
      </c>
      <c r="R1054">
        <v>2659</v>
      </c>
      <c r="S1054">
        <v>1752</v>
      </c>
      <c r="T1054">
        <v>0</v>
      </c>
      <c r="U1054">
        <v>11754</v>
      </c>
      <c r="V1054">
        <v>4081.12967381</v>
      </c>
      <c r="AH1054">
        <f t="shared" si="149"/>
        <v>1358</v>
      </c>
      <c r="AI1054">
        <f t="shared" si="150"/>
        <v>1889</v>
      </c>
      <c r="AJ1054" t="str">
        <f t="shared" si="151"/>
        <v/>
      </c>
      <c r="AK1054">
        <f t="shared" si="152"/>
        <v>1795</v>
      </c>
      <c r="AL1054">
        <f t="shared" si="145"/>
        <v>2683</v>
      </c>
      <c r="AM1054">
        <f t="shared" si="146"/>
        <v>2659</v>
      </c>
      <c r="AN1054">
        <f t="shared" si="147"/>
        <v>1752</v>
      </c>
      <c r="AO1054" t="str">
        <f t="shared" si="148"/>
        <v/>
      </c>
    </row>
    <row r="1055" spans="1:41">
      <c r="A1055">
        <f t="shared" si="153"/>
        <v>1051</v>
      </c>
      <c r="B1055" t="s">
        <v>277</v>
      </c>
      <c r="C1055">
        <v>5</v>
      </c>
      <c r="D1055">
        <v>5</v>
      </c>
      <c r="E1055" t="s">
        <v>387</v>
      </c>
      <c r="F1055">
        <v>412</v>
      </c>
      <c r="G1055">
        <v>1</v>
      </c>
      <c r="H1055">
        <v>70</v>
      </c>
      <c r="I1055" t="s">
        <v>386</v>
      </c>
      <c r="J1055" t="s">
        <v>386</v>
      </c>
      <c r="K1055">
        <v>1000000</v>
      </c>
      <c r="L1055">
        <v>1430</v>
      </c>
      <c r="M1055">
        <v>1430</v>
      </c>
      <c r="N1055">
        <v>1987</v>
      </c>
      <c r="O1055">
        <v>0</v>
      </c>
      <c r="P1055">
        <v>1690</v>
      </c>
      <c r="Q1055">
        <v>2501</v>
      </c>
      <c r="R1055">
        <v>2464</v>
      </c>
      <c r="S1055">
        <v>1621</v>
      </c>
      <c r="T1055">
        <v>0</v>
      </c>
      <c r="U1055">
        <v>12232</v>
      </c>
      <c r="V1055">
        <v>4168.7531686900002</v>
      </c>
      <c r="AH1055">
        <f t="shared" si="149"/>
        <v>1430</v>
      </c>
      <c r="AI1055">
        <f t="shared" si="150"/>
        <v>1987</v>
      </c>
      <c r="AJ1055" t="str">
        <f t="shared" si="151"/>
        <v/>
      </c>
      <c r="AK1055">
        <f t="shared" si="152"/>
        <v>1690</v>
      </c>
      <c r="AL1055">
        <f t="shared" si="145"/>
        <v>2501</v>
      </c>
      <c r="AM1055">
        <f t="shared" si="146"/>
        <v>2464</v>
      </c>
      <c r="AN1055">
        <f t="shared" si="147"/>
        <v>1621</v>
      </c>
      <c r="AO1055" t="str">
        <f t="shared" si="148"/>
        <v/>
      </c>
    </row>
    <row r="1056" spans="1:41">
      <c r="A1056">
        <f t="shared" si="153"/>
        <v>1052</v>
      </c>
      <c r="B1056" t="s">
        <v>277</v>
      </c>
      <c r="C1056">
        <v>5</v>
      </c>
      <c r="D1056">
        <v>5</v>
      </c>
      <c r="E1056" t="s">
        <v>387</v>
      </c>
      <c r="F1056">
        <v>412</v>
      </c>
      <c r="G1056">
        <v>1</v>
      </c>
      <c r="H1056">
        <v>71</v>
      </c>
      <c r="I1056" t="s">
        <v>386</v>
      </c>
      <c r="J1056" t="s">
        <v>386</v>
      </c>
      <c r="K1056">
        <v>1000000</v>
      </c>
      <c r="L1056">
        <v>1497</v>
      </c>
      <c r="M1056">
        <v>1497</v>
      </c>
      <c r="N1056">
        <v>2078</v>
      </c>
      <c r="O1056">
        <v>0</v>
      </c>
      <c r="P1056">
        <v>1559</v>
      </c>
      <c r="Q1056">
        <v>2303</v>
      </c>
      <c r="R1056">
        <v>2274</v>
      </c>
      <c r="S1056">
        <v>1503</v>
      </c>
      <c r="T1056">
        <v>0</v>
      </c>
      <c r="U1056">
        <v>12678</v>
      </c>
      <c r="V1056">
        <v>4253.9620939400002</v>
      </c>
      <c r="AH1056">
        <f t="shared" si="149"/>
        <v>1497</v>
      </c>
      <c r="AI1056">
        <f t="shared" si="150"/>
        <v>2078</v>
      </c>
      <c r="AJ1056" t="str">
        <f t="shared" si="151"/>
        <v/>
      </c>
      <c r="AK1056">
        <f t="shared" si="152"/>
        <v>1559</v>
      </c>
      <c r="AL1056">
        <f t="shared" si="145"/>
        <v>2303</v>
      </c>
      <c r="AM1056">
        <f t="shared" si="146"/>
        <v>2274</v>
      </c>
      <c r="AN1056">
        <f t="shared" si="147"/>
        <v>1503</v>
      </c>
      <c r="AO1056" t="str">
        <f t="shared" si="148"/>
        <v/>
      </c>
    </row>
    <row r="1057" spans="1:41">
      <c r="A1057">
        <f t="shared" si="153"/>
        <v>1053</v>
      </c>
      <c r="B1057" t="s">
        <v>277</v>
      </c>
      <c r="C1057">
        <v>5</v>
      </c>
      <c r="D1057">
        <v>5</v>
      </c>
      <c r="E1057" t="s">
        <v>387</v>
      </c>
      <c r="F1057">
        <v>412</v>
      </c>
      <c r="G1057">
        <v>1</v>
      </c>
      <c r="H1057">
        <v>72</v>
      </c>
      <c r="I1057" t="s">
        <v>386</v>
      </c>
      <c r="J1057" t="s">
        <v>386</v>
      </c>
      <c r="K1057">
        <v>1000000</v>
      </c>
      <c r="L1057">
        <v>1560</v>
      </c>
      <c r="M1057">
        <v>1560</v>
      </c>
      <c r="N1057">
        <v>2163</v>
      </c>
      <c r="O1057">
        <v>0</v>
      </c>
      <c r="P1057">
        <v>1438</v>
      </c>
      <c r="Q1057">
        <v>2133</v>
      </c>
      <c r="R1057">
        <v>2119</v>
      </c>
      <c r="S1057">
        <v>1406</v>
      </c>
      <c r="T1057">
        <v>0</v>
      </c>
      <c r="U1057">
        <v>13093</v>
      </c>
      <c r="V1057">
        <v>4338.7477658600001</v>
      </c>
      <c r="AH1057">
        <f t="shared" si="149"/>
        <v>1560</v>
      </c>
      <c r="AI1057">
        <f t="shared" si="150"/>
        <v>2163</v>
      </c>
      <c r="AJ1057" t="str">
        <f t="shared" si="151"/>
        <v/>
      </c>
      <c r="AK1057">
        <f t="shared" si="152"/>
        <v>1438</v>
      </c>
      <c r="AL1057">
        <f t="shared" si="145"/>
        <v>2133</v>
      </c>
      <c r="AM1057">
        <f t="shared" si="146"/>
        <v>2119</v>
      </c>
      <c r="AN1057">
        <f t="shared" si="147"/>
        <v>1406</v>
      </c>
      <c r="AO1057" t="str">
        <f t="shared" si="148"/>
        <v/>
      </c>
    </row>
    <row r="1058" spans="1:41">
      <c r="A1058">
        <f t="shared" si="153"/>
        <v>1054</v>
      </c>
      <c r="B1058" t="s">
        <v>277</v>
      </c>
      <c r="C1058">
        <v>5</v>
      </c>
      <c r="D1058">
        <v>5</v>
      </c>
      <c r="E1058" t="s">
        <v>387</v>
      </c>
      <c r="F1058">
        <v>412</v>
      </c>
      <c r="G1058">
        <v>1</v>
      </c>
      <c r="H1058">
        <v>73</v>
      </c>
      <c r="I1058" t="s">
        <v>386</v>
      </c>
      <c r="J1058" t="s">
        <v>386</v>
      </c>
      <c r="K1058">
        <v>1000000</v>
      </c>
      <c r="L1058">
        <v>1618</v>
      </c>
      <c r="M1058">
        <v>1618</v>
      </c>
      <c r="N1058">
        <v>2242</v>
      </c>
      <c r="O1058">
        <v>0</v>
      </c>
      <c r="P1058">
        <v>1341</v>
      </c>
      <c r="Q1058">
        <v>2001</v>
      </c>
      <c r="R1058">
        <v>1993</v>
      </c>
      <c r="S1058">
        <v>1324</v>
      </c>
      <c r="T1058">
        <v>0</v>
      </c>
      <c r="U1058">
        <v>13479</v>
      </c>
      <c r="V1058">
        <v>4426.9491121199999</v>
      </c>
      <c r="AH1058">
        <f t="shared" si="149"/>
        <v>1618</v>
      </c>
      <c r="AI1058">
        <f t="shared" si="150"/>
        <v>2242</v>
      </c>
      <c r="AJ1058" t="str">
        <f t="shared" si="151"/>
        <v/>
      </c>
      <c r="AK1058">
        <f t="shared" si="152"/>
        <v>1341</v>
      </c>
      <c r="AL1058">
        <f t="shared" si="145"/>
        <v>2001</v>
      </c>
      <c r="AM1058">
        <f t="shared" si="146"/>
        <v>1993</v>
      </c>
      <c r="AN1058">
        <f t="shared" si="147"/>
        <v>1324</v>
      </c>
      <c r="AO1058" t="str">
        <f t="shared" si="148"/>
        <v/>
      </c>
    </row>
    <row r="1059" spans="1:41">
      <c r="A1059">
        <f t="shared" si="153"/>
        <v>1055</v>
      </c>
      <c r="B1059" t="s">
        <v>277</v>
      </c>
      <c r="C1059">
        <v>5</v>
      </c>
      <c r="D1059">
        <v>5</v>
      </c>
      <c r="E1059" t="s">
        <v>387</v>
      </c>
      <c r="F1059">
        <v>412</v>
      </c>
      <c r="G1059">
        <v>1</v>
      </c>
      <c r="H1059">
        <v>74</v>
      </c>
      <c r="I1059" t="s">
        <v>386</v>
      </c>
      <c r="J1059" t="s">
        <v>386</v>
      </c>
      <c r="K1059">
        <v>1000000</v>
      </c>
      <c r="L1059">
        <v>1672</v>
      </c>
      <c r="M1059">
        <v>1672</v>
      </c>
      <c r="N1059">
        <v>2316</v>
      </c>
      <c r="O1059">
        <v>0</v>
      </c>
      <c r="P1059">
        <v>1263</v>
      </c>
      <c r="Q1059">
        <v>1885</v>
      </c>
      <c r="R1059">
        <v>1875</v>
      </c>
      <c r="S1059">
        <v>1241</v>
      </c>
      <c r="T1059">
        <v>0</v>
      </c>
      <c r="U1059">
        <v>13840</v>
      </c>
      <c r="V1059">
        <v>4522.27723057</v>
      </c>
      <c r="AH1059">
        <f t="shared" si="149"/>
        <v>1672</v>
      </c>
      <c r="AI1059">
        <f t="shared" si="150"/>
        <v>2316</v>
      </c>
      <c r="AJ1059" t="str">
        <f t="shared" si="151"/>
        <v/>
      </c>
      <c r="AK1059">
        <f t="shared" si="152"/>
        <v>1263</v>
      </c>
      <c r="AL1059">
        <f t="shared" si="145"/>
        <v>1885</v>
      </c>
      <c r="AM1059">
        <f t="shared" si="146"/>
        <v>1875</v>
      </c>
      <c r="AN1059">
        <f t="shared" si="147"/>
        <v>1241</v>
      </c>
      <c r="AO1059" t="str">
        <f t="shared" si="148"/>
        <v/>
      </c>
    </row>
    <row r="1060" spans="1:41">
      <c r="A1060">
        <f t="shared" si="153"/>
        <v>1056</v>
      </c>
      <c r="B1060" t="s">
        <v>277</v>
      </c>
      <c r="C1060">
        <v>5</v>
      </c>
      <c r="D1060">
        <v>5</v>
      </c>
      <c r="E1060" t="s">
        <v>387</v>
      </c>
      <c r="F1060">
        <v>412</v>
      </c>
      <c r="G1060">
        <v>1</v>
      </c>
      <c r="H1060">
        <v>75</v>
      </c>
      <c r="I1060" t="s">
        <v>386</v>
      </c>
      <c r="J1060" t="s">
        <v>386</v>
      </c>
      <c r="K1060">
        <v>1000000</v>
      </c>
      <c r="L1060">
        <v>1723</v>
      </c>
      <c r="M1060">
        <v>1723</v>
      </c>
      <c r="N1060">
        <v>2385</v>
      </c>
      <c r="O1060">
        <v>0</v>
      </c>
      <c r="P1060">
        <v>1186</v>
      </c>
      <c r="Q1060">
        <v>1764</v>
      </c>
      <c r="R1060">
        <v>1747</v>
      </c>
      <c r="S1060">
        <v>1151</v>
      </c>
      <c r="T1060">
        <v>0</v>
      </c>
      <c r="U1060">
        <v>14177</v>
      </c>
      <c r="V1060">
        <v>4625.3843479899997</v>
      </c>
      <c r="AH1060">
        <f t="shared" si="149"/>
        <v>1723</v>
      </c>
      <c r="AI1060">
        <f t="shared" si="150"/>
        <v>2385</v>
      </c>
      <c r="AJ1060" t="str">
        <f t="shared" si="151"/>
        <v/>
      </c>
      <c r="AK1060">
        <f t="shared" si="152"/>
        <v>1186</v>
      </c>
      <c r="AL1060">
        <f t="shared" si="145"/>
        <v>1764</v>
      </c>
      <c r="AM1060">
        <f t="shared" si="146"/>
        <v>1747</v>
      </c>
      <c r="AN1060">
        <f t="shared" si="147"/>
        <v>1151</v>
      </c>
      <c r="AO1060" t="str">
        <f t="shared" si="148"/>
        <v/>
      </c>
    </row>
    <row r="1061" spans="1:41">
      <c r="A1061">
        <f t="shared" si="153"/>
        <v>1057</v>
      </c>
      <c r="B1061" t="s">
        <v>277</v>
      </c>
      <c r="C1061">
        <v>5</v>
      </c>
      <c r="D1061">
        <v>5</v>
      </c>
      <c r="E1061" t="s">
        <v>387</v>
      </c>
      <c r="F1061">
        <v>412</v>
      </c>
      <c r="G1061">
        <v>1</v>
      </c>
      <c r="H1061">
        <v>76</v>
      </c>
      <c r="I1061" t="s">
        <v>386</v>
      </c>
      <c r="J1061" t="s">
        <v>386</v>
      </c>
      <c r="K1061">
        <v>1000000</v>
      </c>
      <c r="L1061">
        <v>1771</v>
      </c>
      <c r="M1061">
        <v>1771</v>
      </c>
      <c r="N1061">
        <v>2450</v>
      </c>
      <c r="O1061">
        <v>0</v>
      </c>
      <c r="P1061">
        <v>1103</v>
      </c>
      <c r="Q1061">
        <v>1633</v>
      </c>
      <c r="R1061">
        <v>1612</v>
      </c>
      <c r="S1061">
        <v>1062</v>
      </c>
      <c r="T1061">
        <v>0</v>
      </c>
      <c r="U1061">
        <v>14492</v>
      </c>
      <c r="V1061">
        <v>4419.78875496</v>
      </c>
      <c r="AH1061">
        <f t="shared" si="149"/>
        <v>1771</v>
      </c>
      <c r="AI1061">
        <f t="shared" si="150"/>
        <v>2450</v>
      </c>
      <c r="AJ1061" t="str">
        <f t="shared" si="151"/>
        <v/>
      </c>
      <c r="AK1061">
        <f t="shared" si="152"/>
        <v>1103</v>
      </c>
      <c r="AL1061">
        <f t="shared" si="145"/>
        <v>1633</v>
      </c>
      <c r="AM1061">
        <f t="shared" si="146"/>
        <v>1612</v>
      </c>
      <c r="AN1061">
        <f t="shared" si="147"/>
        <v>1062</v>
      </c>
      <c r="AO1061" t="str">
        <f t="shared" si="148"/>
        <v/>
      </c>
    </row>
    <row r="1062" spans="1:41">
      <c r="A1062">
        <f t="shared" si="153"/>
        <v>1058</v>
      </c>
      <c r="B1062" t="s">
        <v>277</v>
      </c>
      <c r="C1062">
        <v>5</v>
      </c>
      <c r="D1062">
        <v>5</v>
      </c>
      <c r="E1062" t="s">
        <v>387</v>
      </c>
      <c r="F1062">
        <v>412</v>
      </c>
      <c r="G1062">
        <v>1</v>
      </c>
      <c r="H1062">
        <v>77</v>
      </c>
      <c r="I1062" t="s">
        <v>386</v>
      </c>
      <c r="J1062" t="s">
        <v>386</v>
      </c>
      <c r="K1062">
        <v>1000000</v>
      </c>
      <c r="L1062">
        <v>1815</v>
      </c>
      <c r="M1062">
        <v>1815</v>
      </c>
      <c r="N1062">
        <v>2510</v>
      </c>
      <c r="O1062">
        <v>0</v>
      </c>
      <c r="P1062">
        <v>1020</v>
      </c>
      <c r="Q1062">
        <v>1511</v>
      </c>
      <c r="R1062">
        <v>1498</v>
      </c>
      <c r="S1062">
        <v>999</v>
      </c>
      <c r="T1062">
        <v>0</v>
      </c>
      <c r="U1062">
        <v>14786</v>
      </c>
      <c r="V1062">
        <v>4194.1912494199996</v>
      </c>
      <c r="AH1062">
        <f t="shared" si="149"/>
        <v>1815</v>
      </c>
      <c r="AI1062">
        <f t="shared" si="150"/>
        <v>2510</v>
      </c>
      <c r="AJ1062" t="str">
        <f t="shared" si="151"/>
        <v/>
      </c>
      <c r="AK1062">
        <f t="shared" si="152"/>
        <v>1020</v>
      </c>
      <c r="AL1062">
        <f t="shared" si="145"/>
        <v>1511</v>
      </c>
      <c r="AM1062">
        <f t="shared" si="146"/>
        <v>1498</v>
      </c>
      <c r="AN1062">
        <f t="shared" si="147"/>
        <v>999</v>
      </c>
      <c r="AO1062" t="str">
        <f t="shared" si="148"/>
        <v/>
      </c>
    </row>
    <row r="1063" spans="1:41">
      <c r="A1063">
        <f t="shared" si="153"/>
        <v>1059</v>
      </c>
      <c r="B1063" t="s">
        <v>277</v>
      </c>
      <c r="C1063">
        <v>5</v>
      </c>
      <c r="D1063">
        <v>5</v>
      </c>
      <c r="E1063" t="s">
        <v>387</v>
      </c>
      <c r="F1063">
        <v>412</v>
      </c>
      <c r="G1063">
        <v>1</v>
      </c>
      <c r="H1063">
        <v>78</v>
      </c>
      <c r="I1063" t="s">
        <v>386</v>
      </c>
      <c r="J1063" t="s">
        <v>386</v>
      </c>
      <c r="K1063">
        <v>1000000</v>
      </c>
      <c r="L1063">
        <v>1856</v>
      </c>
      <c r="M1063">
        <v>1856</v>
      </c>
      <c r="N1063">
        <v>2566</v>
      </c>
      <c r="O1063">
        <v>0</v>
      </c>
      <c r="P1063">
        <v>943</v>
      </c>
      <c r="Q1063">
        <v>1403</v>
      </c>
      <c r="R1063">
        <v>1400</v>
      </c>
      <c r="S1063">
        <v>922</v>
      </c>
      <c r="T1063">
        <v>0</v>
      </c>
      <c r="U1063">
        <v>15058</v>
      </c>
      <c r="V1063">
        <v>3946.4781749499998</v>
      </c>
      <c r="AH1063">
        <f t="shared" si="149"/>
        <v>1856</v>
      </c>
      <c r="AI1063">
        <f t="shared" si="150"/>
        <v>2566</v>
      </c>
      <c r="AJ1063" t="str">
        <f t="shared" si="151"/>
        <v/>
      </c>
      <c r="AK1063">
        <f t="shared" si="152"/>
        <v>943</v>
      </c>
      <c r="AL1063">
        <f t="shared" si="145"/>
        <v>1403</v>
      </c>
      <c r="AM1063">
        <f t="shared" si="146"/>
        <v>1400</v>
      </c>
      <c r="AN1063">
        <f t="shared" si="147"/>
        <v>922</v>
      </c>
      <c r="AO1063" t="str">
        <f t="shared" si="148"/>
        <v/>
      </c>
    </row>
    <row r="1064" spans="1:41">
      <c r="A1064">
        <f t="shared" si="153"/>
        <v>1060</v>
      </c>
      <c r="B1064" t="s">
        <v>277</v>
      </c>
      <c r="C1064">
        <v>5</v>
      </c>
      <c r="D1064">
        <v>5</v>
      </c>
      <c r="E1064" t="s">
        <v>387</v>
      </c>
      <c r="F1064">
        <v>412</v>
      </c>
      <c r="G1064">
        <v>1</v>
      </c>
      <c r="H1064">
        <v>79</v>
      </c>
      <c r="I1064" t="s">
        <v>386</v>
      </c>
      <c r="J1064" t="s">
        <v>386</v>
      </c>
      <c r="K1064">
        <v>1000000</v>
      </c>
      <c r="L1064">
        <v>1894</v>
      </c>
      <c r="M1064">
        <v>1894</v>
      </c>
      <c r="N1064">
        <v>2618</v>
      </c>
      <c r="O1064">
        <v>0</v>
      </c>
      <c r="P1064">
        <v>874</v>
      </c>
      <c r="Q1064">
        <v>1303</v>
      </c>
      <c r="R1064">
        <v>1279</v>
      </c>
      <c r="S1064">
        <v>833</v>
      </c>
      <c r="T1064">
        <v>0</v>
      </c>
      <c r="U1064">
        <v>15307</v>
      </c>
      <c r="V1064">
        <v>3674.8125734300002</v>
      </c>
      <c r="AH1064">
        <f t="shared" si="149"/>
        <v>1894</v>
      </c>
      <c r="AI1064">
        <f t="shared" si="150"/>
        <v>2618</v>
      </c>
      <c r="AJ1064" t="str">
        <f t="shared" si="151"/>
        <v/>
      </c>
      <c r="AK1064">
        <f t="shared" si="152"/>
        <v>874</v>
      </c>
      <c r="AL1064">
        <f t="shared" si="145"/>
        <v>1303</v>
      </c>
      <c r="AM1064">
        <f t="shared" si="146"/>
        <v>1279</v>
      </c>
      <c r="AN1064">
        <f t="shared" si="147"/>
        <v>833</v>
      </c>
      <c r="AO1064" t="str">
        <f t="shared" si="148"/>
        <v/>
      </c>
    </row>
    <row r="1065" spans="1:41">
      <c r="A1065">
        <f t="shared" si="153"/>
        <v>1061</v>
      </c>
      <c r="B1065" t="s">
        <v>277</v>
      </c>
      <c r="C1065">
        <v>5</v>
      </c>
      <c r="D1065">
        <v>5</v>
      </c>
      <c r="E1065" t="s">
        <v>387</v>
      </c>
      <c r="F1065">
        <v>412</v>
      </c>
      <c r="G1065">
        <v>1</v>
      </c>
      <c r="H1065">
        <v>80</v>
      </c>
      <c r="I1065" t="s">
        <v>386</v>
      </c>
      <c r="J1065" t="s">
        <v>386</v>
      </c>
      <c r="K1065">
        <v>1000000</v>
      </c>
      <c r="L1065">
        <v>1928</v>
      </c>
      <c r="M1065">
        <v>1928</v>
      </c>
      <c r="N1065">
        <v>2664</v>
      </c>
      <c r="O1065">
        <v>0</v>
      </c>
      <c r="P1065">
        <v>805</v>
      </c>
      <c r="Q1065">
        <v>1174</v>
      </c>
      <c r="R1065">
        <v>1141</v>
      </c>
      <c r="S1065">
        <v>741</v>
      </c>
      <c r="T1065">
        <v>0</v>
      </c>
      <c r="U1065">
        <v>15534</v>
      </c>
      <c r="V1065">
        <v>25286.85573752</v>
      </c>
      <c r="AH1065">
        <f t="shared" si="149"/>
        <v>1928</v>
      </c>
      <c r="AI1065">
        <f t="shared" si="150"/>
        <v>2664</v>
      </c>
      <c r="AJ1065" t="str">
        <f t="shared" si="151"/>
        <v/>
      </c>
      <c r="AK1065">
        <f t="shared" si="152"/>
        <v>805</v>
      </c>
      <c r="AL1065">
        <f t="shared" si="145"/>
        <v>1174</v>
      </c>
      <c r="AM1065">
        <f t="shared" si="146"/>
        <v>1141</v>
      </c>
      <c r="AN1065">
        <f t="shared" si="147"/>
        <v>741</v>
      </c>
      <c r="AO1065" t="str">
        <f t="shared" si="148"/>
        <v/>
      </c>
    </row>
    <row r="1066" spans="1:41">
      <c r="A1066">
        <f t="shared" si="153"/>
        <v>1062</v>
      </c>
      <c r="B1066" t="s">
        <v>277</v>
      </c>
      <c r="C1066">
        <v>5</v>
      </c>
      <c r="D1066">
        <v>5</v>
      </c>
      <c r="E1066" t="s">
        <v>387</v>
      </c>
      <c r="F1066">
        <v>412</v>
      </c>
      <c r="G1066">
        <v>1</v>
      </c>
      <c r="H1066">
        <v>81</v>
      </c>
      <c r="I1066" t="s">
        <v>386</v>
      </c>
      <c r="J1066" t="s">
        <v>386</v>
      </c>
      <c r="K1066">
        <v>1000000</v>
      </c>
      <c r="L1066">
        <v>1959</v>
      </c>
      <c r="M1066">
        <v>1959</v>
      </c>
      <c r="N1066">
        <v>2706</v>
      </c>
      <c r="O1066">
        <v>0</v>
      </c>
      <c r="P1066">
        <v>708</v>
      </c>
      <c r="Q1066">
        <v>1031</v>
      </c>
      <c r="R1066">
        <v>1004</v>
      </c>
      <c r="S1066">
        <v>655</v>
      </c>
      <c r="T1066">
        <v>0</v>
      </c>
      <c r="U1066">
        <v>15740</v>
      </c>
      <c r="V1066">
        <v>25309.933886949999</v>
      </c>
      <c r="AH1066">
        <f t="shared" si="149"/>
        <v>1959</v>
      </c>
      <c r="AI1066">
        <f t="shared" si="150"/>
        <v>2706</v>
      </c>
      <c r="AJ1066" t="str">
        <f t="shared" si="151"/>
        <v/>
      </c>
      <c r="AK1066">
        <f t="shared" si="152"/>
        <v>708</v>
      </c>
      <c r="AL1066">
        <f t="shared" si="145"/>
        <v>1031</v>
      </c>
      <c r="AM1066">
        <f t="shared" si="146"/>
        <v>1004</v>
      </c>
      <c r="AN1066">
        <f t="shared" si="147"/>
        <v>655</v>
      </c>
      <c r="AO1066" t="str">
        <f t="shared" si="148"/>
        <v/>
      </c>
    </row>
    <row r="1067" spans="1:41">
      <c r="A1067">
        <f t="shared" si="153"/>
        <v>1063</v>
      </c>
      <c r="B1067" t="s">
        <v>277</v>
      </c>
      <c r="C1067">
        <v>5</v>
      </c>
      <c r="D1067">
        <v>5</v>
      </c>
      <c r="E1067" t="s">
        <v>387</v>
      </c>
      <c r="F1067">
        <v>412</v>
      </c>
      <c r="G1067">
        <v>1</v>
      </c>
      <c r="H1067">
        <v>82</v>
      </c>
      <c r="I1067" t="s">
        <v>386</v>
      </c>
      <c r="J1067" t="s">
        <v>386</v>
      </c>
      <c r="K1067">
        <v>1000000</v>
      </c>
      <c r="L1067">
        <v>1987</v>
      </c>
      <c r="M1067">
        <v>1987</v>
      </c>
      <c r="N1067">
        <v>2744</v>
      </c>
      <c r="O1067">
        <v>0</v>
      </c>
      <c r="P1067">
        <v>623</v>
      </c>
      <c r="Q1067">
        <v>911</v>
      </c>
      <c r="R1067">
        <v>893</v>
      </c>
      <c r="S1067">
        <v>585</v>
      </c>
      <c r="T1067">
        <v>0</v>
      </c>
      <c r="U1067">
        <v>15922</v>
      </c>
      <c r="V1067">
        <v>25335.66071901</v>
      </c>
      <c r="AH1067">
        <f t="shared" si="149"/>
        <v>1987</v>
      </c>
      <c r="AI1067">
        <f t="shared" si="150"/>
        <v>2744</v>
      </c>
      <c r="AJ1067" t="str">
        <f t="shared" si="151"/>
        <v/>
      </c>
      <c r="AK1067">
        <f t="shared" si="152"/>
        <v>623</v>
      </c>
      <c r="AL1067">
        <f t="shared" si="145"/>
        <v>911</v>
      </c>
      <c r="AM1067">
        <f t="shared" si="146"/>
        <v>893</v>
      </c>
      <c r="AN1067">
        <f t="shared" si="147"/>
        <v>585</v>
      </c>
      <c r="AO1067" t="str">
        <f t="shared" si="148"/>
        <v/>
      </c>
    </row>
    <row r="1068" spans="1:41">
      <c r="A1068">
        <f t="shared" si="153"/>
        <v>1064</v>
      </c>
      <c r="B1068" t="s">
        <v>277</v>
      </c>
      <c r="C1068">
        <v>5</v>
      </c>
      <c r="D1068">
        <v>5</v>
      </c>
      <c r="E1068" t="s">
        <v>387</v>
      </c>
      <c r="F1068">
        <v>412</v>
      </c>
      <c r="G1068">
        <v>1</v>
      </c>
      <c r="H1068">
        <v>83</v>
      </c>
      <c r="I1068" t="s">
        <v>386</v>
      </c>
      <c r="J1068" t="s">
        <v>386</v>
      </c>
      <c r="K1068">
        <v>1000000</v>
      </c>
      <c r="L1068">
        <v>2011</v>
      </c>
      <c r="M1068">
        <v>2011</v>
      </c>
      <c r="N1068">
        <v>2777</v>
      </c>
      <c r="O1068">
        <v>0</v>
      </c>
      <c r="P1068">
        <v>555</v>
      </c>
      <c r="Q1068">
        <v>816</v>
      </c>
      <c r="R1068">
        <v>802</v>
      </c>
      <c r="S1068">
        <v>524</v>
      </c>
      <c r="T1068">
        <v>0</v>
      </c>
      <c r="U1068">
        <v>16083</v>
      </c>
      <c r="V1068">
        <v>25364.253764879999</v>
      </c>
      <c r="AH1068">
        <f t="shared" si="149"/>
        <v>2011</v>
      </c>
      <c r="AI1068">
        <f t="shared" si="150"/>
        <v>2777</v>
      </c>
      <c r="AJ1068" t="str">
        <f t="shared" si="151"/>
        <v/>
      </c>
      <c r="AK1068">
        <f t="shared" si="152"/>
        <v>555</v>
      </c>
      <c r="AL1068">
        <f t="shared" si="145"/>
        <v>816</v>
      </c>
      <c r="AM1068">
        <f t="shared" si="146"/>
        <v>802</v>
      </c>
      <c r="AN1068">
        <f t="shared" si="147"/>
        <v>524</v>
      </c>
      <c r="AO1068" t="str">
        <f t="shared" si="148"/>
        <v/>
      </c>
    </row>
    <row r="1069" spans="1:41">
      <c r="A1069">
        <f t="shared" si="153"/>
        <v>1065</v>
      </c>
      <c r="B1069" t="s">
        <v>277</v>
      </c>
      <c r="C1069">
        <v>5</v>
      </c>
      <c r="D1069">
        <v>5</v>
      </c>
      <c r="E1069" t="s">
        <v>387</v>
      </c>
      <c r="F1069">
        <v>412</v>
      </c>
      <c r="G1069">
        <v>1</v>
      </c>
      <c r="H1069">
        <v>84</v>
      </c>
      <c r="I1069" t="s">
        <v>386</v>
      </c>
      <c r="J1069" t="s">
        <v>386</v>
      </c>
      <c r="K1069">
        <v>1000000</v>
      </c>
      <c r="L1069">
        <v>2033</v>
      </c>
      <c r="M1069">
        <v>2033</v>
      </c>
      <c r="N1069">
        <v>2807</v>
      </c>
      <c r="O1069">
        <v>0</v>
      </c>
      <c r="P1069">
        <v>497</v>
      </c>
      <c r="Q1069">
        <v>730</v>
      </c>
      <c r="R1069">
        <v>713</v>
      </c>
      <c r="S1069">
        <v>461</v>
      </c>
      <c r="T1069">
        <v>0</v>
      </c>
      <c r="U1069">
        <v>16226</v>
      </c>
      <c r="V1069">
        <v>25397.276241420001</v>
      </c>
      <c r="AH1069">
        <f t="shared" si="149"/>
        <v>2033</v>
      </c>
      <c r="AI1069">
        <f t="shared" si="150"/>
        <v>2807</v>
      </c>
      <c r="AJ1069" t="str">
        <f t="shared" si="151"/>
        <v/>
      </c>
      <c r="AK1069">
        <f t="shared" si="152"/>
        <v>497</v>
      </c>
      <c r="AL1069">
        <f t="shared" si="145"/>
        <v>730</v>
      </c>
      <c r="AM1069">
        <f t="shared" si="146"/>
        <v>713</v>
      </c>
      <c r="AN1069">
        <f t="shared" si="147"/>
        <v>461</v>
      </c>
      <c r="AO1069" t="str">
        <f t="shared" si="148"/>
        <v/>
      </c>
    </row>
    <row r="1070" spans="1:41">
      <c r="A1070">
        <f t="shared" si="153"/>
        <v>1066</v>
      </c>
      <c r="B1070" t="s">
        <v>277</v>
      </c>
      <c r="C1070">
        <v>5</v>
      </c>
      <c r="D1070">
        <v>5</v>
      </c>
      <c r="E1070" t="s">
        <v>387</v>
      </c>
      <c r="F1070">
        <v>412</v>
      </c>
      <c r="G1070">
        <v>1</v>
      </c>
      <c r="H1070">
        <v>85</v>
      </c>
      <c r="I1070" t="s">
        <v>386</v>
      </c>
      <c r="J1070" t="s">
        <v>386</v>
      </c>
      <c r="K1070">
        <v>1000000</v>
      </c>
      <c r="L1070">
        <v>2052</v>
      </c>
      <c r="M1070">
        <v>2052</v>
      </c>
      <c r="N1070">
        <v>2833</v>
      </c>
      <c r="O1070">
        <v>0</v>
      </c>
      <c r="P1070">
        <v>441</v>
      </c>
      <c r="Q1070">
        <v>641</v>
      </c>
      <c r="R1070">
        <v>619</v>
      </c>
      <c r="S1070">
        <v>398</v>
      </c>
      <c r="T1070">
        <v>0</v>
      </c>
      <c r="U1070">
        <v>16352</v>
      </c>
      <c r="V1070">
        <v>25437.088123019999</v>
      </c>
      <c r="AH1070">
        <f t="shared" si="149"/>
        <v>2052</v>
      </c>
      <c r="AI1070">
        <f t="shared" si="150"/>
        <v>2833</v>
      </c>
      <c r="AJ1070" t="str">
        <f t="shared" si="151"/>
        <v/>
      </c>
      <c r="AK1070">
        <f t="shared" si="152"/>
        <v>441</v>
      </c>
      <c r="AL1070">
        <f t="shared" si="145"/>
        <v>641</v>
      </c>
      <c r="AM1070">
        <f t="shared" si="146"/>
        <v>619</v>
      </c>
      <c r="AN1070">
        <f t="shared" si="147"/>
        <v>398</v>
      </c>
      <c r="AO1070" t="str">
        <f t="shared" si="148"/>
        <v/>
      </c>
    </row>
    <row r="1071" spans="1:41">
      <c r="A1071">
        <f t="shared" si="153"/>
        <v>1067</v>
      </c>
      <c r="B1071" t="s">
        <v>277</v>
      </c>
      <c r="C1071">
        <v>5</v>
      </c>
      <c r="D1071">
        <v>5</v>
      </c>
      <c r="E1071" t="s">
        <v>387</v>
      </c>
      <c r="F1071">
        <v>412</v>
      </c>
      <c r="G1071">
        <v>1</v>
      </c>
      <c r="H1071">
        <v>86</v>
      </c>
      <c r="I1071" t="s">
        <v>386</v>
      </c>
      <c r="J1071" t="s">
        <v>386</v>
      </c>
      <c r="K1071">
        <v>1000000</v>
      </c>
      <c r="L1071">
        <v>2069</v>
      </c>
      <c r="M1071">
        <v>2069</v>
      </c>
      <c r="N1071">
        <v>2855</v>
      </c>
      <c r="O1071">
        <v>0</v>
      </c>
      <c r="P1071">
        <v>382</v>
      </c>
      <c r="Q1071">
        <v>550</v>
      </c>
      <c r="R1071">
        <v>529</v>
      </c>
      <c r="S1071">
        <v>341</v>
      </c>
      <c r="T1071">
        <v>0</v>
      </c>
      <c r="U1071">
        <v>16463</v>
      </c>
      <c r="V1071">
        <v>25485.587936529999</v>
      </c>
      <c r="AH1071">
        <f t="shared" si="149"/>
        <v>2069</v>
      </c>
      <c r="AI1071">
        <f t="shared" si="150"/>
        <v>2855</v>
      </c>
      <c r="AJ1071" t="str">
        <f t="shared" si="151"/>
        <v/>
      </c>
      <c r="AK1071">
        <f t="shared" si="152"/>
        <v>382</v>
      </c>
      <c r="AL1071">
        <f t="shared" si="145"/>
        <v>550</v>
      </c>
      <c r="AM1071">
        <f t="shared" si="146"/>
        <v>529</v>
      </c>
      <c r="AN1071">
        <f t="shared" si="147"/>
        <v>341</v>
      </c>
      <c r="AO1071" t="str">
        <f t="shared" si="148"/>
        <v/>
      </c>
    </row>
    <row r="1072" spans="1:41">
      <c r="A1072">
        <f t="shared" si="153"/>
        <v>1068</v>
      </c>
      <c r="B1072" t="s">
        <v>277</v>
      </c>
      <c r="C1072">
        <v>5</v>
      </c>
      <c r="D1072">
        <v>5</v>
      </c>
      <c r="E1072" t="s">
        <v>387</v>
      </c>
      <c r="F1072">
        <v>412</v>
      </c>
      <c r="G1072">
        <v>1</v>
      </c>
      <c r="H1072">
        <v>87</v>
      </c>
      <c r="I1072" t="s">
        <v>386</v>
      </c>
      <c r="J1072" t="s">
        <v>386</v>
      </c>
      <c r="K1072">
        <v>1000000</v>
      </c>
      <c r="L1072">
        <v>2083</v>
      </c>
      <c r="M1072">
        <v>2083</v>
      </c>
      <c r="N1072">
        <v>2875</v>
      </c>
      <c r="O1072">
        <v>0</v>
      </c>
      <c r="P1072">
        <v>324</v>
      </c>
      <c r="Q1072">
        <v>468</v>
      </c>
      <c r="R1072">
        <v>453</v>
      </c>
      <c r="S1072">
        <v>294</v>
      </c>
      <c r="T1072">
        <v>0</v>
      </c>
      <c r="U1072">
        <v>16558</v>
      </c>
      <c r="V1072">
        <v>25543.422376769999</v>
      </c>
      <c r="AH1072">
        <f t="shared" si="149"/>
        <v>2083</v>
      </c>
      <c r="AI1072">
        <f t="shared" si="150"/>
        <v>2875</v>
      </c>
      <c r="AJ1072" t="str">
        <f t="shared" si="151"/>
        <v/>
      </c>
      <c r="AK1072">
        <f t="shared" si="152"/>
        <v>324</v>
      </c>
      <c r="AL1072">
        <f t="shared" si="145"/>
        <v>468</v>
      </c>
      <c r="AM1072">
        <f t="shared" si="146"/>
        <v>453</v>
      </c>
      <c r="AN1072">
        <f t="shared" si="147"/>
        <v>294</v>
      </c>
      <c r="AO1072" t="str">
        <f t="shared" si="148"/>
        <v/>
      </c>
    </row>
    <row r="1073" spans="1:41">
      <c r="A1073">
        <f t="shared" si="153"/>
        <v>1069</v>
      </c>
      <c r="B1073" t="s">
        <v>277</v>
      </c>
      <c r="C1073">
        <v>5</v>
      </c>
      <c r="D1073">
        <v>5</v>
      </c>
      <c r="E1073" t="s">
        <v>387</v>
      </c>
      <c r="F1073">
        <v>412</v>
      </c>
      <c r="G1073">
        <v>1</v>
      </c>
      <c r="H1073">
        <v>88</v>
      </c>
      <c r="I1073" t="s">
        <v>386</v>
      </c>
      <c r="J1073" t="s">
        <v>386</v>
      </c>
      <c r="K1073">
        <v>1000000</v>
      </c>
      <c r="L1073">
        <v>2095</v>
      </c>
      <c r="M1073">
        <v>2095</v>
      </c>
      <c r="N1073">
        <v>2892</v>
      </c>
      <c r="O1073">
        <v>0</v>
      </c>
      <c r="P1073">
        <v>278</v>
      </c>
      <c r="Q1073">
        <v>404</v>
      </c>
      <c r="R1073">
        <v>393</v>
      </c>
      <c r="S1073">
        <v>255</v>
      </c>
      <c r="T1073">
        <v>0</v>
      </c>
      <c r="U1073">
        <v>16640</v>
      </c>
      <c r="V1073">
        <v>25609.322380829999</v>
      </c>
      <c r="AH1073">
        <f t="shared" si="149"/>
        <v>2095</v>
      </c>
      <c r="AI1073">
        <f t="shared" si="150"/>
        <v>2892</v>
      </c>
      <c r="AJ1073" t="str">
        <f t="shared" si="151"/>
        <v/>
      </c>
      <c r="AK1073">
        <f t="shared" si="152"/>
        <v>278</v>
      </c>
      <c r="AL1073">
        <f t="shared" si="145"/>
        <v>404</v>
      </c>
      <c r="AM1073">
        <f t="shared" si="146"/>
        <v>393</v>
      </c>
      <c r="AN1073">
        <f t="shared" si="147"/>
        <v>255</v>
      </c>
      <c r="AO1073" t="str">
        <f t="shared" si="148"/>
        <v/>
      </c>
    </row>
    <row r="1074" spans="1:41">
      <c r="A1074">
        <f t="shared" si="153"/>
        <v>1070</v>
      </c>
      <c r="B1074" t="s">
        <v>277</v>
      </c>
      <c r="C1074">
        <v>5</v>
      </c>
      <c r="D1074">
        <v>5</v>
      </c>
      <c r="E1074" t="s">
        <v>387</v>
      </c>
      <c r="F1074">
        <v>412</v>
      </c>
      <c r="G1074">
        <v>1</v>
      </c>
      <c r="H1074">
        <v>89</v>
      </c>
      <c r="I1074" t="s">
        <v>386</v>
      </c>
      <c r="J1074" t="s">
        <v>386</v>
      </c>
      <c r="K1074">
        <v>1000000</v>
      </c>
      <c r="L1074">
        <v>2106</v>
      </c>
      <c r="M1074">
        <v>2106</v>
      </c>
      <c r="N1074">
        <v>2906</v>
      </c>
      <c r="O1074">
        <v>0</v>
      </c>
      <c r="P1074">
        <v>241</v>
      </c>
      <c r="Q1074">
        <v>351</v>
      </c>
      <c r="R1074">
        <v>340</v>
      </c>
      <c r="S1074">
        <v>218</v>
      </c>
      <c r="T1074">
        <v>0</v>
      </c>
      <c r="U1074">
        <v>16710</v>
      </c>
      <c r="V1074">
        <v>25680.29786033</v>
      </c>
      <c r="AH1074">
        <f t="shared" si="149"/>
        <v>2106</v>
      </c>
      <c r="AI1074">
        <f t="shared" si="150"/>
        <v>2906</v>
      </c>
      <c r="AJ1074" t="str">
        <f t="shared" si="151"/>
        <v/>
      </c>
      <c r="AK1074">
        <f t="shared" si="152"/>
        <v>241</v>
      </c>
      <c r="AL1074">
        <f t="shared" si="145"/>
        <v>351</v>
      </c>
      <c r="AM1074">
        <f t="shared" si="146"/>
        <v>340</v>
      </c>
      <c r="AN1074">
        <f t="shared" si="147"/>
        <v>218</v>
      </c>
      <c r="AO1074" t="str">
        <f t="shared" si="148"/>
        <v/>
      </c>
    </row>
    <row r="1075" spans="1:41">
      <c r="A1075">
        <f t="shared" si="153"/>
        <v>1071</v>
      </c>
      <c r="B1075" t="s">
        <v>277</v>
      </c>
      <c r="C1075">
        <v>5</v>
      </c>
      <c r="D1075">
        <v>5</v>
      </c>
      <c r="E1075" t="s">
        <v>387</v>
      </c>
      <c r="F1075">
        <v>412</v>
      </c>
      <c r="G1075">
        <v>1</v>
      </c>
      <c r="H1075">
        <v>90</v>
      </c>
      <c r="I1075" t="s">
        <v>386</v>
      </c>
      <c r="J1075" t="s">
        <v>386</v>
      </c>
      <c r="K1075">
        <v>1000000</v>
      </c>
      <c r="L1075">
        <v>2115</v>
      </c>
      <c r="M1075">
        <v>2115</v>
      </c>
      <c r="N1075">
        <v>2919</v>
      </c>
      <c r="O1075">
        <v>0</v>
      </c>
      <c r="P1075">
        <v>208</v>
      </c>
      <c r="Q1075">
        <v>300</v>
      </c>
      <c r="R1075">
        <v>287</v>
      </c>
      <c r="S1075">
        <v>183</v>
      </c>
      <c r="T1075">
        <v>0</v>
      </c>
      <c r="U1075">
        <v>16770</v>
      </c>
      <c r="V1075">
        <v>25753.680392599999</v>
      </c>
      <c r="AH1075">
        <f t="shared" si="149"/>
        <v>2115</v>
      </c>
      <c r="AI1075">
        <f t="shared" si="150"/>
        <v>2919</v>
      </c>
      <c r="AJ1075" t="str">
        <f t="shared" si="151"/>
        <v/>
      </c>
      <c r="AK1075">
        <f t="shared" si="152"/>
        <v>208</v>
      </c>
      <c r="AL1075">
        <f t="shared" si="145"/>
        <v>300</v>
      </c>
      <c r="AM1075">
        <f t="shared" si="146"/>
        <v>287</v>
      </c>
      <c r="AN1075">
        <f t="shared" si="147"/>
        <v>183</v>
      </c>
      <c r="AO1075" t="str">
        <f t="shared" si="148"/>
        <v/>
      </c>
    </row>
    <row r="1076" spans="1:41">
      <c r="A1076">
        <f t="shared" si="153"/>
        <v>1072</v>
      </c>
      <c r="B1076" t="s">
        <v>277</v>
      </c>
      <c r="C1076">
        <v>5</v>
      </c>
      <c r="D1076">
        <v>5</v>
      </c>
      <c r="E1076" t="s">
        <v>387</v>
      </c>
      <c r="F1076">
        <v>412</v>
      </c>
      <c r="G1076">
        <v>1</v>
      </c>
      <c r="H1076">
        <v>91</v>
      </c>
      <c r="I1076" t="s">
        <v>386</v>
      </c>
      <c r="J1076" t="s">
        <v>386</v>
      </c>
      <c r="K1076">
        <v>1000000</v>
      </c>
      <c r="L1076">
        <v>2123</v>
      </c>
      <c r="M1076">
        <v>2123</v>
      </c>
      <c r="N1076">
        <v>2929</v>
      </c>
      <c r="O1076">
        <v>0</v>
      </c>
      <c r="P1076">
        <v>175</v>
      </c>
      <c r="Q1076">
        <v>250</v>
      </c>
      <c r="R1076">
        <v>238</v>
      </c>
      <c r="S1076">
        <v>151</v>
      </c>
      <c r="T1076">
        <v>0</v>
      </c>
      <c r="U1076">
        <v>16821</v>
      </c>
      <c r="V1076">
        <v>25828.204774909998</v>
      </c>
      <c r="AH1076">
        <f t="shared" si="149"/>
        <v>2123</v>
      </c>
      <c r="AI1076">
        <f t="shared" si="150"/>
        <v>2929</v>
      </c>
      <c r="AJ1076" t="str">
        <f t="shared" si="151"/>
        <v/>
      </c>
      <c r="AK1076">
        <f t="shared" si="152"/>
        <v>175</v>
      </c>
      <c r="AL1076">
        <f t="shared" si="145"/>
        <v>250</v>
      </c>
      <c r="AM1076">
        <f t="shared" si="146"/>
        <v>238</v>
      </c>
      <c r="AN1076">
        <f t="shared" si="147"/>
        <v>151</v>
      </c>
      <c r="AO1076" t="str">
        <f t="shared" si="148"/>
        <v/>
      </c>
    </row>
    <row r="1077" spans="1:41">
      <c r="A1077">
        <f t="shared" si="153"/>
        <v>1073</v>
      </c>
      <c r="B1077" t="s">
        <v>277</v>
      </c>
      <c r="C1077">
        <v>5</v>
      </c>
      <c r="D1077">
        <v>5</v>
      </c>
      <c r="E1077" t="s">
        <v>387</v>
      </c>
      <c r="F1077">
        <v>412</v>
      </c>
      <c r="G1077">
        <v>1</v>
      </c>
      <c r="H1077">
        <v>92</v>
      </c>
      <c r="I1077" t="s">
        <v>386</v>
      </c>
      <c r="J1077" t="s">
        <v>386</v>
      </c>
      <c r="K1077">
        <v>1000000</v>
      </c>
      <c r="L1077">
        <v>2129</v>
      </c>
      <c r="M1077">
        <v>2129</v>
      </c>
      <c r="N1077">
        <v>2938</v>
      </c>
      <c r="O1077">
        <v>0</v>
      </c>
      <c r="P1077">
        <v>144</v>
      </c>
      <c r="Q1077">
        <v>206</v>
      </c>
      <c r="R1077">
        <v>196</v>
      </c>
      <c r="S1077">
        <v>127</v>
      </c>
      <c r="T1077">
        <v>0</v>
      </c>
      <c r="U1077">
        <v>16864</v>
      </c>
      <c r="V1077">
        <v>25903.914358850001</v>
      </c>
      <c r="AH1077">
        <f t="shared" si="149"/>
        <v>2129</v>
      </c>
      <c r="AI1077">
        <f t="shared" si="150"/>
        <v>2938</v>
      </c>
      <c r="AJ1077" t="str">
        <f t="shared" si="151"/>
        <v/>
      </c>
      <c r="AK1077">
        <f t="shared" si="152"/>
        <v>144</v>
      </c>
      <c r="AL1077">
        <f t="shared" si="145"/>
        <v>206</v>
      </c>
      <c r="AM1077">
        <f t="shared" si="146"/>
        <v>196</v>
      </c>
      <c r="AN1077">
        <f t="shared" si="147"/>
        <v>127</v>
      </c>
      <c r="AO1077" t="str">
        <f t="shared" si="148"/>
        <v/>
      </c>
    </row>
    <row r="1078" spans="1:41">
      <c r="A1078">
        <f t="shared" si="153"/>
        <v>1074</v>
      </c>
      <c r="B1078" t="s">
        <v>277</v>
      </c>
      <c r="C1078">
        <v>5</v>
      </c>
      <c r="D1078">
        <v>5</v>
      </c>
      <c r="E1078" t="s">
        <v>387</v>
      </c>
      <c r="F1078">
        <v>412</v>
      </c>
      <c r="G1078">
        <v>1</v>
      </c>
      <c r="H1078">
        <v>93</v>
      </c>
      <c r="I1078" t="s">
        <v>386</v>
      </c>
      <c r="J1078" t="s">
        <v>386</v>
      </c>
      <c r="K1078">
        <v>1000000</v>
      </c>
      <c r="L1078">
        <v>2135</v>
      </c>
      <c r="M1078">
        <v>2135</v>
      </c>
      <c r="N1078">
        <v>2945</v>
      </c>
      <c r="O1078">
        <v>0</v>
      </c>
      <c r="P1078">
        <v>119</v>
      </c>
      <c r="Q1078">
        <v>171</v>
      </c>
      <c r="R1078">
        <v>166</v>
      </c>
      <c r="S1078">
        <v>107</v>
      </c>
      <c r="T1078">
        <v>0</v>
      </c>
      <c r="U1078">
        <v>16899</v>
      </c>
      <c r="V1078">
        <v>25983.163429730001</v>
      </c>
      <c r="AH1078">
        <f t="shared" si="149"/>
        <v>2135</v>
      </c>
      <c r="AI1078">
        <f t="shared" si="150"/>
        <v>2945</v>
      </c>
      <c r="AJ1078" t="str">
        <f t="shared" si="151"/>
        <v/>
      </c>
      <c r="AK1078">
        <f t="shared" si="152"/>
        <v>119</v>
      </c>
      <c r="AL1078">
        <f t="shared" si="145"/>
        <v>171</v>
      </c>
      <c r="AM1078">
        <f t="shared" si="146"/>
        <v>166</v>
      </c>
      <c r="AN1078">
        <f t="shared" si="147"/>
        <v>107</v>
      </c>
      <c r="AO1078" t="str">
        <f t="shared" si="148"/>
        <v/>
      </c>
    </row>
    <row r="1079" spans="1:41">
      <c r="A1079">
        <f t="shared" si="153"/>
        <v>1075</v>
      </c>
      <c r="B1079" t="s">
        <v>277</v>
      </c>
      <c r="C1079">
        <v>5</v>
      </c>
      <c r="D1079">
        <v>5</v>
      </c>
      <c r="E1079" t="s">
        <v>387</v>
      </c>
      <c r="F1079">
        <v>412</v>
      </c>
      <c r="G1079">
        <v>1</v>
      </c>
      <c r="H1079">
        <v>94</v>
      </c>
      <c r="I1079" t="s">
        <v>386</v>
      </c>
      <c r="J1079" t="s">
        <v>386</v>
      </c>
      <c r="K1079">
        <v>1000000</v>
      </c>
      <c r="L1079">
        <v>2139</v>
      </c>
      <c r="M1079">
        <v>2139</v>
      </c>
      <c r="N1079">
        <v>2952</v>
      </c>
      <c r="O1079">
        <v>0</v>
      </c>
      <c r="P1079">
        <v>100</v>
      </c>
      <c r="Q1079">
        <v>145</v>
      </c>
      <c r="R1079">
        <v>140</v>
      </c>
      <c r="S1079">
        <v>89</v>
      </c>
      <c r="T1079">
        <v>0</v>
      </c>
      <c r="U1079">
        <v>16929</v>
      </c>
      <c r="V1079">
        <v>26068.759015700001</v>
      </c>
      <c r="AH1079">
        <f t="shared" si="149"/>
        <v>2139</v>
      </c>
      <c r="AI1079">
        <f t="shared" si="150"/>
        <v>2952</v>
      </c>
      <c r="AJ1079" t="str">
        <f t="shared" si="151"/>
        <v/>
      </c>
      <c r="AK1079">
        <f t="shared" si="152"/>
        <v>100</v>
      </c>
      <c r="AL1079">
        <f t="shared" si="145"/>
        <v>145</v>
      </c>
      <c r="AM1079">
        <f t="shared" si="146"/>
        <v>140</v>
      </c>
      <c r="AN1079">
        <f t="shared" si="147"/>
        <v>89</v>
      </c>
      <c r="AO1079" t="str">
        <f t="shared" si="148"/>
        <v/>
      </c>
    </row>
    <row r="1080" spans="1:41">
      <c r="A1080">
        <f t="shared" si="153"/>
        <v>1076</v>
      </c>
      <c r="B1080" t="s">
        <v>277</v>
      </c>
      <c r="C1080">
        <v>5</v>
      </c>
      <c r="D1080">
        <v>5</v>
      </c>
      <c r="E1080" t="s">
        <v>387</v>
      </c>
      <c r="F1080">
        <v>412</v>
      </c>
      <c r="G1080">
        <v>1</v>
      </c>
      <c r="H1080">
        <v>95</v>
      </c>
      <c r="I1080" t="s">
        <v>386</v>
      </c>
      <c r="J1080" t="s">
        <v>386</v>
      </c>
      <c r="K1080">
        <v>1000000</v>
      </c>
      <c r="L1080">
        <v>2143</v>
      </c>
      <c r="M1080">
        <v>2143</v>
      </c>
      <c r="N1080">
        <v>2957</v>
      </c>
      <c r="O1080">
        <v>0</v>
      </c>
      <c r="P1080">
        <v>85</v>
      </c>
      <c r="Q1080">
        <v>122</v>
      </c>
      <c r="R1080">
        <v>116</v>
      </c>
      <c r="S1080">
        <v>73</v>
      </c>
      <c r="T1080">
        <v>0</v>
      </c>
      <c r="U1080">
        <v>16953</v>
      </c>
      <c r="V1080">
        <v>26163.5664646</v>
      </c>
      <c r="AH1080">
        <f t="shared" si="149"/>
        <v>2143</v>
      </c>
      <c r="AI1080">
        <f t="shared" si="150"/>
        <v>2957</v>
      </c>
      <c r="AJ1080" t="str">
        <f t="shared" si="151"/>
        <v/>
      </c>
      <c r="AK1080">
        <f t="shared" si="152"/>
        <v>85</v>
      </c>
      <c r="AL1080">
        <f t="shared" si="145"/>
        <v>122</v>
      </c>
      <c r="AM1080">
        <f t="shared" si="146"/>
        <v>116</v>
      </c>
      <c r="AN1080">
        <f t="shared" si="147"/>
        <v>73</v>
      </c>
      <c r="AO1080" t="str">
        <f t="shared" si="148"/>
        <v/>
      </c>
    </row>
    <row r="1081" spans="1:41">
      <c r="A1081">
        <f t="shared" si="153"/>
        <v>1077</v>
      </c>
      <c r="B1081" t="s">
        <v>277</v>
      </c>
      <c r="C1081">
        <v>4</v>
      </c>
      <c r="D1081">
        <v>4</v>
      </c>
      <c r="E1081" t="s">
        <v>387</v>
      </c>
      <c r="F1081">
        <v>412</v>
      </c>
      <c r="G1081">
        <v>1</v>
      </c>
      <c r="H1081">
        <v>96</v>
      </c>
      <c r="I1081" t="s">
        <v>386</v>
      </c>
      <c r="J1081" t="s">
        <v>386</v>
      </c>
      <c r="K1081">
        <v>1000000</v>
      </c>
      <c r="L1081">
        <v>2145</v>
      </c>
      <c r="M1081">
        <v>2145</v>
      </c>
      <c r="N1081">
        <v>3059</v>
      </c>
      <c r="O1081">
        <v>0</v>
      </c>
      <c r="P1081">
        <v>56</v>
      </c>
      <c r="Q1081">
        <v>71</v>
      </c>
      <c r="R1081">
        <v>50</v>
      </c>
      <c r="S1081">
        <v>0</v>
      </c>
      <c r="T1081" t="s">
        <v>386</v>
      </c>
      <c r="U1081">
        <v>17446</v>
      </c>
      <c r="V1081">
        <v>26268.943542659999</v>
      </c>
      <c r="AH1081">
        <f t="shared" si="149"/>
        <v>2145</v>
      </c>
      <c r="AI1081">
        <f t="shared" si="150"/>
        <v>3059</v>
      </c>
      <c r="AJ1081" t="str">
        <f t="shared" si="151"/>
        <v/>
      </c>
      <c r="AK1081">
        <f t="shared" si="152"/>
        <v>56</v>
      </c>
      <c r="AL1081">
        <f t="shared" si="145"/>
        <v>71</v>
      </c>
      <c r="AM1081">
        <f t="shared" si="146"/>
        <v>50</v>
      </c>
      <c r="AN1081" t="str">
        <f t="shared" si="147"/>
        <v/>
      </c>
      <c r="AO1081" t="e">
        <f t="shared" si="148"/>
        <v>#VALUE!</v>
      </c>
    </row>
    <row r="1082" spans="1:41">
      <c r="A1082">
        <f t="shared" si="153"/>
        <v>1078</v>
      </c>
      <c r="B1082" t="s">
        <v>277</v>
      </c>
      <c r="C1082">
        <v>3</v>
      </c>
      <c r="D1082">
        <v>3</v>
      </c>
      <c r="E1082" t="s">
        <v>387</v>
      </c>
      <c r="F1082">
        <v>412</v>
      </c>
      <c r="G1082">
        <v>1</v>
      </c>
      <c r="H1082">
        <v>97</v>
      </c>
      <c r="I1082" t="s">
        <v>386</v>
      </c>
      <c r="J1082" t="s">
        <v>386</v>
      </c>
      <c r="K1082">
        <v>1000000</v>
      </c>
      <c r="L1082">
        <v>2146</v>
      </c>
      <c r="M1082">
        <v>2146</v>
      </c>
      <c r="N1082">
        <v>3242</v>
      </c>
      <c r="O1082">
        <v>0</v>
      </c>
      <c r="P1082">
        <v>33</v>
      </c>
      <c r="Q1082">
        <v>30</v>
      </c>
      <c r="R1082">
        <v>0</v>
      </c>
      <c r="S1082" t="s">
        <v>386</v>
      </c>
      <c r="T1082" t="s">
        <v>386</v>
      </c>
      <c r="U1082">
        <v>18321</v>
      </c>
      <c r="V1082">
        <v>26385.700946450001</v>
      </c>
      <c r="AH1082">
        <f t="shared" si="149"/>
        <v>2146</v>
      </c>
      <c r="AI1082">
        <f t="shared" si="150"/>
        <v>3242</v>
      </c>
      <c r="AJ1082" t="str">
        <f t="shared" si="151"/>
        <v/>
      </c>
      <c r="AK1082">
        <f t="shared" si="152"/>
        <v>33</v>
      </c>
      <c r="AL1082">
        <f t="shared" si="145"/>
        <v>30</v>
      </c>
      <c r="AM1082" t="str">
        <f t="shared" si="146"/>
        <v/>
      </c>
      <c r="AN1082" t="e">
        <f t="shared" si="147"/>
        <v>#VALUE!</v>
      </c>
      <c r="AO1082" t="e">
        <f t="shared" si="148"/>
        <v>#VALUE!</v>
      </c>
    </row>
    <row r="1083" spans="1:41">
      <c r="A1083">
        <f t="shared" si="153"/>
        <v>1079</v>
      </c>
      <c r="B1083" t="s">
        <v>277</v>
      </c>
      <c r="C1083">
        <v>2</v>
      </c>
      <c r="D1083">
        <v>2</v>
      </c>
      <c r="E1083" t="s">
        <v>387</v>
      </c>
      <c r="F1083">
        <v>412</v>
      </c>
      <c r="G1083">
        <v>1</v>
      </c>
      <c r="H1083">
        <v>98</v>
      </c>
      <c r="I1083" t="s">
        <v>386</v>
      </c>
      <c r="J1083" t="s">
        <v>386</v>
      </c>
      <c r="K1083">
        <v>1000000</v>
      </c>
      <c r="L1083">
        <v>2148</v>
      </c>
      <c r="M1083">
        <v>2148</v>
      </c>
      <c r="N1083">
        <v>3502</v>
      </c>
      <c r="O1083">
        <v>0</v>
      </c>
      <c r="P1083">
        <v>14</v>
      </c>
      <c r="Q1083">
        <v>0</v>
      </c>
      <c r="R1083" t="s">
        <v>386</v>
      </c>
      <c r="S1083" t="s">
        <v>386</v>
      </c>
      <c r="T1083" t="s">
        <v>386</v>
      </c>
      <c r="U1083">
        <v>17324</v>
      </c>
      <c r="V1083">
        <v>26513.069357510001</v>
      </c>
      <c r="AH1083">
        <f t="shared" si="149"/>
        <v>2148</v>
      </c>
      <c r="AI1083">
        <f t="shared" si="150"/>
        <v>3502</v>
      </c>
      <c r="AJ1083" t="str">
        <f t="shared" si="151"/>
        <v/>
      </c>
      <c r="AK1083">
        <f t="shared" si="152"/>
        <v>14</v>
      </c>
      <c r="AL1083" t="str">
        <f t="shared" si="145"/>
        <v/>
      </c>
      <c r="AM1083" t="e">
        <f t="shared" si="146"/>
        <v>#VALUE!</v>
      </c>
      <c r="AN1083" t="e">
        <f t="shared" si="147"/>
        <v>#VALUE!</v>
      </c>
      <c r="AO1083" t="e">
        <f t="shared" si="148"/>
        <v>#VALUE!</v>
      </c>
    </row>
    <row r="1084" spans="1:41">
      <c r="A1084">
        <f t="shared" si="153"/>
        <v>1080</v>
      </c>
      <c r="B1084" t="s">
        <v>277</v>
      </c>
      <c r="C1084">
        <v>1</v>
      </c>
      <c r="D1084">
        <v>1</v>
      </c>
      <c r="E1084" t="s">
        <v>387</v>
      </c>
      <c r="F1084">
        <v>412</v>
      </c>
      <c r="G1084">
        <v>1</v>
      </c>
      <c r="H1084">
        <v>99</v>
      </c>
      <c r="I1084" t="s">
        <v>386</v>
      </c>
      <c r="J1084" t="s">
        <v>386</v>
      </c>
      <c r="K1084">
        <v>1000000</v>
      </c>
      <c r="L1084">
        <v>2149</v>
      </c>
      <c r="M1084">
        <v>2149</v>
      </c>
      <c r="N1084">
        <v>4240</v>
      </c>
      <c r="O1084">
        <v>0</v>
      </c>
      <c r="P1084">
        <v>0</v>
      </c>
      <c r="Q1084" t="s">
        <v>386</v>
      </c>
      <c r="R1084" t="s">
        <v>386</v>
      </c>
      <c r="S1084" t="s">
        <v>386</v>
      </c>
      <c r="T1084" t="s">
        <v>386</v>
      </c>
      <c r="U1084">
        <v>15855</v>
      </c>
      <c r="V1084">
        <v>26650.343850680001</v>
      </c>
      <c r="AH1084">
        <f t="shared" si="149"/>
        <v>2149</v>
      </c>
      <c r="AI1084">
        <f t="shared" si="150"/>
        <v>4240</v>
      </c>
      <c r="AJ1084" t="str">
        <f t="shared" si="151"/>
        <v/>
      </c>
      <c r="AK1084" t="str">
        <f t="shared" si="152"/>
        <v/>
      </c>
      <c r="AL1084" t="e">
        <f t="shared" si="145"/>
        <v>#VALUE!</v>
      </c>
      <c r="AM1084" t="e">
        <f t="shared" si="146"/>
        <v>#VALUE!</v>
      </c>
      <c r="AN1084" t="e">
        <f t="shared" si="147"/>
        <v>#VALUE!</v>
      </c>
      <c r="AO1084" t="e">
        <f t="shared" si="148"/>
        <v>#VALUE!</v>
      </c>
    </row>
    <row r="1085" spans="1:41">
      <c r="A1085">
        <f t="shared" si="153"/>
        <v>1081</v>
      </c>
      <c r="B1085" t="s">
        <v>277</v>
      </c>
      <c r="C1085">
        <v>5</v>
      </c>
      <c r="D1085">
        <v>5</v>
      </c>
      <c r="E1085" t="s">
        <v>385</v>
      </c>
      <c r="F1085">
        <v>412</v>
      </c>
      <c r="G1085">
        <v>2</v>
      </c>
      <c r="H1085">
        <v>30</v>
      </c>
      <c r="I1085" t="s">
        <v>386</v>
      </c>
      <c r="J1085" t="s">
        <v>386</v>
      </c>
      <c r="K1085">
        <v>1000000</v>
      </c>
      <c r="L1085">
        <v>83</v>
      </c>
      <c r="M1085">
        <v>83</v>
      </c>
      <c r="N1085">
        <v>169</v>
      </c>
      <c r="O1085">
        <v>0</v>
      </c>
      <c r="P1085">
        <v>239</v>
      </c>
      <c r="Q1085">
        <v>396</v>
      </c>
      <c r="R1085">
        <v>431</v>
      </c>
      <c r="S1085">
        <v>303</v>
      </c>
      <c r="T1085">
        <v>0</v>
      </c>
      <c r="U1085">
        <v>3269</v>
      </c>
      <c r="V1085">
        <v>26797.016984959999</v>
      </c>
      <c r="AH1085">
        <f t="shared" si="149"/>
        <v>83</v>
      </c>
      <c r="AI1085">
        <f t="shared" si="150"/>
        <v>169</v>
      </c>
      <c r="AJ1085" t="str">
        <f t="shared" si="151"/>
        <v/>
      </c>
      <c r="AK1085">
        <f t="shared" si="152"/>
        <v>239</v>
      </c>
      <c r="AL1085">
        <f t="shared" si="145"/>
        <v>396</v>
      </c>
      <c r="AM1085">
        <f t="shared" si="146"/>
        <v>431</v>
      </c>
      <c r="AN1085">
        <f t="shared" si="147"/>
        <v>303</v>
      </c>
      <c r="AO1085" t="str">
        <f t="shared" si="148"/>
        <v/>
      </c>
    </row>
    <row r="1086" spans="1:41">
      <c r="A1086">
        <f t="shared" si="153"/>
        <v>1082</v>
      </c>
      <c r="B1086" t="s">
        <v>277</v>
      </c>
      <c r="C1086">
        <v>5</v>
      </c>
      <c r="D1086">
        <v>5</v>
      </c>
      <c r="E1086" t="s">
        <v>385</v>
      </c>
      <c r="F1086">
        <v>412</v>
      </c>
      <c r="G1086">
        <v>2</v>
      </c>
      <c r="H1086">
        <v>31</v>
      </c>
      <c r="I1086" t="s">
        <v>386</v>
      </c>
      <c r="J1086" t="s">
        <v>386</v>
      </c>
      <c r="K1086">
        <v>1000000</v>
      </c>
      <c r="L1086">
        <v>94</v>
      </c>
      <c r="M1086">
        <v>94</v>
      </c>
      <c r="N1086">
        <v>184</v>
      </c>
      <c r="O1086">
        <v>0</v>
      </c>
      <c r="P1086">
        <v>294</v>
      </c>
      <c r="Q1086">
        <v>468</v>
      </c>
      <c r="R1086">
        <v>483</v>
      </c>
      <c r="S1086">
        <v>328</v>
      </c>
      <c r="T1086">
        <v>0</v>
      </c>
      <c r="U1086">
        <v>3347</v>
      </c>
      <c r="V1086">
        <v>26954.305240649999</v>
      </c>
      <c r="AH1086">
        <f t="shared" si="149"/>
        <v>94</v>
      </c>
      <c r="AI1086">
        <f t="shared" si="150"/>
        <v>184</v>
      </c>
      <c r="AJ1086" t="str">
        <f t="shared" si="151"/>
        <v/>
      </c>
      <c r="AK1086">
        <f t="shared" si="152"/>
        <v>294</v>
      </c>
      <c r="AL1086">
        <f t="shared" si="145"/>
        <v>468</v>
      </c>
      <c r="AM1086">
        <f t="shared" si="146"/>
        <v>483</v>
      </c>
      <c r="AN1086">
        <f t="shared" si="147"/>
        <v>328</v>
      </c>
      <c r="AO1086" t="str">
        <f t="shared" si="148"/>
        <v/>
      </c>
    </row>
    <row r="1087" spans="1:41">
      <c r="A1087">
        <f t="shared" si="153"/>
        <v>1083</v>
      </c>
      <c r="B1087" t="s">
        <v>277</v>
      </c>
      <c r="C1087">
        <v>5</v>
      </c>
      <c r="D1087">
        <v>5</v>
      </c>
      <c r="E1087" t="s">
        <v>385</v>
      </c>
      <c r="F1087">
        <v>412</v>
      </c>
      <c r="G1087">
        <v>2</v>
      </c>
      <c r="H1087">
        <v>32</v>
      </c>
      <c r="I1087" t="s">
        <v>386</v>
      </c>
      <c r="J1087" t="s">
        <v>386</v>
      </c>
      <c r="K1087">
        <v>1000000</v>
      </c>
      <c r="L1087">
        <v>107</v>
      </c>
      <c r="M1087">
        <v>107</v>
      </c>
      <c r="N1087">
        <v>202</v>
      </c>
      <c r="O1087">
        <v>0</v>
      </c>
      <c r="P1087">
        <v>325</v>
      </c>
      <c r="Q1087">
        <v>495</v>
      </c>
      <c r="R1087">
        <v>498</v>
      </c>
      <c r="S1087">
        <v>333</v>
      </c>
      <c r="T1087">
        <v>0</v>
      </c>
      <c r="U1087">
        <v>3434</v>
      </c>
      <c r="V1087">
        <v>27124.087545490002</v>
      </c>
      <c r="AH1087">
        <f t="shared" si="149"/>
        <v>107</v>
      </c>
      <c r="AI1087">
        <f t="shared" si="150"/>
        <v>202</v>
      </c>
      <c r="AJ1087" t="str">
        <f t="shared" si="151"/>
        <v/>
      </c>
      <c r="AK1087">
        <f t="shared" si="152"/>
        <v>325</v>
      </c>
      <c r="AL1087">
        <f t="shared" si="145"/>
        <v>495</v>
      </c>
      <c r="AM1087">
        <f t="shared" si="146"/>
        <v>498</v>
      </c>
      <c r="AN1087">
        <f t="shared" si="147"/>
        <v>333</v>
      </c>
      <c r="AO1087" t="str">
        <f t="shared" si="148"/>
        <v/>
      </c>
    </row>
    <row r="1088" spans="1:41">
      <c r="A1088">
        <f t="shared" si="153"/>
        <v>1084</v>
      </c>
      <c r="B1088" t="s">
        <v>277</v>
      </c>
      <c r="C1088">
        <v>5</v>
      </c>
      <c r="D1088">
        <v>5</v>
      </c>
      <c r="E1088" t="s">
        <v>385</v>
      </c>
      <c r="F1088">
        <v>412</v>
      </c>
      <c r="G1088">
        <v>2</v>
      </c>
      <c r="H1088">
        <v>33</v>
      </c>
      <c r="I1088" t="s">
        <v>386</v>
      </c>
      <c r="J1088" t="s">
        <v>386</v>
      </c>
      <c r="K1088">
        <v>1000000</v>
      </c>
      <c r="L1088">
        <v>121</v>
      </c>
      <c r="M1088">
        <v>121</v>
      </c>
      <c r="N1088">
        <v>221</v>
      </c>
      <c r="O1088">
        <v>0</v>
      </c>
      <c r="P1088">
        <v>332</v>
      </c>
      <c r="Q1088">
        <v>502</v>
      </c>
      <c r="R1088">
        <v>509</v>
      </c>
      <c r="S1088">
        <v>351</v>
      </c>
      <c r="T1088">
        <v>0</v>
      </c>
      <c r="U1088">
        <v>3528</v>
      </c>
      <c r="V1088">
        <v>27309.19767881</v>
      </c>
      <c r="AH1088">
        <f t="shared" si="149"/>
        <v>121</v>
      </c>
      <c r="AI1088">
        <f t="shared" si="150"/>
        <v>221</v>
      </c>
      <c r="AJ1088" t="str">
        <f t="shared" si="151"/>
        <v/>
      </c>
      <c r="AK1088">
        <f t="shared" si="152"/>
        <v>332</v>
      </c>
      <c r="AL1088">
        <f t="shared" si="145"/>
        <v>502</v>
      </c>
      <c r="AM1088">
        <f t="shared" si="146"/>
        <v>509</v>
      </c>
      <c r="AN1088">
        <f t="shared" si="147"/>
        <v>351</v>
      </c>
      <c r="AO1088" t="str">
        <f t="shared" si="148"/>
        <v/>
      </c>
    </row>
    <row r="1089" spans="1:41">
      <c r="A1089">
        <f t="shared" si="153"/>
        <v>1085</v>
      </c>
      <c r="B1089" t="s">
        <v>277</v>
      </c>
      <c r="C1089">
        <v>5</v>
      </c>
      <c r="D1089">
        <v>5</v>
      </c>
      <c r="E1089" t="s">
        <v>385</v>
      </c>
      <c r="F1089">
        <v>412</v>
      </c>
      <c r="G1089">
        <v>2</v>
      </c>
      <c r="H1089">
        <v>34</v>
      </c>
      <c r="I1089" t="s">
        <v>386</v>
      </c>
      <c r="J1089" t="s">
        <v>386</v>
      </c>
      <c r="K1089">
        <v>1000000</v>
      </c>
      <c r="L1089">
        <v>137</v>
      </c>
      <c r="M1089">
        <v>137</v>
      </c>
      <c r="N1089">
        <v>241</v>
      </c>
      <c r="O1089">
        <v>0</v>
      </c>
      <c r="P1089">
        <v>349</v>
      </c>
      <c r="Q1089">
        <v>538</v>
      </c>
      <c r="R1089">
        <v>568</v>
      </c>
      <c r="S1089">
        <v>411</v>
      </c>
      <c r="T1089">
        <v>0</v>
      </c>
      <c r="U1089">
        <v>3631</v>
      </c>
      <c r="V1089">
        <v>27512.096135749998</v>
      </c>
      <c r="AH1089">
        <f t="shared" si="149"/>
        <v>137</v>
      </c>
      <c r="AI1089">
        <f t="shared" si="150"/>
        <v>241</v>
      </c>
      <c r="AJ1089" t="str">
        <f t="shared" si="151"/>
        <v/>
      </c>
      <c r="AK1089">
        <f t="shared" si="152"/>
        <v>349</v>
      </c>
      <c r="AL1089">
        <f t="shared" si="145"/>
        <v>538</v>
      </c>
      <c r="AM1089">
        <f t="shared" si="146"/>
        <v>568</v>
      </c>
      <c r="AN1089">
        <f t="shared" si="147"/>
        <v>411</v>
      </c>
      <c r="AO1089" t="str">
        <f t="shared" si="148"/>
        <v/>
      </c>
    </row>
    <row r="1090" spans="1:41">
      <c r="A1090">
        <f t="shared" si="153"/>
        <v>1086</v>
      </c>
      <c r="B1090" t="s">
        <v>277</v>
      </c>
      <c r="C1090">
        <v>5</v>
      </c>
      <c r="D1090">
        <v>5</v>
      </c>
      <c r="E1090" t="s">
        <v>385</v>
      </c>
      <c r="F1090">
        <v>412</v>
      </c>
      <c r="G1090">
        <v>2</v>
      </c>
      <c r="H1090">
        <v>35</v>
      </c>
      <c r="I1090" t="s">
        <v>386</v>
      </c>
      <c r="J1090" t="s">
        <v>386</v>
      </c>
      <c r="K1090">
        <v>1000000</v>
      </c>
      <c r="L1090">
        <v>155</v>
      </c>
      <c r="M1090">
        <v>155</v>
      </c>
      <c r="N1090">
        <v>265</v>
      </c>
      <c r="O1090">
        <v>0</v>
      </c>
      <c r="P1090">
        <v>395</v>
      </c>
      <c r="Q1090">
        <v>637</v>
      </c>
      <c r="R1090">
        <v>697</v>
      </c>
      <c r="S1090">
        <v>509</v>
      </c>
      <c r="T1090">
        <v>0</v>
      </c>
      <c r="U1090">
        <v>3749</v>
      </c>
      <c r="V1090">
        <v>27733.366871800001</v>
      </c>
      <c r="AH1090">
        <f t="shared" si="149"/>
        <v>155</v>
      </c>
      <c r="AI1090">
        <f t="shared" si="150"/>
        <v>265</v>
      </c>
      <c r="AJ1090" t="str">
        <f t="shared" si="151"/>
        <v/>
      </c>
      <c r="AK1090">
        <f t="shared" si="152"/>
        <v>395</v>
      </c>
      <c r="AL1090">
        <f t="shared" si="145"/>
        <v>637</v>
      </c>
      <c r="AM1090">
        <f t="shared" si="146"/>
        <v>697</v>
      </c>
      <c r="AN1090">
        <f t="shared" si="147"/>
        <v>509</v>
      </c>
      <c r="AO1090" t="str">
        <f t="shared" si="148"/>
        <v/>
      </c>
    </row>
    <row r="1091" spans="1:41">
      <c r="A1091">
        <f t="shared" si="153"/>
        <v>1087</v>
      </c>
      <c r="B1091" t="s">
        <v>277</v>
      </c>
      <c r="C1091">
        <v>5</v>
      </c>
      <c r="D1091">
        <v>5</v>
      </c>
      <c r="E1091" t="s">
        <v>385</v>
      </c>
      <c r="F1091">
        <v>412</v>
      </c>
      <c r="G1091">
        <v>2</v>
      </c>
      <c r="H1091">
        <v>36</v>
      </c>
      <c r="I1091" t="s">
        <v>386</v>
      </c>
      <c r="J1091" t="s">
        <v>386</v>
      </c>
      <c r="K1091">
        <v>1000000</v>
      </c>
      <c r="L1091">
        <v>175</v>
      </c>
      <c r="M1091">
        <v>175</v>
      </c>
      <c r="N1091">
        <v>293</v>
      </c>
      <c r="O1091">
        <v>0</v>
      </c>
      <c r="P1091">
        <v>481</v>
      </c>
      <c r="Q1091">
        <v>787</v>
      </c>
      <c r="R1091">
        <v>852</v>
      </c>
      <c r="S1091">
        <v>603</v>
      </c>
      <c r="T1091">
        <v>0</v>
      </c>
      <c r="U1091">
        <v>3886</v>
      </c>
      <c r="V1091">
        <v>27972.324652809999</v>
      </c>
      <c r="AH1091">
        <f t="shared" si="149"/>
        <v>175</v>
      </c>
      <c r="AI1091">
        <f t="shared" si="150"/>
        <v>293</v>
      </c>
      <c r="AJ1091" t="str">
        <f t="shared" si="151"/>
        <v/>
      </c>
      <c r="AK1091">
        <f t="shared" si="152"/>
        <v>481</v>
      </c>
      <c r="AL1091">
        <f t="shared" si="145"/>
        <v>787</v>
      </c>
      <c r="AM1091">
        <f t="shared" si="146"/>
        <v>852</v>
      </c>
      <c r="AN1091">
        <f t="shared" si="147"/>
        <v>603</v>
      </c>
      <c r="AO1091" t="str">
        <f t="shared" si="148"/>
        <v/>
      </c>
    </row>
    <row r="1092" spans="1:41">
      <c r="A1092">
        <f t="shared" si="153"/>
        <v>1088</v>
      </c>
      <c r="B1092" t="s">
        <v>277</v>
      </c>
      <c r="C1092">
        <v>5</v>
      </c>
      <c r="D1092">
        <v>5</v>
      </c>
      <c r="E1092" t="s">
        <v>385</v>
      </c>
      <c r="F1092">
        <v>412</v>
      </c>
      <c r="G1092">
        <v>2</v>
      </c>
      <c r="H1092">
        <v>37</v>
      </c>
      <c r="I1092" t="s">
        <v>386</v>
      </c>
      <c r="J1092" t="s">
        <v>386</v>
      </c>
      <c r="K1092">
        <v>1000000</v>
      </c>
      <c r="L1092">
        <v>198</v>
      </c>
      <c r="M1092">
        <v>198</v>
      </c>
      <c r="N1092">
        <v>324</v>
      </c>
      <c r="O1092">
        <v>0</v>
      </c>
      <c r="P1092">
        <v>575</v>
      </c>
      <c r="Q1092">
        <v>917</v>
      </c>
      <c r="R1092">
        <v>952</v>
      </c>
      <c r="S1092">
        <v>642</v>
      </c>
      <c r="T1092">
        <v>0</v>
      </c>
      <c r="U1092">
        <v>4041</v>
      </c>
      <c r="V1092">
        <v>28228.070286440001</v>
      </c>
      <c r="AH1092">
        <f t="shared" si="149"/>
        <v>198</v>
      </c>
      <c r="AI1092">
        <f t="shared" si="150"/>
        <v>324</v>
      </c>
      <c r="AJ1092" t="str">
        <f t="shared" si="151"/>
        <v/>
      </c>
      <c r="AK1092">
        <f t="shared" si="152"/>
        <v>575</v>
      </c>
      <c r="AL1092">
        <f t="shared" si="145"/>
        <v>917</v>
      </c>
      <c r="AM1092">
        <f t="shared" si="146"/>
        <v>952</v>
      </c>
      <c r="AN1092">
        <f t="shared" si="147"/>
        <v>642</v>
      </c>
      <c r="AO1092" t="str">
        <f t="shared" si="148"/>
        <v/>
      </c>
    </row>
    <row r="1093" spans="1:41">
      <c r="A1093">
        <f t="shared" si="153"/>
        <v>1089</v>
      </c>
      <c r="B1093" t="s">
        <v>277</v>
      </c>
      <c r="C1093">
        <v>5</v>
      </c>
      <c r="D1093">
        <v>5</v>
      </c>
      <c r="E1093" t="s">
        <v>385</v>
      </c>
      <c r="F1093">
        <v>412</v>
      </c>
      <c r="G1093">
        <v>2</v>
      </c>
      <c r="H1093">
        <v>38</v>
      </c>
      <c r="I1093" t="s">
        <v>386</v>
      </c>
      <c r="J1093" t="s">
        <v>386</v>
      </c>
      <c r="K1093">
        <v>1000000</v>
      </c>
      <c r="L1093">
        <v>223</v>
      </c>
      <c r="M1093">
        <v>223</v>
      </c>
      <c r="N1093">
        <v>357</v>
      </c>
      <c r="O1093">
        <v>0</v>
      </c>
      <c r="P1093">
        <v>623</v>
      </c>
      <c r="Q1093">
        <v>948</v>
      </c>
      <c r="R1093">
        <v>935</v>
      </c>
      <c r="S1093">
        <v>598</v>
      </c>
      <c r="T1093">
        <v>0</v>
      </c>
      <c r="U1093">
        <v>4204</v>
      </c>
      <c r="V1093">
        <v>28499.53747227</v>
      </c>
      <c r="AH1093">
        <f t="shared" si="149"/>
        <v>223</v>
      </c>
      <c r="AI1093">
        <f t="shared" si="150"/>
        <v>357</v>
      </c>
      <c r="AJ1093" t="str">
        <f t="shared" si="151"/>
        <v/>
      </c>
      <c r="AK1093">
        <f t="shared" si="152"/>
        <v>623</v>
      </c>
      <c r="AL1093">
        <f t="shared" ref="AL1093:AL1156" si="154">IF(Q1093=AC1093, "", Q1093-AC1093)</f>
        <v>948</v>
      </c>
      <c r="AM1093">
        <f t="shared" ref="AM1093:AM1156" si="155">IF(R1093=AD1093, "", R1093-AD1093)</f>
        <v>935</v>
      </c>
      <c r="AN1093">
        <f t="shared" ref="AN1093:AN1156" si="156">IF(S1093=AE1093, "", S1093-AE1093)</f>
        <v>598</v>
      </c>
      <c r="AO1093" t="str">
        <f t="shared" ref="AO1093:AO1156" si="157">IF(T1093=AF1093, "", T1093-AF1093)</f>
        <v/>
      </c>
    </row>
    <row r="1094" spans="1:41">
      <c r="A1094">
        <f t="shared" si="153"/>
        <v>1090</v>
      </c>
      <c r="B1094" t="s">
        <v>277</v>
      </c>
      <c r="C1094">
        <v>5</v>
      </c>
      <c r="D1094">
        <v>5</v>
      </c>
      <c r="E1094" t="s">
        <v>385</v>
      </c>
      <c r="F1094">
        <v>412</v>
      </c>
      <c r="G1094">
        <v>2</v>
      </c>
      <c r="H1094">
        <v>39</v>
      </c>
      <c r="I1094" t="s">
        <v>386</v>
      </c>
      <c r="J1094" t="s">
        <v>386</v>
      </c>
      <c r="K1094">
        <v>1000000</v>
      </c>
      <c r="L1094">
        <v>246</v>
      </c>
      <c r="M1094">
        <v>246</v>
      </c>
      <c r="N1094">
        <v>389</v>
      </c>
      <c r="O1094">
        <v>0</v>
      </c>
      <c r="P1094">
        <v>593</v>
      </c>
      <c r="Q1094">
        <v>856</v>
      </c>
      <c r="R1094">
        <v>804</v>
      </c>
      <c r="S1094">
        <v>497</v>
      </c>
      <c r="T1094">
        <v>0</v>
      </c>
      <c r="U1094">
        <v>4361</v>
      </c>
      <c r="V1094">
        <v>28786.22954955</v>
      </c>
      <c r="AH1094">
        <f t="shared" ref="AH1094:AH1157" si="158">IF(L1094=Y1094, "",L1094-Y1094)</f>
        <v>246</v>
      </c>
      <c r="AI1094">
        <f t="shared" ref="AI1094:AI1157" si="159">IF(N1094=Z1094, "", N1094-Z1094)</f>
        <v>389</v>
      </c>
      <c r="AJ1094" t="str">
        <f t="shared" ref="AJ1094:AJ1157" si="160">IF(O1094=AA1094, "", O1094-AA1094)</f>
        <v/>
      </c>
      <c r="AK1094">
        <f t="shared" ref="AK1094:AK1157" si="161">IF(P1094=AB1094, "", P1094-AB1094)</f>
        <v>593</v>
      </c>
      <c r="AL1094">
        <f t="shared" si="154"/>
        <v>856</v>
      </c>
      <c r="AM1094">
        <f t="shared" si="155"/>
        <v>804</v>
      </c>
      <c r="AN1094">
        <f t="shared" si="156"/>
        <v>497</v>
      </c>
      <c r="AO1094" t="str">
        <f t="shared" si="157"/>
        <v/>
      </c>
    </row>
    <row r="1095" spans="1:41">
      <c r="A1095">
        <f t="shared" ref="A1095:A1158" si="162">A1094+1</f>
        <v>1091</v>
      </c>
      <c r="B1095" t="s">
        <v>277</v>
      </c>
      <c r="C1095">
        <v>5</v>
      </c>
      <c r="D1095">
        <v>5</v>
      </c>
      <c r="E1095" t="s">
        <v>385</v>
      </c>
      <c r="F1095">
        <v>412</v>
      </c>
      <c r="G1095">
        <v>2</v>
      </c>
      <c r="H1095">
        <v>40</v>
      </c>
      <c r="I1095" t="s">
        <v>386</v>
      </c>
      <c r="J1095" t="s">
        <v>386</v>
      </c>
      <c r="K1095">
        <v>1000000</v>
      </c>
      <c r="L1095">
        <v>267</v>
      </c>
      <c r="M1095">
        <v>267</v>
      </c>
      <c r="N1095">
        <v>416</v>
      </c>
      <c r="O1095">
        <v>0</v>
      </c>
      <c r="P1095">
        <v>498</v>
      </c>
      <c r="Q1095">
        <v>687</v>
      </c>
      <c r="R1095">
        <v>629</v>
      </c>
      <c r="S1095">
        <v>388</v>
      </c>
      <c r="T1095">
        <v>0</v>
      </c>
      <c r="U1095">
        <v>4499</v>
      </c>
      <c r="V1095">
        <v>29088.478090469998</v>
      </c>
      <c r="AH1095">
        <f t="shared" si="158"/>
        <v>267</v>
      </c>
      <c r="AI1095">
        <f t="shared" si="159"/>
        <v>416</v>
      </c>
      <c r="AJ1095" t="str">
        <f t="shared" si="160"/>
        <v/>
      </c>
      <c r="AK1095">
        <f t="shared" si="161"/>
        <v>498</v>
      </c>
      <c r="AL1095">
        <f t="shared" si="154"/>
        <v>687</v>
      </c>
      <c r="AM1095">
        <f t="shared" si="155"/>
        <v>629</v>
      </c>
      <c r="AN1095">
        <f t="shared" si="156"/>
        <v>388</v>
      </c>
      <c r="AO1095" t="str">
        <f t="shared" si="157"/>
        <v/>
      </c>
    </row>
    <row r="1096" spans="1:41">
      <c r="A1096">
        <f t="shared" si="162"/>
        <v>1092</v>
      </c>
      <c r="B1096" t="s">
        <v>277</v>
      </c>
      <c r="C1096">
        <v>5</v>
      </c>
      <c r="D1096">
        <v>5</v>
      </c>
      <c r="E1096" t="s">
        <v>385</v>
      </c>
      <c r="F1096">
        <v>412</v>
      </c>
      <c r="G1096">
        <v>2</v>
      </c>
      <c r="H1096">
        <v>41</v>
      </c>
      <c r="I1096" t="s">
        <v>386</v>
      </c>
      <c r="J1096" t="s">
        <v>386</v>
      </c>
      <c r="K1096">
        <v>1000000</v>
      </c>
      <c r="L1096">
        <v>284</v>
      </c>
      <c r="M1096">
        <v>284</v>
      </c>
      <c r="N1096">
        <v>439</v>
      </c>
      <c r="O1096">
        <v>0</v>
      </c>
      <c r="P1096">
        <v>383</v>
      </c>
      <c r="Q1096">
        <v>523</v>
      </c>
      <c r="R1096">
        <v>486</v>
      </c>
      <c r="S1096">
        <v>309</v>
      </c>
      <c r="T1096">
        <v>0</v>
      </c>
      <c r="U1096">
        <v>4613</v>
      </c>
      <c r="V1096">
        <v>29406.25931582</v>
      </c>
      <c r="AH1096">
        <f t="shared" si="158"/>
        <v>284</v>
      </c>
      <c r="AI1096">
        <f t="shared" si="159"/>
        <v>439</v>
      </c>
      <c r="AJ1096" t="str">
        <f t="shared" si="160"/>
        <v/>
      </c>
      <c r="AK1096">
        <f t="shared" si="161"/>
        <v>383</v>
      </c>
      <c r="AL1096">
        <f t="shared" si="154"/>
        <v>523</v>
      </c>
      <c r="AM1096">
        <f t="shared" si="155"/>
        <v>486</v>
      </c>
      <c r="AN1096">
        <f t="shared" si="156"/>
        <v>309</v>
      </c>
      <c r="AO1096" t="str">
        <f t="shared" si="157"/>
        <v/>
      </c>
    </row>
    <row r="1097" spans="1:41">
      <c r="A1097">
        <f t="shared" si="162"/>
        <v>1093</v>
      </c>
      <c r="B1097" t="s">
        <v>277</v>
      </c>
      <c r="C1097">
        <v>5</v>
      </c>
      <c r="D1097">
        <v>5</v>
      </c>
      <c r="E1097" t="s">
        <v>385</v>
      </c>
      <c r="F1097">
        <v>412</v>
      </c>
      <c r="G1097">
        <v>2</v>
      </c>
      <c r="H1097">
        <v>42</v>
      </c>
      <c r="I1097" t="s">
        <v>386</v>
      </c>
      <c r="J1097" t="s">
        <v>386</v>
      </c>
      <c r="K1097">
        <v>1000000</v>
      </c>
      <c r="L1097">
        <v>297</v>
      </c>
      <c r="M1097">
        <v>297</v>
      </c>
      <c r="N1097">
        <v>457</v>
      </c>
      <c r="O1097">
        <v>0</v>
      </c>
      <c r="P1097">
        <v>290</v>
      </c>
      <c r="Q1097">
        <v>407</v>
      </c>
      <c r="R1097">
        <v>388</v>
      </c>
      <c r="S1097">
        <v>242</v>
      </c>
      <c r="T1097">
        <v>0</v>
      </c>
      <c r="U1097">
        <v>4701</v>
      </c>
      <c r="V1097">
        <v>29738.929688510001</v>
      </c>
      <c r="AH1097">
        <f t="shared" si="158"/>
        <v>297</v>
      </c>
      <c r="AI1097">
        <f t="shared" si="159"/>
        <v>457</v>
      </c>
      <c r="AJ1097" t="str">
        <f t="shared" si="160"/>
        <v/>
      </c>
      <c r="AK1097">
        <f t="shared" si="161"/>
        <v>290</v>
      </c>
      <c r="AL1097">
        <f t="shared" si="154"/>
        <v>407</v>
      </c>
      <c r="AM1097">
        <f t="shared" si="155"/>
        <v>388</v>
      </c>
      <c r="AN1097">
        <f t="shared" si="156"/>
        <v>242</v>
      </c>
      <c r="AO1097" t="str">
        <f t="shared" si="157"/>
        <v/>
      </c>
    </row>
    <row r="1098" spans="1:41">
      <c r="A1098">
        <f t="shared" si="162"/>
        <v>1094</v>
      </c>
      <c r="B1098" t="s">
        <v>277</v>
      </c>
      <c r="C1098">
        <v>5</v>
      </c>
      <c r="D1098">
        <v>5</v>
      </c>
      <c r="E1098" t="s">
        <v>385</v>
      </c>
      <c r="F1098">
        <v>412</v>
      </c>
      <c r="G1098">
        <v>2</v>
      </c>
      <c r="H1098">
        <v>43</v>
      </c>
      <c r="I1098" t="s">
        <v>386</v>
      </c>
      <c r="J1098" t="s">
        <v>386</v>
      </c>
      <c r="K1098">
        <v>1000000</v>
      </c>
      <c r="L1098">
        <v>308</v>
      </c>
      <c r="M1098">
        <v>308</v>
      </c>
      <c r="N1098">
        <v>471</v>
      </c>
      <c r="O1098">
        <v>0</v>
      </c>
      <c r="P1098">
        <v>234</v>
      </c>
      <c r="Q1098">
        <v>335</v>
      </c>
      <c r="R1098">
        <v>312</v>
      </c>
      <c r="S1098">
        <v>197</v>
      </c>
      <c r="T1098">
        <v>0</v>
      </c>
      <c r="U1098">
        <v>4770</v>
      </c>
      <c r="V1098">
        <v>30085.426885379999</v>
      </c>
      <c r="AH1098">
        <f t="shared" si="158"/>
        <v>308</v>
      </c>
      <c r="AI1098">
        <f t="shared" si="159"/>
        <v>471</v>
      </c>
      <c r="AJ1098" t="str">
        <f t="shared" si="160"/>
        <v/>
      </c>
      <c r="AK1098">
        <f t="shared" si="161"/>
        <v>234</v>
      </c>
      <c r="AL1098">
        <f t="shared" si="154"/>
        <v>335</v>
      </c>
      <c r="AM1098">
        <f t="shared" si="155"/>
        <v>312</v>
      </c>
      <c r="AN1098">
        <f t="shared" si="156"/>
        <v>197</v>
      </c>
      <c r="AO1098" t="str">
        <f t="shared" si="157"/>
        <v/>
      </c>
    </row>
    <row r="1099" spans="1:41">
      <c r="A1099">
        <f t="shared" si="162"/>
        <v>1095</v>
      </c>
      <c r="B1099" t="s">
        <v>277</v>
      </c>
      <c r="C1099">
        <v>5</v>
      </c>
      <c r="D1099">
        <v>5</v>
      </c>
      <c r="E1099" t="s">
        <v>385</v>
      </c>
      <c r="F1099">
        <v>412</v>
      </c>
      <c r="G1099">
        <v>2</v>
      </c>
      <c r="H1099">
        <v>44</v>
      </c>
      <c r="I1099" t="s">
        <v>386</v>
      </c>
      <c r="J1099" t="s">
        <v>386</v>
      </c>
      <c r="K1099">
        <v>1000000</v>
      </c>
      <c r="L1099">
        <v>316</v>
      </c>
      <c r="M1099">
        <v>316</v>
      </c>
      <c r="N1099">
        <v>483</v>
      </c>
      <c r="O1099">
        <v>0</v>
      </c>
      <c r="P1099">
        <v>203</v>
      </c>
      <c r="Q1099">
        <v>284</v>
      </c>
      <c r="R1099">
        <v>276</v>
      </c>
      <c r="S1099">
        <v>189</v>
      </c>
      <c r="T1099">
        <v>0</v>
      </c>
      <c r="U1099">
        <v>4829</v>
      </c>
      <c r="V1099">
        <v>30444.527573290001</v>
      </c>
      <c r="AH1099">
        <f t="shared" si="158"/>
        <v>316</v>
      </c>
      <c r="AI1099">
        <f t="shared" si="159"/>
        <v>483</v>
      </c>
      <c r="AJ1099" t="str">
        <f t="shared" si="160"/>
        <v/>
      </c>
      <c r="AK1099">
        <f t="shared" si="161"/>
        <v>203</v>
      </c>
      <c r="AL1099">
        <f t="shared" si="154"/>
        <v>284</v>
      </c>
      <c r="AM1099">
        <f t="shared" si="155"/>
        <v>276</v>
      </c>
      <c r="AN1099">
        <f t="shared" si="156"/>
        <v>189</v>
      </c>
      <c r="AO1099" t="str">
        <f t="shared" si="157"/>
        <v/>
      </c>
    </row>
    <row r="1100" spans="1:41">
      <c r="A1100">
        <f t="shared" si="162"/>
        <v>1096</v>
      </c>
      <c r="B1100" t="s">
        <v>277</v>
      </c>
      <c r="C1100">
        <v>5</v>
      </c>
      <c r="D1100">
        <v>5</v>
      </c>
      <c r="E1100" t="s">
        <v>385</v>
      </c>
      <c r="F1100">
        <v>412</v>
      </c>
      <c r="G1100">
        <v>2</v>
      </c>
      <c r="H1100">
        <v>45</v>
      </c>
      <c r="I1100" t="s">
        <v>386</v>
      </c>
      <c r="J1100" t="s">
        <v>386</v>
      </c>
      <c r="K1100">
        <v>1000000</v>
      </c>
      <c r="L1100">
        <v>325</v>
      </c>
      <c r="M1100">
        <v>325</v>
      </c>
      <c r="N1100">
        <v>495</v>
      </c>
      <c r="O1100">
        <v>0</v>
      </c>
      <c r="P1100">
        <v>182</v>
      </c>
      <c r="Q1100">
        <v>277</v>
      </c>
      <c r="R1100">
        <v>296</v>
      </c>
      <c r="S1100">
        <v>216</v>
      </c>
      <c r="T1100">
        <v>0</v>
      </c>
      <c r="U1100">
        <v>4887</v>
      </c>
      <c r="V1100">
        <v>30814.85121922</v>
      </c>
      <c r="AH1100">
        <f t="shared" si="158"/>
        <v>325</v>
      </c>
      <c r="AI1100">
        <f t="shared" si="159"/>
        <v>495</v>
      </c>
      <c r="AJ1100" t="str">
        <f t="shared" si="160"/>
        <v/>
      </c>
      <c r="AK1100">
        <f t="shared" si="161"/>
        <v>182</v>
      </c>
      <c r="AL1100">
        <f t="shared" si="154"/>
        <v>277</v>
      </c>
      <c r="AM1100">
        <f t="shared" si="155"/>
        <v>296</v>
      </c>
      <c r="AN1100">
        <f t="shared" si="156"/>
        <v>216</v>
      </c>
      <c r="AO1100" t="str">
        <f t="shared" si="157"/>
        <v/>
      </c>
    </row>
    <row r="1101" spans="1:41">
      <c r="A1101">
        <f t="shared" si="162"/>
        <v>1097</v>
      </c>
      <c r="B1101" t="s">
        <v>277</v>
      </c>
      <c r="C1101">
        <v>5</v>
      </c>
      <c r="D1101">
        <v>5</v>
      </c>
      <c r="E1101" t="s">
        <v>385</v>
      </c>
      <c r="F1101">
        <v>412</v>
      </c>
      <c r="G1101">
        <v>2</v>
      </c>
      <c r="H1101">
        <v>46</v>
      </c>
      <c r="I1101" t="s">
        <v>386</v>
      </c>
      <c r="J1101" t="s">
        <v>386</v>
      </c>
      <c r="K1101">
        <v>1000000</v>
      </c>
      <c r="L1101">
        <v>334</v>
      </c>
      <c r="M1101">
        <v>334</v>
      </c>
      <c r="N1101">
        <v>507</v>
      </c>
      <c r="O1101">
        <v>0</v>
      </c>
      <c r="P1101">
        <v>200</v>
      </c>
      <c r="Q1101">
        <v>326</v>
      </c>
      <c r="R1101">
        <v>357</v>
      </c>
      <c r="S1101">
        <v>255</v>
      </c>
      <c r="T1101">
        <v>0</v>
      </c>
      <c r="U1101">
        <v>4947</v>
      </c>
      <c r="V1101">
        <v>31194.941593830001</v>
      </c>
      <c r="AH1101">
        <f t="shared" si="158"/>
        <v>334</v>
      </c>
      <c r="AI1101">
        <f t="shared" si="159"/>
        <v>507</v>
      </c>
      <c r="AJ1101" t="str">
        <f t="shared" si="160"/>
        <v/>
      </c>
      <c r="AK1101">
        <f t="shared" si="161"/>
        <v>200</v>
      </c>
      <c r="AL1101">
        <f t="shared" si="154"/>
        <v>326</v>
      </c>
      <c r="AM1101">
        <f t="shared" si="155"/>
        <v>357</v>
      </c>
      <c r="AN1101">
        <f t="shared" si="156"/>
        <v>255</v>
      </c>
      <c r="AO1101" t="str">
        <f t="shared" si="157"/>
        <v/>
      </c>
    </row>
    <row r="1102" spans="1:41">
      <c r="A1102">
        <f t="shared" si="162"/>
        <v>1098</v>
      </c>
      <c r="B1102" t="s">
        <v>277</v>
      </c>
      <c r="C1102">
        <v>5</v>
      </c>
      <c r="D1102">
        <v>5</v>
      </c>
      <c r="E1102" t="s">
        <v>385</v>
      </c>
      <c r="F1102">
        <v>412</v>
      </c>
      <c r="G1102">
        <v>2</v>
      </c>
      <c r="H1102">
        <v>47</v>
      </c>
      <c r="I1102" t="s">
        <v>386</v>
      </c>
      <c r="J1102" t="s">
        <v>386</v>
      </c>
      <c r="K1102">
        <v>1000000</v>
      </c>
      <c r="L1102">
        <v>344</v>
      </c>
      <c r="M1102">
        <v>344</v>
      </c>
      <c r="N1102">
        <v>520</v>
      </c>
      <c r="O1102">
        <v>0</v>
      </c>
      <c r="P1102">
        <v>240</v>
      </c>
      <c r="Q1102">
        <v>387</v>
      </c>
      <c r="R1102">
        <v>405</v>
      </c>
      <c r="S1102">
        <v>273</v>
      </c>
      <c r="T1102">
        <v>0</v>
      </c>
      <c r="U1102">
        <v>5012</v>
      </c>
      <c r="V1102">
        <v>31582.75830831</v>
      </c>
      <c r="AH1102">
        <f t="shared" si="158"/>
        <v>344</v>
      </c>
      <c r="AI1102">
        <f t="shared" si="159"/>
        <v>520</v>
      </c>
      <c r="AJ1102" t="str">
        <f t="shared" si="160"/>
        <v/>
      </c>
      <c r="AK1102">
        <f t="shared" si="161"/>
        <v>240</v>
      </c>
      <c r="AL1102">
        <f t="shared" si="154"/>
        <v>387</v>
      </c>
      <c r="AM1102">
        <f t="shared" si="155"/>
        <v>405</v>
      </c>
      <c r="AN1102">
        <f t="shared" si="156"/>
        <v>273</v>
      </c>
      <c r="AO1102" t="str">
        <f t="shared" si="157"/>
        <v/>
      </c>
    </row>
    <row r="1103" spans="1:41">
      <c r="A1103">
        <f t="shared" si="162"/>
        <v>1099</v>
      </c>
      <c r="B1103" t="s">
        <v>277</v>
      </c>
      <c r="C1103">
        <v>5</v>
      </c>
      <c r="D1103">
        <v>5</v>
      </c>
      <c r="E1103" t="s">
        <v>385</v>
      </c>
      <c r="F1103">
        <v>412</v>
      </c>
      <c r="G1103">
        <v>2</v>
      </c>
      <c r="H1103">
        <v>48</v>
      </c>
      <c r="I1103" t="s">
        <v>386</v>
      </c>
      <c r="J1103" t="s">
        <v>386</v>
      </c>
      <c r="K1103">
        <v>1000000</v>
      </c>
      <c r="L1103">
        <v>354</v>
      </c>
      <c r="M1103">
        <v>354</v>
      </c>
      <c r="N1103">
        <v>534</v>
      </c>
      <c r="O1103">
        <v>0</v>
      </c>
      <c r="P1103">
        <v>266</v>
      </c>
      <c r="Q1103">
        <v>406</v>
      </c>
      <c r="R1103">
        <v>400</v>
      </c>
      <c r="S1103">
        <v>257</v>
      </c>
      <c r="T1103">
        <v>0</v>
      </c>
      <c r="U1103">
        <v>5081</v>
      </c>
      <c r="V1103">
        <v>31975.431172119999</v>
      </c>
      <c r="AH1103">
        <f t="shared" si="158"/>
        <v>354</v>
      </c>
      <c r="AI1103">
        <f t="shared" si="159"/>
        <v>534</v>
      </c>
      <c r="AJ1103" t="str">
        <f t="shared" si="160"/>
        <v/>
      </c>
      <c r="AK1103">
        <f t="shared" si="161"/>
        <v>266</v>
      </c>
      <c r="AL1103">
        <f t="shared" si="154"/>
        <v>406</v>
      </c>
      <c r="AM1103">
        <f t="shared" si="155"/>
        <v>400</v>
      </c>
      <c r="AN1103">
        <f t="shared" si="156"/>
        <v>257</v>
      </c>
      <c r="AO1103" t="str">
        <f t="shared" si="157"/>
        <v/>
      </c>
    </row>
    <row r="1104" spans="1:41">
      <c r="A1104">
        <f t="shared" si="162"/>
        <v>1100</v>
      </c>
      <c r="B1104" t="s">
        <v>277</v>
      </c>
      <c r="C1104">
        <v>5</v>
      </c>
      <c r="D1104">
        <v>5</v>
      </c>
      <c r="E1104" t="s">
        <v>385</v>
      </c>
      <c r="F1104">
        <v>412</v>
      </c>
      <c r="G1104">
        <v>2</v>
      </c>
      <c r="H1104">
        <v>49</v>
      </c>
      <c r="I1104" t="s">
        <v>386</v>
      </c>
      <c r="J1104" t="s">
        <v>386</v>
      </c>
      <c r="K1104">
        <v>1000000</v>
      </c>
      <c r="L1104">
        <v>365</v>
      </c>
      <c r="M1104">
        <v>365</v>
      </c>
      <c r="N1104">
        <v>548</v>
      </c>
      <c r="O1104">
        <v>0</v>
      </c>
      <c r="P1104">
        <v>258</v>
      </c>
      <c r="Q1104">
        <v>372</v>
      </c>
      <c r="R1104">
        <v>353</v>
      </c>
      <c r="S1104">
        <v>224</v>
      </c>
      <c r="T1104">
        <v>0</v>
      </c>
      <c r="U1104">
        <v>5150</v>
      </c>
      <c r="V1104">
        <v>32369.799773710001</v>
      </c>
      <c r="AH1104">
        <f t="shared" si="158"/>
        <v>365</v>
      </c>
      <c r="AI1104">
        <f t="shared" si="159"/>
        <v>548</v>
      </c>
      <c r="AJ1104" t="str">
        <f t="shared" si="160"/>
        <v/>
      </c>
      <c r="AK1104">
        <f t="shared" si="161"/>
        <v>258</v>
      </c>
      <c r="AL1104">
        <f t="shared" si="154"/>
        <v>372</v>
      </c>
      <c r="AM1104">
        <f t="shared" si="155"/>
        <v>353</v>
      </c>
      <c r="AN1104">
        <f t="shared" si="156"/>
        <v>224</v>
      </c>
      <c r="AO1104" t="str">
        <f t="shared" si="157"/>
        <v/>
      </c>
    </row>
    <row r="1105" spans="1:41">
      <c r="A1105">
        <f t="shared" si="162"/>
        <v>1101</v>
      </c>
      <c r="B1105" t="s">
        <v>277</v>
      </c>
      <c r="C1105">
        <v>5</v>
      </c>
      <c r="D1105">
        <v>5</v>
      </c>
      <c r="E1105" t="s">
        <v>385</v>
      </c>
      <c r="F1105">
        <v>412</v>
      </c>
      <c r="G1105">
        <v>2</v>
      </c>
      <c r="H1105">
        <v>50</v>
      </c>
      <c r="I1105" t="s">
        <v>386</v>
      </c>
      <c r="J1105" t="s">
        <v>386</v>
      </c>
      <c r="K1105">
        <v>1000000</v>
      </c>
      <c r="L1105">
        <v>374</v>
      </c>
      <c r="M1105">
        <v>374</v>
      </c>
      <c r="N1105">
        <v>561</v>
      </c>
      <c r="O1105">
        <v>0</v>
      </c>
      <c r="P1105">
        <v>226</v>
      </c>
      <c r="Q1105">
        <v>321</v>
      </c>
      <c r="R1105">
        <v>310</v>
      </c>
      <c r="S1105">
        <v>207</v>
      </c>
      <c r="T1105">
        <v>0</v>
      </c>
      <c r="U1105">
        <v>5215</v>
      </c>
      <c r="V1105">
        <v>32762.650041510002</v>
      </c>
      <c r="AH1105">
        <f t="shared" si="158"/>
        <v>374</v>
      </c>
      <c r="AI1105">
        <f t="shared" si="159"/>
        <v>561</v>
      </c>
      <c r="AJ1105" t="str">
        <f t="shared" si="160"/>
        <v/>
      </c>
      <c r="AK1105">
        <f t="shared" si="161"/>
        <v>226</v>
      </c>
      <c r="AL1105">
        <f t="shared" si="154"/>
        <v>321</v>
      </c>
      <c r="AM1105">
        <f t="shared" si="155"/>
        <v>310</v>
      </c>
      <c r="AN1105">
        <f t="shared" si="156"/>
        <v>207</v>
      </c>
      <c r="AO1105" t="str">
        <f t="shared" si="157"/>
        <v/>
      </c>
    </row>
    <row r="1106" spans="1:41">
      <c r="A1106">
        <f t="shared" si="162"/>
        <v>1102</v>
      </c>
      <c r="B1106" t="s">
        <v>277</v>
      </c>
      <c r="C1106">
        <v>5</v>
      </c>
      <c r="D1106">
        <v>5</v>
      </c>
      <c r="E1106" t="s">
        <v>385</v>
      </c>
      <c r="F1106">
        <v>412</v>
      </c>
      <c r="G1106">
        <v>2</v>
      </c>
      <c r="H1106">
        <v>51</v>
      </c>
      <c r="I1106" t="s">
        <v>386</v>
      </c>
      <c r="J1106" t="s">
        <v>386</v>
      </c>
      <c r="K1106">
        <v>1000000</v>
      </c>
      <c r="L1106">
        <v>384</v>
      </c>
      <c r="M1106">
        <v>384</v>
      </c>
      <c r="N1106">
        <v>573</v>
      </c>
      <c r="O1106">
        <v>0</v>
      </c>
      <c r="P1106">
        <v>203</v>
      </c>
      <c r="Q1106">
        <v>301</v>
      </c>
      <c r="R1106">
        <v>312</v>
      </c>
      <c r="S1106">
        <v>222</v>
      </c>
      <c r="T1106">
        <v>0</v>
      </c>
      <c r="U1106">
        <v>5277</v>
      </c>
      <c r="V1106">
        <v>33149.782774560001</v>
      </c>
      <c r="AH1106">
        <f t="shared" si="158"/>
        <v>384</v>
      </c>
      <c r="AI1106">
        <f t="shared" si="159"/>
        <v>573</v>
      </c>
      <c r="AJ1106" t="str">
        <f t="shared" si="160"/>
        <v/>
      </c>
      <c r="AK1106">
        <f t="shared" si="161"/>
        <v>203</v>
      </c>
      <c r="AL1106">
        <f t="shared" si="154"/>
        <v>301</v>
      </c>
      <c r="AM1106">
        <f t="shared" si="155"/>
        <v>312</v>
      </c>
      <c r="AN1106">
        <f t="shared" si="156"/>
        <v>222</v>
      </c>
      <c r="AO1106" t="str">
        <f t="shared" si="157"/>
        <v/>
      </c>
    </row>
    <row r="1107" spans="1:41">
      <c r="A1107">
        <f t="shared" si="162"/>
        <v>1103</v>
      </c>
      <c r="B1107" t="s">
        <v>277</v>
      </c>
      <c r="C1107">
        <v>5</v>
      </c>
      <c r="D1107">
        <v>5</v>
      </c>
      <c r="E1107" t="s">
        <v>385</v>
      </c>
      <c r="F1107">
        <v>412</v>
      </c>
      <c r="G1107">
        <v>2</v>
      </c>
      <c r="H1107">
        <v>52</v>
      </c>
      <c r="I1107" t="s">
        <v>386</v>
      </c>
      <c r="J1107" t="s">
        <v>386</v>
      </c>
      <c r="K1107">
        <v>1000000</v>
      </c>
      <c r="L1107">
        <v>393</v>
      </c>
      <c r="M1107">
        <v>393</v>
      </c>
      <c r="N1107">
        <v>586</v>
      </c>
      <c r="O1107">
        <v>0</v>
      </c>
      <c r="P1107">
        <v>208</v>
      </c>
      <c r="Q1107">
        <v>332</v>
      </c>
      <c r="R1107">
        <v>357</v>
      </c>
      <c r="S1107">
        <v>254</v>
      </c>
      <c r="T1107">
        <v>0</v>
      </c>
      <c r="U1107">
        <v>5341</v>
      </c>
      <c r="V1107">
        <v>33523.970734249997</v>
      </c>
      <c r="AH1107">
        <f t="shared" si="158"/>
        <v>393</v>
      </c>
      <c r="AI1107">
        <f t="shared" si="159"/>
        <v>586</v>
      </c>
      <c r="AJ1107" t="str">
        <f t="shared" si="160"/>
        <v/>
      </c>
      <c r="AK1107">
        <f t="shared" si="161"/>
        <v>208</v>
      </c>
      <c r="AL1107">
        <f t="shared" si="154"/>
        <v>332</v>
      </c>
      <c r="AM1107">
        <f t="shared" si="155"/>
        <v>357</v>
      </c>
      <c r="AN1107">
        <f t="shared" si="156"/>
        <v>254</v>
      </c>
      <c r="AO1107" t="str">
        <f t="shared" si="157"/>
        <v/>
      </c>
    </row>
    <row r="1108" spans="1:41">
      <c r="A1108">
        <f t="shared" si="162"/>
        <v>1104</v>
      </c>
      <c r="B1108" t="s">
        <v>277</v>
      </c>
      <c r="C1108">
        <v>5</v>
      </c>
      <c r="D1108">
        <v>5</v>
      </c>
      <c r="E1108" t="s">
        <v>385</v>
      </c>
      <c r="F1108">
        <v>412</v>
      </c>
      <c r="G1108">
        <v>2</v>
      </c>
      <c r="H1108">
        <v>53</v>
      </c>
      <c r="I1108" t="s">
        <v>386</v>
      </c>
      <c r="J1108" t="s">
        <v>386</v>
      </c>
      <c r="K1108">
        <v>1000000</v>
      </c>
      <c r="L1108">
        <v>403</v>
      </c>
      <c r="M1108">
        <v>403</v>
      </c>
      <c r="N1108">
        <v>600</v>
      </c>
      <c r="O1108">
        <v>0</v>
      </c>
      <c r="P1108">
        <v>244</v>
      </c>
      <c r="Q1108">
        <v>393</v>
      </c>
      <c r="R1108">
        <v>418</v>
      </c>
      <c r="S1108">
        <v>295</v>
      </c>
      <c r="T1108">
        <v>0</v>
      </c>
      <c r="U1108">
        <v>5409</v>
      </c>
      <c r="V1108">
        <v>33873.92281484</v>
      </c>
      <c r="AH1108">
        <f t="shared" si="158"/>
        <v>403</v>
      </c>
      <c r="AI1108">
        <f t="shared" si="159"/>
        <v>600</v>
      </c>
      <c r="AJ1108" t="str">
        <f t="shared" si="160"/>
        <v/>
      </c>
      <c r="AK1108">
        <f t="shared" si="161"/>
        <v>244</v>
      </c>
      <c r="AL1108">
        <f t="shared" si="154"/>
        <v>393</v>
      </c>
      <c r="AM1108">
        <f t="shared" si="155"/>
        <v>418</v>
      </c>
      <c r="AN1108">
        <f t="shared" si="156"/>
        <v>295</v>
      </c>
      <c r="AO1108" t="str">
        <f t="shared" si="157"/>
        <v/>
      </c>
    </row>
    <row r="1109" spans="1:41">
      <c r="A1109">
        <f t="shared" si="162"/>
        <v>1105</v>
      </c>
      <c r="B1109" t="s">
        <v>277</v>
      </c>
      <c r="C1109">
        <v>5</v>
      </c>
      <c r="D1109">
        <v>5</v>
      </c>
      <c r="E1109" t="s">
        <v>385</v>
      </c>
      <c r="F1109">
        <v>412</v>
      </c>
      <c r="G1109">
        <v>2</v>
      </c>
      <c r="H1109">
        <v>54</v>
      </c>
      <c r="I1109" t="s">
        <v>386</v>
      </c>
      <c r="J1109" t="s">
        <v>386</v>
      </c>
      <c r="K1109">
        <v>1000000</v>
      </c>
      <c r="L1109">
        <v>415</v>
      </c>
      <c r="M1109">
        <v>415</v>
      </c>
      <c r="N1109">
        <v>616</v>
      </c>
      <c r="O1109">
        <v>0</v>
      </c>
      <c r="P1109">
        <v>284</v>
      </c>
      <c r="Q1109">
        <v>448</v>
      </c>
      <c r="R1109">
        <v>468</v>
      </c>
      <c r="S1109">
        <v>321</v>
      </c>
      <c r="T1109">
        <v>0</v>
      </c>
      <c r="U1109">
        <v>5488</v>
      </c>
      <c r="V1109">
        <v>34185.66001575</v>
      </c>
      <c r="AH1109">
        <f t="shared" si="158"/>
        <v>415</v>
      </c>
      <c r="AI1109">
        <f t="shared" si="159"/>
        <v>616</v>
      </c>
      <c r="AJ1109" t="str">
        <f t="shared" si="160"/>
        <v/>
      </c>
      <c r="AK1109">
        <f t="shared" si="161"/>
        <v>284</v>
      </c>
      <c r="AL1109">
        <f t="shared" si="154"/>
        <v>448</v>
      </c>
      <c r="AM1109">
        <f t="shared" si="155"/>
        <v>468</v>
      </c>
      <c r="AN1109">
        <f t="shared" si="156"/>
        <v>321</v>
      </c>
      <c r="AO1109" t="str">
        <f t="shared" si="157"/>
        <v/>
      </c>
    </row>
    <row r="1110" spans="1:41">
      <c r="A1110">
        <f t="shared" si="162"/>
        <v>1106</v>
      </c>
      <c r="B1110" t="s">
        <v>277</v>
      </c>
      <c r="C1110">
        <v>5</v>
      </c>
      <c r="D1110">
        <v>5</v>
      </c>
      <c r="E1110" t="s">
        <v>385</v>
      </c>
      <c r="F1110">
        <v>412</v>
      </c>
      <c r="G1110">
        <v>2</v>
      </c>
      <c r="H1110">
        <v>55</v>
      </c>
      <c r="I1110" t="s">
        <v>386</v>
      </c>
      <c r="J1110" t="s">
        <v>386</v>
      </c>
      <c r="K1110">
        <v>1000000</v>
      </c>
      <c r="L1110">
        <v>428</v>
      </c>
      <c r="M1110">
        <v>428</v>
      </c>
      <c r="N1110">
        <v>633</v>
      </c>
      <c r="O1110">
        <v>0</v>
      </c>
      <c r="P1110">
        <v>310</v>
      </c>
      <c r="Q1110">
        <v>481</v>
      </c>
      <c r="R1110">
        <v>489</v>
      </c>
      <c r="S1110">
        <v>328</v>
      </c>
      <c r="T1110">
        <v>0</v>
      </c>
      <c r="U1110">
        <v>5572</v>
      </c>
      <c r="V1110">
        <v>34446.843450909997</v>
      </c>
      <c r="AH1110">
        <f t="shared" si="158"/>
        <v>428</v>
      </c>
      <c r="AI1110">
        <f t="shared" si="159"/>
        <v>633</v>
      </c>
      <c r="AJ1110" t="str">
        <f t="shared" si="160"/>
        <v/>
      </c>
      <c r="AK1110">
        <f t="shared" si="161"/>
        <v>310</v>
      </c>
      <c r="AL1110">
        <f t="shared" si="154"/>
        <v>481</v>
      </c>
      <c r="AM1110">
        <f t="shared" si="155"/>
        <v>489</v>
      </c>
      <c r="AN1110">
        <f t="shared" si="156"/>
        <v>328</v>
      </c>
      <c r="AO1110" t="str">
        <f t="shared" si="157"/>
        <v/>
      </c>
    </row>
    <row r="1111" spans="1:41">
      <c r="A1111">
        <f t="shared" si="162"/>
        <v>1107</v>
      </c>
      <c r="B1111" t="s">
        <v>277</v>
      </c>
      <c r="C1111">
        <v>5</v>
      </c>
      <c r="D1111">
        <v>5</v>
      </c>
      <c r="E1111" t="s">
        <v>385</v>
      </c>
      <c r="F1111">
        <v>412</v>
      </c>
      <c r="G1111">
        <v>2</v>
      </c>
      <c r="H1111">
        <v>56</v>
      </c>
      <c r="I1111" t="s">
        <v>386</v>
      </c>
      <c r="J1111" t="s">
        <v>386</v>
      </c>
      <c r="K1111">
        <v>1000000</v>
      </c>
      <c r="L1111">
        <v>441</v>
      </c>
      <c r="M1111">
        <v>441</v>
      </c>
      <c r="N1111">
        <v>651</v>
      </c>
      <c r="O1111">
        <v>0</v>
      </c>
      <c r="P1111">
        <v>321</v>
      </c>
      <c r="Q1111">
        <v>483</v>
      </c>
      <c r="R1111">
        <v>481</v>
      </c>
      <c r="S1111">
        <v>317</v>
      </c>
      <c r="T1111">
        <v>0</v>
      </c>
      <c r="U1111">
        <v>5660</v>
      </c>
      <c r="V1111">
        <v>32634.977959849999</v>
      </c>
      <c r="AH1111">
        <f t="shared" si="158"/>
        <v>441</v>
      </c>
      <c r="AI1111">
        <f t="shared" si="159"/>
        <v>651</v>
      </c>
      <c r="AJ1111" t="str">
        <f t="shared" si="160"/>
        <v/>
      </c>
      <c r="AK1111">
        <f t="shared" si="161"/>
        <v>321</v>
      </c>
      <c r="AL1111">
        <f t="shared" si="154"/>
        <v>483</v>
      </c>
      <c r="AM1111">
        <f t="shared" si="155"/>
        <v>481</v>
      </c>
      <c r="AN1111">
        <f t="shared" si="156"/>
        <v>317</v>
      </c>
      <c r="AO1111" t="str">
        <f t="shared" si="157"/>
        <v/>
      </c>
    </row>
    <row r="1112" spans="1:41">
      <c r="A1112">
        <f t="shared" si="162"/>
        <v>1108</v>
      </c>
      <c r="B1112" t="s">
        <v>277</v>
      </c>
      <c r="C1112">
        <v>5</v>
      </c>
      <c r="D1112">
        <v>5</v>
      </c>
      <c r="E1112" t="s">
        <v>385</v>
      </c>
      <c r="F1112">
        <v>412</v>
      </c>
      <c r="G1112">
        <v>2</v>
      </c>
      <c r="H1112">
        <v>57</v>
      </c>
      <c r="I1112" t="s">
        <v>386</v>
      </c>
      <c r="J1112" t="s">
        <v>386</v>
      </c>
      <c r="K1112">
        <v>1000000</v>
      </c>
      <c r="L1112">
        <v>454</v>
      </c>
      <c r="M1112">
        <v>454</v>
      </c>
      <c r="N1112">
        <v>668</v>
      </c>
      <c r="O1112">
        <v>0</v>
      </c>
      <c r="P1112">
        <v>310</v>
      </c>
      <c r="Q1112">
        <v>460</v>
      </c>
      <c r="R1112">
        <v>453</v>
      </c>
      <c r="S1112">
        <v>298</v>
      </c>
      <c r="T1112">
        <v>0</v>
      </c>
      <c r="U1112">
        <v>5746</v>
      </c>
      <c r="V1112">
        <v>30748.136966999999</v>
      </c>
      <c r="AH1112">
        <f t="shared" si="158"/>
        <v>454</v>
      </c>
      <c r="AI1112">
        <f t="shared" si="159"/>
        <v>668</v>
      </c>
      <c r="AJ1112" t="str">
        <f t="shared" si="160"/>
        <v/>
      </c>
      <c r="AK1112">
        <f t="shared" si="161"/>
        <v>310</v>
      </c>
      <c r="AL1112">
        <f t="shared" si="154"/>
        <v>460</v>
      </c>
      <c r="AM1112">
        <f t="shared" si="155"/>
        <v>453</v>
      </c>
      <c r="AN1112">
        <f t="shared" si="156"/>
        <v>298</v>
      </c>
      <c r="AO1112" t="str">
        <f t="shared" si="157"/>
        <v/>
      </c>
    </row>
    <row r="1113" spans="1:41">
      <c r="A1113">
        <f t="shared" si="162"/>
        <v>1109</v>
      </c>
      <c r="B1113" t="s">
        <v>277</v>
      </c>
      <c r="C1113">
        <v>5</v>
      </c>
      <c r="D1113">
        <v>5</v>
      </c>
      <c r="E1113" t="s">
        <v>385</v>
      </c>
      <c r="F1113">
        <v>412</v>
      </c>
      <c r="G1113">
        <v>2</v>
      </c>
      <c r="H1113">
        <v>58</v>
      </c>
      <c r="I1113" t="s">
        <v>386</v>
      </c>
      <c r="J1113" t="s">
        <v>386</v>
      </c>
      <c r="K1113">
        <v>1000000</v>
      </c>
      <c r="L1113">
        <v>466</v>
      </c>
      <c r="M1113">
        <v>466</v>
      </c>
      <c r="N1113">
        <v>685</v>
      </c>
      <c r="O1113">
        <v>0</v>
      </c>
      <c r="P1113">
        <v>293</v>
      </c>
      <c r="Q1113">
        <v>433</v>
      </c>
      <c r="R1113">
        <v>430</v>
      </c>
      <c r="S1113">
        <v>288</v>
      </c>
      <c r="T1113">
        <v>0</v>
      </c>
      <c r="U1113">
        <v>5829</v>
      </c>
      <c r="V1113">
        <v>28802.725270399998</v>
      </c>
      <c r="AH1113">
        <f t="shared" si="158"/>
        <v>466</v>
      </c>
      <c r="AI1113">
        <f t="shared" si="159"/>
        <v>685</v>
      </c>
      <c r="AJ1113" t="str">
        <f t="shared" si="160"/>
        <v/>
      </c>
      <c r="AK1113">
        <f t="shared" si="161"/>
        <v>293</v>
      </c>
      <c r="AL1113">
        <f t="shared" si="154"/>
        <v>433</v>
      </c>
      <c r="AM1113">
        <f t="shared" si="155"/>
        <v>430</v>
      </c>
      <c r="AN1113">
        <f t="shared" si="156"/>
        <v>288</v>
      </c>
      <c r="AO1113" t="str">
        <f t="shared" si="157"/>
        <v/>
      </c>
    </row>
    <row r="1114" spans="1:41">
      <c r="A1114">
        <f t="shared" si="162"/>
        <v>1110</v>
      </c>
      <c r="B1114" t="s">
        <v>277</v>
      </c>
      <c r="C1114">
        <v>5</v>
      </c>
      <c r="D1114">
        <v>5</v>
      </c>
      <c r="E1114" t="s">
        <v>385</v>
      </c>
      <c r="F1114">
        <v>412</v>
      </c>
      <c r="G1114">
        <v>2</v>
      </c>
      <c r="H1114">
        <v>59</v>
      </c>
      <c r="I1114" t="s">
        <v>386</v>
      </c>
      <c r="J1114" t="s">
        <v>386</v>
      </c>
      <c r="K1114">
        <v>1000000</v>
      </c>
      <c r="L1114">
        <v>479</v>
      </c>
      <c r="M1114">
        <v>479</v>
      </c>
      <c r="N1114">
        <v>702</v>
      </c>
      <c r="O1114">
        <v>0</v>
      </c>
      <c r="P1114">
        <v>281</v>
      </c>
      <c r="Q1114">
        <v>423</v>
      </c>
      <c r="R1114">
        <v>431</v>
      </c>
      <c r="S1114">
        <v>298</v>
      </c>
      <c r="T1114">
        <v>0</v>
      </c>
      <c r="U1114">
        <v>5912</v>
      </c>
      <c r="V1114">
        <v>26815.940032679999</v>
      </c>
      <c r="AH1114">
        <f t="shared" si="158"/>
        <v>479</v>
      </c>
      <c r="AI1114">
        <f t="shared" si="159"/>
        <v>702</v>
      </c>
      <c r="AJ1114" t="str">
        <f t="shared" si="160"/>
        <v/>
      </c>
      <c r="AK1114">
        <f t="shared" si="161"/>
        <v>281</v>
      </c>
      <c r="AL1114">
        <f t="shared" si="154"/>
        <v>423</v>
      </c>
      <c r="AM1114">
        <f t="shared" si="155"/>
        <v>431</v>
      </c>
      <c r="AN1114">
        <f t="shared" si="156"/>
        <v>298</v>
      </c>
      <c r="AO1114" t="str">
        <f t="shared" si="157"/>
        <v/>
      </c>
    </row>
    <row r="1115" spans="1:41">
      <c r="A1115">
        <f t="shared" si="162"/>
        <v>1111</v>
      </c>
      <c r="B1115" t="s">
        <v>277</v>
      </c>
      <c r="C1115">
        <v>5</v>
      </c>
      <c r="D1115">
        <v>5</v>
      </c>
      <c r="E1115" t="s">
        <v>385</v>
      </c>
      <c r="F1115">
        <v>412</v>
      </c>
      <c r="G1115">
        <v>2</v>
      </c>
      <c r="H1115">
        <v>60</v>
      </c>
      <c r="I1115" t="s">
        <v>386</v>
      </c>
      <c r="J1115" t="s">
        <v>386</v>
      </c>
      <c r="K1115">
        <v>1000000</v>
      </c>
      <c r="L1115">
        <v>491</v>
      </c>
      <c r="M1115">
        <v>491</v>
      </c>
      <c r="N1115">
        <v>719</v>
      </c>
      <c r="O1115">
        <v>0</v>
      </c>
      <c r="P1115">
        <v>287</v>
      </c>
      <c r="Q1115">
        <v>444</v>
      </c>
      <c r="R1115">
        <v>464</v>
      </c>
      <c r="S1115">
        <v>324</v>
      </c>
      <c r="T1115">
        <v>0</v>
      </c>
      <c r="U1115">
        <v>5995</v>
      </c>
      <c r="V1115">
        <v>25286.85573752</v>
      </c>
      <c r="AH1115">
        <f t="shared" si="158"/>
        <v>491</v>
      </c>
      <c r="AI1115">
        <f t="shared" si="159"/>
        <v>719</v>
      </c>
      <c r="AJ1115" t="str">
        <f t="shared" si="160"/>
        <v/>
      </c>
      <c r="AK1115">
        <f t="shared" si="161"/>
        <v>287</v>
      </c>
      <c r="AL1115">
        <f t="shared" si="154"/>
        <v>444</v>
      </c>
      <c r="AM1115">
        <f t="shared" si="155"/>
        <v>464</v>
      </c>
      <c r="AN1115">
        <f t="shared" si="156"/>
        <v>324</v>
      </c>
      <c r="AO1115" t="str">
        <f t="shared" si="157"/>
        <v/>
      </c>
    </row>
    <row r="1116" spans="1:41">
      <c r="A1116">
        <f t="shared" si="162"/>
        <v>1112</v>
      </c>
      <c r="B1116" t="s">
        <v>277</v>
      </c>
      <c r="C1116">
        <v>5</v>
      </c>
      <c r="D1116">
        <v>5</v>
      </c>
      <c r="E1116" t="s">
        <v>385</v>
      </c>
      <c r="F1116">
        <v>412</v>
      </c>
      <c r="G1116">
        <v>2</v>
      </c>
      <c r="H1116">
        <v>61</v>
      </c>
      <c r="I1116" t="s">
        <v>386</v>
      </c>
      <c r="J1116" t="s">
        <v>386</v>
      </c>
      <c r="K1116">
        <v>1000000</v>
      </c>
      <c r="L1116">
        <v>505</v>
      </c>
      <c r="M1116">
        <v>505</v>
      </c>
      <c r="N1116">
        <v>736</v>
      </c>
      <c r="O1116">
        <v>0</v>
      </c>
      <c r="P1116">
        <v>310</v>
      </c>
      <c r="Q1116">
        <v>488</v>
      </c>
      <c r="R1116">
        <v>511</v>
      </c>
      <c r="S1116">
        <v>355</v>
      </c>
      <c r="T1116">
        <v>0</v>
      </c>
      <c r="U1116">
        <v>6084</v>
      </c>
      <c r="V1116">
        <v>25309.933886949999</v>
      </c>
      <c r="AH1116">
        <f t="shared" si="158"/>
        <v>505</v>
      </c>
      <c r="AI1116">
        <f t="shared" si="159"/>
        <v>736</v>
      </c>
      <c r="AJ1116" t="str">
        <f t="shared" si="160"/>
        <v/>
      </c>
      <c r="AK1116">
        <f t="shared" si="161"/>
        <v>310</v>
      </c>
      <c r="AL1116">
        <f t="shared" si="154"/>
        <v>488</v>
      </c>
      <c r="AM1116">
        <f t="shared" si="155"/>
        <v>511</v>
      </c>
      <c r="AN1116">
        <f t="shared" si="156"/>
        <v>355</v>
      </c>
      <c r="AO1116" t="str">
        <f t="shared" si="157"/>
        <v/>
      </c>
    </row>
    <row r="1117" spans="1:41">
      <c r="A1117">
        <f t="shared" si="162"/>
        <v>1113</v>
      </c>
      <c r="B1117" t="s">
        <v>277</v>
      </c>
      <c r="C1117">
        <v>5</v>
      </c>
      <c r="D1117">
        <v>5</v>
      </c>
      <c r="E1117" t="s">
        <v>385</v>
      </c>
      <c r="F1117">
        <v>412</v>
      </c>
      <c r="G1117">
        <v>2</v>
      </c>
      <c r="H1117">
        <v>62</v>
      </c>
      <c r="I1117" t="s">
        <v>386</v>
      </c>
      <c r="J1117" t="s">
        <v>386</v>
      </c>
      <c r="K1117">
        <v>1000000</v>
      </c>
      <c r="L1117">
        <v>519</v>
      </c>
      <c r="M1117">
        <v>519</v>
      </c>
      <c r="N1117">
        <v>756</v>
      </c>
      <c r="O1117">
        <v>0</v>
      </c>
      <c r="P1117">
        <v>345</v>
      </c>
      <c r="Q1117">
        <v>541</v>
      </c>
      <c r="R1117">
        <v>562</v>
      </c>
      <c r="S1117">
        <v>390</v>
      </c>
      <c r="T1117">
        <v>0</v>
      </c>
      <c r="U1117">
        <v>6181</v>
      </c>
      <c r="V1117">
        <v>25335.66071901</v>
      </c>
      <c r="AH1117">
        <f t="shared" si="158"/>
        <v>519</v>
      </c>
      <c r="AI1117">
        <f t="shared" si="159"/>
        <v>756</v>
      </c>
      <c r="AJ1117" t="str">
        <f t="shared" si="160"/>
        <v/>
      </c>
      <c r="AK1117">
        <f t="shared" si="161"/>
        <v>345</v>
      </c>
      <c r="AL1117">
        <f t="shared" si="154"/>
        <v>541</v>
      </c>
      <c r="AM1117">
        <f t="shared" si="155"/>
        <v>562</v>
      </c>
      <c r="AN1117">
        <f t="shared" si="156"/>
        <v>390</v>
      </c>
      <c r="AO1117" t="str">
        <f t="shared" si="157"/>
        <v/>
      </c>
    </row>
    <row r="1118" spans="1:41">
      <c r="A1118">
        <f t="shared" si="162"/>
        <v>1114</v>
      </c>
      <c r="B1118" t="s">
        <v>277</v>
      </c>
      <c r="C1118">
        <v>5</v>
      </c>
      <c r="D1118">
        <v>5</v>
      </c>
      <c r="E1118" t="s">
        <v>385</v>
      </c>
      <c r="F1118">
        <v>412</v>
      </c>
      <c r="G1118">
        <v>2</v>
      </c>
      <c r="H1118">
        <v>63</v>
      </c>
      <c r="I1118" t="s">
        <v>386</v>
      </c>
      <c r="J1118" t="s">
        <v>386</v>
      </c>
      <c r="K1118">
        <v>1000000</v>
      </c>
      <c r="L1118">
        <v>535</v>
      </c>
      <c r="M1118">
        <v>535</v>
      </c>
      <c r="N1118">
        <v>778</v>
      </c>
      <c r="O1118">
        <v>0</v>
      </c>
      <c r="P1118">
        <v>380</v>
      </c>
      <c r="Q1118">
        <v>591</v>
      </c>
      <c r="R1118">
        <v>616</v>
      </c>
      <c r="S1118">
        <v>429</v>
      </c>
      <c r="T1118">
        <v>0</v>
      </c>
      <c r="U1118">
        <v>6288</v>
      </c>
      <c r="V1118">
        <v>25364.253764879999</v>
      </c>
      <c r="AH1118">
        <f t="shared" si="158"/>
        <v>535</v>
      </c>
      <c r="AI1118">
        <f t="shared" si="159"/>
        <v>778</v>
      </c>
      <c r="AJ1118" t="str">
        <f t="shared" si="160"/>
        <v/>
      </c>
      <c r="AK1118">
        <f t="shared" si="161"/>
        <v>380</v>
      </c>
      <c r="AL1118">
        <f t="shared" si="154"/>
        <v>591</v>
      </c>
      <c r="AM1118">
        <f t="shared" si="155"/>
        <v>616</v>
      </c>
      <c r="AN1118">
        <f t="shared" si="156"/>
        <v>429</v>
      </c>
      <c r="AO1118" t="str">
        <f t="shared" si="157"/>
        <v/>
      </c>
    </row>
    <row r="1119" spans="1:41">
      <c r="A1119">
        <f t="shared" si="162"/>
        <v>1115</v>
      </c>
      <c r="B1119" t="s">
        <v>277</v>
      </c>
      <c r="C1119">
        <v>5</v>
      </c>
      <c r="D1119">
        <v>5</v>
      </c>
      <c r="E1119" t="s">
        <v>385</v>
      </c>
      <c r="F1119">
        <v>412</v>
      </c>
      <c r="G1119">
        <v>2</v>
      </c>
      <c r="H1119">
        <v>64</v>
      </c>
      <c r="I1119" t="s">
        <v>386</v>
      </c>
      <c r="J1119" t="s">
        <v>386</v>
      </c>
      <c r="K1119">
        <v>1000000</v>
      </c>
      <c r="L1119">
        <v>553</v>
      </c>
      <c r="M1119">
        <v>553</v>
      </c>
      <c r="N1119">
        <v>802</v>
      </c>
      <c r="O1119">
        <v>0</v>
      </c>
      <c r="P1119">
        <v>415</v>
      </c>
      <c r="Q1119">
        <v>650</v>
      </c>
      <c r="R1119">
        <v>679</v>
      </c>
      <c r="S1119">
        <v>475</v>
      </c>
      <c r="T1119">
        <v>0</v>
      </c>
      <c r="U1119">
        <v>6406</v>
      </c>
      <c r="V1119">
        <v>25397.276241420001</v>
      </c>
      <c r="AH1119">
        <f t="shared" si="158"/>
        <v>553</v>
      </c>
      <c r="AI1119">
        <f t="shared" si="159"/>
        <v>802</v>
      </c>
      <c r="AJ1119" t="str">
        <f t="shared" si="160"/>
        <v/>
      </c>
      <c r="AK1119">
        <f t="shared" si="161"/>
        <v>415</v>
      </c>
      <c r="AL1119">
        <f t="shared" si="154"/>
        <v>650</v>
      </c>
      <c r="AM1119">
        <f t="shared" si="155"/>
        <v>679</v>
      </c>
      <c r="AN1119">
        <f t="shared" si="156"/>
        <v>475</v>
      </c>
      <c r="AO1119" t="str">
        <f t="shared" si="157"/>
        <v/>
      </c>
    </row>
    <row r="1120" spans="1:41">
      <c r="A1120">
        <f t="shared" si="162"/>
        <v>1116</v>
      </c>
      <c r="B1120" t="s">
        <v>277</v>
      </c>
      <c r="C1120">
        <v>5</v>
      </c>
      <c r="D1120">
        <v>5</v>
      </c>
      <c r="E1120" t="s">
        <v>385</v>
      </c>
      <c r="F1120">
        <v>412</v>
      </c>
      <c r="G1120">
        <v>2</v>
      </c>
      <c r="H1120">
        <v>65</v>
      </c>
      <c r="I1120" t="s">
        <v>386</v>
      </c>
      <c r="J1120" t="s">
        <v>386</v>
      </c>
      <c r="K1120">
        <v>1000000</v>
      </c>
      <c r="L1120">
        <v>572</v>
      </c>
      <c r="M1120">
        <v>572</v>
      </c>
      <c r="N1120">
        <v>828</v>
      </c>
      <c r="O1120">
        <v>0</v>
      </c>
      <c r="P1120">
        <v>459</v>
      </c>
      <c r="Q1120">
        <v>719</v>
      </c>
      <c r="R1120">
        <v>753</v>
      </c>
      <c r="S1120">
        <v>524</v>
      </c>
      <c r="T1120">
        <v>0</v>
      </c>
      <c r="U1120">
        <v>6536</v>
      </c>
      <c r="V1120">
        <v>25437.088123019999</v>
      </c>
      <c r="AH1120">
        <f t="shared" si="158"/>
        <v>572</v>
      </c>
      <c r="AI1120">
        <f t="shared" si="159"/>
        <v>828</v>
      </c>
      <c r="AJ1120" t="str">
        <f t="shared" si="160"/>
        <v/>
      </c>
      <c r="AK1120">
        <f t="shared" si="161"/>
        <v>459</v>
      </c>
      <c r="AL1120">
        <f t="shared" si="154"/>
        <v>719</v>
      </c>
      <c r="AM1120">
        <f t="shared" si="155"/>
        <v>753</v>
      </c>
      <c r="AN1120">
        <f t="shared" si="156"/>
        <v>524</v>
      </c>
      <c r="AO1120" t="str">
        <f t="shared" si="157"/>
        <v/>
      </c>
    </row>
    <row r="1121" spans="1:41">
      <c r="A1121">
        <f t="shared" si="162"/>
        <v>1117</v>
      </c>
      <c r="B1121" t="s">
        <v>277</v>
      </c>
      <c r="C1121">
        <v>5</v>
      </c>
      <c r="D1121">
        <v>5</v>
      </c>
      <c r="E1121" t="s">
        <v>385</v>
      </c>
      <c r="F1121">
        <v>412</v>
      </c>
      <c r="G1121">
        <v>2</v>
      </c>
      <c r="H1121">
        <v>66</v>
      </c>
      <c r="I1121" t="s">
        <v>386</v>
      </c>
      <c r="J1121" t="s">
        <v>386</v>
      </c>
      <c r="K1121">
        <v>1000000</v>
      </c>
      <c r="L1121">
        <v>594</v>
      </c>
      <c r="M1121">
        <v>594</v>
      </c>
      <c r="N1121">
        <v>856</v>
      </c>
      <c r="O1121">
        <v>0</v>
      </c>
      <c r="P1121">
        <v>505</v>
      </c>
      <c r="Q1121">
        <v>790</v>
      </c>
      <c r="R1121">
        <v>822</v>
      </c>
      <c r="S1121">
        <v>566</v>
      </c>
      <c r="T1121">
        <v>0</v>
      </c>
      <c r="U1121">
        <v>6677</v>
      </c>
      <c r="V1121">
        <v>25485.587936529999</v>
      </c>
      <c r="AH1121">
        <f t="shared" si="158"/>
        <v>594</v>
      </c>
      <c r="AI1121">
        <f t="shared" si="159"/>
        <v>856</v>
      </c>
      <c r="AJ1121" t="str">
        <f t="shared" si="160"/>
        <v/>
      </c>
      <c r="AK1121">
        <f t="shared" si="161"/>
        <v>505</v>
      </c>
      <c r="AL1121">
        <f t="shared" si="154"/>
        <v>790</v>
      </c>
      <c r="AM1121">
        <f t="shared" si="155"/>
        <v>822</v>
      </c>
      <c r="AN1121">
        <f t="shared" si="156"/>
        <v>566</v>
      </c>
      <c r="AO1121" t="str">
        <f t="shared" si="157"/>
        <v/>
      </c>
    </row>
    <row r="1122" spans="1:41">
      <c r="A1122">
        <f t="shared" si="162"/>
        <v>1118</v>
      </c>
      <c r="B1122" t="s">
        <v>277</v>
      </c>
      <c r="C1122">
        <v>5</v>
      </c>
      <c r="D1122">
        <v>5</v>
      </c>
      <c r="E1122" t="s">
        <v>385</v>
      </c>
      <c r="F1122">
        <v>412</v>
      </c>
      <c r="G1122">
        <v>2</v>
      </c>
      <c r="H1122">
        <v>67</v>
      </c>
      <c r="I1122" t="s">
        <v>386</v>
      </c>
      <c r="J1122" t="s">
        <v>386</v>
      </c>
      <c r="K1122">
        <v>1000000</v>
      </c>
      <c r="L1122">
        <v>616</v>
      </c>
      <c r="M1122">
        <v>616</v>
      </c>
      <c r="N1122">
        <v>887</v>
      </c>
      <c r="O1122">
        <v>0</v>
      </c>
      <c r="P1122">
        <v>545</v>
      </c>
      <c r="Q1122">
        <v>845</v>
      </c>
      <c r="R1122">
        <v>867</v>
      </c>
      <c r="S1122">
        <v>587</v>
      </c>
      <c r="T1122">
        <v>0</v>
      </c>
      <c r="U1122">
        <v>6828</v>
      </c>
      <c r="V1122">
        <v>25543.422376769999</v>
      </c>
      <c r="AH1122">
        <f t="shared" si="158"/>
        <v>616</v>
      </c>
      <c r="AI1122">
        <f t="shared" si="159"/>
        <v>887</v>
      </c>
      <c r="AJ1122" t="str">
        <f t="shared" si="160"/>
        <v/>
      </c>
      <c r="AK1122">
        <f t="shared" si="161"/>
        <v>545</v>
      </c>
      <c r="AL1122">
        <f t="shared" si="154"/>
        <v>845</v>
      </c>
      <c r="AM1122">
        <f t="shared" si="155"/>
        <v>867</v>
      </c>
      <c r="AN1122">
        <f t="shared" si="156"/>
        <v>587</v>
      </c>
      <c r="AO1122" t="str">
        <f t="shared" si="157"/>
        <v/>
      </c>
    </row>
    <row r="1123" spans="1:41">
      <c r="A1123">
        <f t="shared" si="162"/>
        <v>1119</v>
      </c>
      <c r="B1123" t="s">
        <v>277</v>
      </c>
      <c r="C1123">
        <v>5</v>
      </c>
      <c r="D1123">
        <v>5</v>
      </c>
      <c r="E1123" t="s">
        <v>385</v>
      </c>
      <c r="F1123">
        <v>412</v>
      </c>
      <c r="G1123">
        <v>2</v>
      </c>
      <c r="H1123">
        <v>68</v>
      </c>
      <c r="I1123" t="s">
        <v>386</v>
      </c>
      <c r="J1123" t="s">
        <v>386</v>
      </c>
      <c r="K1123">
        <v>1000000</v>
      </c>
      <c r="L1123">
        <v>640</v>
      </c>
      <c r="M1123">
        <v>640</v>
      </c>
      <c r="N1123">
        <v>919</v>
      </c>
      <c r="O1123">
        <v>0</v>
      </c>
      <c r="P1123">
        <v>568</v>
      </c>
      <c r="Q1123">
        <v>867</v>
      </c>
      <c r="R1123">
        <v>873</v>
      </c>
      <c r="S1123">
        <v>582</v>
      </c>
      <c r="T1123">
        <v>0</v>
      </c>
      <c r="U1123">
        <v>6985</v>
      </c>
      <c r="V1123">
        <v>25609.322380829999</v>
      </c>
      <c r="AH1123">
        <f t="shared" si="158"/>
        <v>640</v>
      </c>
      <c r="AI1123">
        <f t="shared" si="159"/>
        <v>919</v>
      </c>
      <c r="AJ1123" t="str">
        <f t="shared" si="160"/>
        <v/>
      </c>
      <c r="AK1123">
        <f t="shared" si="161"/>
        <v>568</v>
      </c>
      <c r="AL1123">
        <f t="shared" si="154"/>
        <v>867</v>
      </c>
      <c r="AM1123">
        <f t="shared" si="155"/>
        <v>873</v>
      </c>
      <c r="AN1123">
        <f t="shared" si="156"/>
        <v>582</v>
      </c>
      <c r="AO1123" t="str">
        <f t="shared" si="157"/>
        <v/>
      </c>
    </row>
    <row r="1124" spans="1:41">
      <c r="A1124">
        <f t="shared" si="162"/>
        <v>1120</v>
      </c>
      <c r="B1124" t="s">
        <v>277</v>
      </c>
      <c r="C1124">
        <v>5</v>
      </c>
      <c r="D1124">
        <v>5</v>
      </c>
      <c r="E1124" t="s">
        <v>385</v>
      </c>
      <c r="F1124">
        <v>412</v>
      </c>
      <c r="G1124">
        <v>2</v>
      </c>
      <c r="H1124">
        <v>69</v>
      </c>
      <c r="I1124" t="s">
        <v>386</v>
      </c>
      <c r="J1124" t="s">
        <v>386</v>
      </c>
      <c r="K1124">
        <v>1000000</v>
      </c>
      <c r="L1124">
        <v>663</v>
      </c>
      <c r="M1124">
        <v>663</v>
      </c>
      <c r="N1124">
        <v>950</v>
      </c>
      <c r="O1124">
        <v>0</v>
      </c>
      <c r="P1124">
        <v>566</v>
      </c>
      <c r="Q1124">
        <v>848</v>
      </c>
      <c r="R1124">
        <v>843</v>
      </c>
      <c r="S1124">
        <v>555</v>
      </c>
      <c r="T1124">
        <v>0</v>
      </c>
      <c r="U1124">
        <v>7141</v>
      </c>
      <c r="V1124">
        <v>25680.29786033</v>
      </c>
      <c r="AH1124">
        <f t="shared" si="158"/>
        <v>663</v>
      </c>
      <c r="AI1124">
        <f t="shared" si="159"/>
        <v>950</v>
      </c>
      <c r="AJ1124" t="str">
        <f t="shared" si="160"/>
        <v/>
      </c>
      <c r="AK1124">
        <f t="shared" si="161"/>
        <v>566</v>
      </c>
      <c r="AL1124">
        <f t="shared" si="154"/>
        <v>848</v>
      </c>
      <c r="AM1124">
        <f t="shared" si="155"/>
        <v>843</v>
      </c>
      <c r="AN1124">
        <f t="shared" si="156"/>
        <v>555</v>
      </c>
      <c r="AO1124" t="str">
        <f t="shared" si="157"/>
        <v/>
      </c>
    </row>
    <row r="1125" spans="1:41">
      <c r="A1125">
        <f t="shared" si="162"/>
        <v>1121</v>
      </c>
      <c r="B1125" t="s">
        <v>277</v>
      </c>
      <c r="C1125">
        <v>5</v>
      </c>
      <c r="D1125">
        <v>5</v>
      </c>
      <c r="E1125" t="s">
        <v>385</v>
      </c>
      <c r="F1125">
        <v>412</v>
      </c>
      <c r="G1125">
        <v>2</v>
      </c>
      <c r="H1125">
        <v>70</v>
      </c>
      <c r="I1125" t="s">
        <v>386</v>
      </c>
      <c r="J1125" t="s">
        <v>386</v>
      </c>
      <c r="K1125">
        <v>1000000</v>
      </c>
      <c r="L1125">
        <v>686</v>
      </c>
      <c r="M1125">
        <v>686</v>
      </c>
      <c r="N1125">
        <v>981</v>
      </c>
      <c r="O1125">
        <v>0</v>
      </c>
      <c r="P1125">
        <v>542</v>
      </c>
      <c r="Q1125">
        <v>804</v>
      </c>
      <c r="R1125">
        <v>793</v>
      </c>
      <c r="S1125">
        <v>524</v>
      </c>
      <c r="T1125">
        <v>0</v>
      </c>
      <c r="U1125">
        <v>7293</v>
      </c>
      <c r="V1125">
        <v>25753.680392599999</v>
      </c>
      <c r="AH1125">
        <f t="shared" si="158"/>
        <v>686</v>
      </c>
      <c r="AI1125">
        <f t="shared" si="159"/>
        <v>981</v>
      </c>
      <c r="AJ1125" t="str">
        <f t="shared" si="160"/>
        <v/>
      </c>
      <c r="AK1125">
        <f t="shared" si="161"/>
        <v>542</v>
      </c>
      <c r="AL1125">
        <f t="shared" si="154"/>
        <v>804</v>
      </c>
      <c r="AM1125">
        <f t="shared" si="155"/>
        <v>793</v>
      </c>
      <c r="AN1125">
        <f t="shared" si="156"/>
        <v>524</v>
      </c>
      <c r="AO1125" t="str">
        <f t="shared" si="157"/>
        <v/>
      </c>
    </row>
    <row r="1126" spans="1:41">
      <c r="A1126">
        <f t="shared" si="162"/>
        <v>1122</v>
      </c>
      <c r="B1126" t="s">
        <v>277</v>
      </c>
      <c r="C1126">
        <v>5</v>
      </c>
      <c r="D1126">
        <v>5</v>
      </c>
      <c r="E1126" t="s">
        <v>385</v>
      </c>
      <c r="F1126">
        <v>412</v>
      </c>
      <c r="G1126">
        <v>2</v>
      </c>
      <c r="H1126">
        <v>71</v>
      </c>
      <c r="I1126" t="s">
        <v>386</v>
      </c>
      <c r="J1126" t="s">
        <v>386</v>
      </c>
      <c r="K1126">
        <v>1000000</v>
      </c>
      <c r="L1126">
        <v>708</v>
      </c>
      <c r="M1126">
        <v>708</v>
      </c>
      <c r="N1126">
        <v>1011</v>
      </c>
      <c r="O1126">
        <v>0</v>
      </c>
      <c r="P1126">
        <v>509</v>
      </c>
      <c r="Q1126">
        <v>753</v>
      </c>
      <c r="R1126">
        <v>747</v>
      </c>
      <c r="S1126">
        <v>496</v>
      </c>
      <c r="T1126">
        <v>0</v>
      </c>
      <c r="U1126">
        <v>7438</v>
      </c>
      <c r="V1126">
        <v>25828.204774909998</v>
      </c>
      <c r="AH1126">
        <f t="shared" si="158"/>
        <v>708</v>
      </c>
      <c r="AI1126">
        <f t="shared" si="159"/>
        <v>1011</v>
      </c>
      <c r="AJ1126" t="str">
        <f t="shared" si="160"/>
        <v/>
      </c>
      <c r="AK1126">
        <f t="shared" si="161"/>
        <v>509</v>
      </c>
      <c r="AL1126">
        <f t="shared" si="154"/>
        <v>753</v>
      </c>
      <c r="AM1126">
        <f t="shared" si="155"/>
        <v>747</v>
      </c>
      <c r="AN1126">
        <f t="shared" si="156"/>
        <v>496</v>
      </c>
      <c r="AO1126" t="str">
        <f t="shared" si="157"/>
        <v/>
      </c>
    </row>
    <row r="1127" spans="1:41">
      <c r="A1127">
        <f t="shared" si="162"/>
        <v>1123</v>
      </c>
      <c r="B1127" t="s">
        <v>277</v>
      </c>
      <c r="C1127">
        <v>5</v>
      </c>
      <c r="D1127">
        <v>5</v>
      </c>
      <c r="E1127" t="s">
        <v>385</v>
      </c>
      <c r="F1127">
        <v>412</v>
      </c>
      <c r="G1127">
        <v>2</v>
      </c>
      <c r="H1127">
        <v>72</v>
      </c>
      <c r="I1127" t="s">
        <v>386</v>
      </c>
      <c r="J1127" t="s">
        <v>386</v>
      </c>
      <c r="K1127">
        <v>1000000</v>
      </c>
      <c r="L1127">
        <v>729</v>
      </c>
      <c r="M1127">
        <v>729</v>
      </c>
      <c r="N1127">
        <v>1039</v>
      </c>
      <c r="O1127">
        <v>0</v>
      </c>
      <c r="P1127">
        <v>479</v>
      </c>
      <c r="Q1127">
        <v>717</v>
      </c>
      <c r="R1127">
        <v>717</v>
      </c>
      <c r="S1127">
        <v>482</v>
      </c>
      <c r="T1127">
        <v>0</v>
      </c>
      <c r="U1127">
        <v>7576</v>
      </c>
      <c r="V1127">
        <v>25903.914358850001</v>
      </c>
      <c r="AH1127">
        <f t="shared" si="158"/>
        <v>729</v>
      </c>
      <c r="AI1127">
        <f t="shared" si="159"/>
        <v>1039</v>
      </c>
      <c r="AJ1127" t="str">
        <f t="shared" si="160"/>
        <v/>
      </c>
      <c r="AK1127">
        <f t="shared" si="161"/>
        <v>479</v>
      </c>
      <c r="AL1127">
        <f t="shared" si="154"/>
        <v>717</v>
      </c>
      <c r="AM1127">
        <f t="shared" si="155"/>
        <v>717</v>
      </c>
      <c r="AN1127">
        <f t="shared" si="156"/>
        <v>482</v>
      </c>
      <c r="AO1127" t="str">
        <f t="shared" si="157"/>
        <v/>
      </c>
    </row>
    <row r="1128" spans="1:41">
      <c r="A1128">
        <f t="shared" si="162"/>
        <v>1124</v>
      </c>
      <c r="B1128" t="s">
        <v>277</v>
      </c>
      <c r="C1128">
        <v>5</v>
      </c>
      <c r="D1128">
        <v>5</v>
      </c>
      <c r="E1128" t="s">
        <v>385</v>
      </c>
      <c r="F1128">
        <v>412</v>
      </c>
      <c r="G1128">
        <v>2</v>
      </c>
      <c r="H1128">
        <v>73</v>
      </c>
      <c r="I1128" t="s">
        <v>386</v>
      </c>
      <c r="J1128" t="s">
        <v>386</v>
      </c>
      <c r="K1128">
        <v>1000000</v>
      </c>
      <c r="L1128">
        <v>749</v>
      </c>
      <c r="M1128">
        <v>749</v>
      </c>
      <c r="N1128">
        <v>1066</v>
      </c>
      <c r="O1128">
        <v>0</v>
      </c>
      <c r="P1128">
        <v>466</v>
      </c>
      <c r="Q1128">
        <v>702</v>
      </c>
      <c r="R1128">
        <v>711</v>
      </c>
      <c r="S1128">
        <v>483</v>
      </c>
      <c r="T1128">
        <v>0</v>
      </c>
      <c r="U1128">
        <v>7710</v>
      </c>
      <c r="V1128">
        <v>25983.163429730001</v>
      </c>
      <c r="AH1128">
        <f t="shared" si="158"/>
        <v>749</v>
      </c>
      <c r="AI1128">
        <f t="shared" si="159"/>
        <v>1066</v>
      </c>
      <c r="AJ1128" t="str">
        <f t="shared" si="160"/>
        <v/>
      </c>
      <c r="AK1128">
        <f t="shared" si="161"/>
        <v>466</v>
      </c>
      <c r="AL1128">
        <f t="shared" si="154"/>
        <v>702</v>
      </c>
      <c r="AM1128">
        <f t="shared" si="155"/>
        <v>711</v>
      </c>
      <c r="AN1128">
        <f t="shared" si="156"/>
        <v>483</v>
      </c>
      <c r="AO1128" t="str">
        <f t="shared" si="157"/>
        <v/>
      </c>
    </row>
    <row r="1129" spans="1:41">
      <c r="A1129">
        <f t="shared" si="162"/>
        <v>1125</v>
      </c>
      <c r="B1129" t="s">
        <v>277</v>
      </c>
      <c r="C1129">
        <v>5</v>
      </c>
      <c r="D1129">
        <v>5</v>
      </c>
      <c r="E1129" t="s">
        <v>385</v>
      </c>
      <c r="F1129">
        <v>412</v>
      </c>
      <c r="G1129">
        <v>2</v>
      </c>
      <c r="H1129">
        <v>74</v>
      </c>
      <c r="I1129" t="s">
        <v>386</v>
      </c>
      <c r="J1129" t="s">
        <v>386</v>
      </c>
      <c r="K1129">
        <v>1000000</v>
      </c>
      <c r="L1129">
        <v>769</v>
      </c>
      <c r="M1129">
        <v>769</v>
      </c>
      <c r="N1129">
        <v>1093</v>
      </c>
      <c r="O1129">
        <v>0</v>
      </c>
      <c r="P1129">
        <v>464</v>
      </c>
      <c r="Q1129">
        <v>708</v>
      </c>
      <c r="R1129">
        <v>723</v>
      </c>
      <c r="S1129">
        <v>492</v>
      </c>
      <c r="T1129">
        <v>0</v>
      </c>
      <c r="U1129">
        <v>7843</v>
      </c>
      <c r="V1129">
        <v>26068.759015700001</v>
      </c>
      <c r="AH1129">
        <f t="shared" si="158"/>
        <v>769</v>
      </c>
      <c r="AI1129">
        <f t="shared" si="159"/>
        <v>1093</v>
      </c>
      <c r="AJ1129" t="str">
        <f t="shared" si="160"/>
        <v/>
      </c>
      <c r="AK1129">
        <f t="shared" si="161"/>
        <v>464</v>
      </c>
      <c r="AL1129">
        <f t="shared" si="154"/>
        <v>708</v>
      </c>
      <c r="AM1129">
        <f t="shared" si="155"/>
        <v>723</v>
      </c>
      <c r="AN1129">
        <f t="shared" si="156"/>
        <v>492</v>
      </c>
      <c r="AO1129" t="str">
        <f t="shared" si="157"/>
        <v/>
      </c>
    </row>
    <row r="1130" spans="1:41">
      <c r="A1130">
        <f t="shared" si="162"/>
        <v>1126</v>
      </c>
      <c r="B1130" t="s">
        <v>277</v>
      </c>
      <c r="C1130">
        <v>5</v>
      </c>
      <c r="D1130">
        <v>5</v>
      </c>
      <c r="E1130" t="s">
        <v>385</v>
      </c>
      <c r="F1130">
        <v>412</v>
      </c>
      <c r="G1130">
        <v>2</v>
      </c>
      <c r="H1130">
        <v>75</v>
      </c>
      <c r="I1130" t="s">
        <v>386</v>
      </c>
      <c r="J1130" t="s">
        <v>386</v>
      </c>
      <c r="K1130">
        <v>1000000</v>
      </c>
      <c r="L1130">
        <v>789</v>
      </c>
      <c r="M1130">
        <v>789</v>
      </c>
      <c r="N1130">
        <v>1120</v>
      </c>
      <c r="O1130">
        <v>0</v>
      </c>
      <c r="P1130">
        <v>473</v>
      </c>
      <c r="Q1130">
        <v>724</v>
      </c>
      <c r="R1130">
        <v>737</v>
      </c>
      <c r="S1130">
        <v>498</v>
      </c>
      <c r="T1130">
        <v>0</v>
      </c>
      <c r="U1130">
        <v>7977</v>
      </c>
      <c r="V1130">
        <v>26163.5664646</v>
      </c>
      <c r="AH1130">
        <f t="shared" si="158"/>
        <v>789</v>
      </c>
      <c r="AI1130">
        <f t="shared" si="159"/>
        <v>1120</v>
      </c>
      <c r="AJ1130" t="str">
        <f t="shared" si="160"/>
        <v/>
      </c>
      <c r="AK1130">
        <f t="shared" si="161"/>
        <v>473</v>
      </c>
      <c r="AL1130">
        <f t="shared" si="154"/>
        <v>724</v>
      </c>
      <c r="AM1130">
        <f t="shared" si="155"/>
        <v>737</v>
      </c>
      <c r="AN1130">
        <f t="shared" si="156"/>
        <v>498</v>
      </c>
      <c r="AO1130" t="str">
        <f t="shared" si="157"/>
        <v/>
      </c>
    </row>
    <row r="1131" spans="1:41">
      <c r="A1131">
        <f t="shared" si="162"/>
        <v>1127</v>
      </c>
      <c r="B1131" t="s">
        <v>277</v>
      </c>
      <c r="C1131">
        <v>4</v>
      </c>
      <c r="D1131">
        <v>4</v>
      </c>
      <c r="E1131" t="s">
        <v>385</v>
      </c>
      <c r="F1131">
        <v>412</v>
      </c>
      <c r="G1131">
        <v>2</v>
      </c>
      <c r="H1131">
        <v>76</v>
      </c>
      <c r="I1131" t="s">
        <v>386</v>
      </c>
      <c r="J1131" t="s">
        <v>386</v>
      </c>
      <c r="K1131">
        <v>1000000</v>
      </c>
      <c r="L1131">
        <v>800</v>
      </c>
      <c r="M1131">
        <v>800</v>
      </c>
      <c r="N1131">
        <v>1181</v>
      </c>
      <c r="O1131">
        <v>0</v>
      </c>
      <c r="P1131">
        <v>363</v>
      </c>
      <c r="Q1131">
        <v>493</v>
      </c>
      <c r="R1131">
        <v>374</v>
      </c>
      <c r="S1131">
        <v>0</v>
      </c>
      <c r="T1131" t="s">
        <v>386</v>
      </c>
      <c r="U1131">
        <v>8276</v>
      </c>
      <c r="V1131">
        <v>26268.943542659999</v>
      </c>
      <c r="AH1131">
        <f t="shared" si="158"/>
        <v>800</v>
      </c>
      <c r="AI1131">
        <f t="shared" si="159"/>
        <v>1181</v>
      </c>
      <c r="AJ1131" t="str">
        <f t="shared" si="160"/>
        <v/>
      </c>
      <c r="AK1131">
        <f t="shared" si="161"/>
        <v>363</v>
      </c>
      <c r="AL1131">
        <f t="shared" si="154"/>
        <v>493</v>
      </c>
      <c r="AM1131">
        <f t="shared" si="155"/>
        <v>374</v>
      </c>
      <c r="AN1131" t="str">
        <f t="shared" si="156"/>
        <v/>
      </c>
      <c r="AO1131" t="e">
        <f t="shared" si="157"/>
        <v>#VALUE!</v>
      </c>
    </row>
    <row r="1132" spans="1:41">
      <c r="A1132">
        <f t="shared" si="162"/>
        <v>1128</v>
      </c>
      <c r="B1132" t="s">
        <v>277</v>
      </c>
      <c r="C1132">
        <v>3</v>
      </c>
      <c r="D1132">
        <v>3</v>
      </c>
      <c r="E1132" t="s">
        <v>385</v>
      </c>
      <c r="F1132">
        <v>412</v>
      </c>
      <c r="G1132">
        <v>2</v>
      </c>
      <c r="H1132">
        <v>77</v>
      </c>
      <c r="I1132" t="s">
        <v>386</v>
      </c>
      <c r="J1132" t="s">
        <v>386</v>
      </c>
      <c r="K1132">
        <v>1000000</v>
      </c>
      <c r="L1132">
        <v>810</v>
      </c>
      <c r="M1132">
        <v>810</v>
      </c>
      <c r="N1132">
        <v>1281</v>
      </c>
      <c r="O1132">
        <v>0</v>
      </c>
      <c r="P1132">
        <v>247</v>
      </c>
      <c r="Q1132">
        <v>249</v>
      </c>
      <c r="R1132">
        <v>0</v>
      </c>
      <c r="S1132" t="s">
        <v>386</v>
      </c>
      <c r="T1132" t="s">
        <v>386</v>
      </c>
      <c r="U1132">
        <v>8764</v>
      </c>
      <c r="V1132">
        <v>26385.700946450001</v>
      </c>
      <c r="AH1132">
        <f t="shared" si="158"/>
        <v>810</v>
      </c>
      <c r="AI1132">
        <f t="shared" si="159"/>
        <v>1281</v>
      </c>
      <c r="AJ1132" t="str">
        <f t="shared" si="160"/>
        <v/>
      </c>
      <c r="AK1132">
        <f t="shared" si="161"/>
        <v>247</v>
      </c>
      <c r="AL1132">
        <f t="shared" si="154"/>
        <v>249</v>
      </c>
      <c r="AM1132" t="str">
        <f t="shared" si="155"/>
        <v/>
      </c>
      <c r="AN1132" t="e">
        <f t="shared" si="156"/>
        <v>#VALUE!</v>
      </c>
      <c r="AO1132" t="e">
        <f t="shared" si="157"/>
        <v>#VALUE!</v>
      </c>
    </row>
    <row r="1133" spans="1:41">
      <c r="A1133">
        <f t="shared" si="162"/>
        <v>1129</v>
      </c>
      <c r="B1133" t="s">
        <v>277</v>
      </c>
      <c r="C1133">
        <v>2</v>
      </c>
      <c r="D1133">
        <v>2</v>
      </c>
      <c r="E1133" t="s">
        <v>385</v>
      </c>
      <c r="F1133">
        <v>412</v>
      </c>
      <c r="G1133">
        <v>2</v>
      </c>
      <c r="H1133">
        <v>78</v>
      </c>
      <c r="I1133" t="s">
        <v>386</v>
      </c>
      <c r="J1133" t="s">
        <v>386</v>
      </c>
      <c r="K1133">
        <v>1000000</v>
      </c>
      <c r="L1133">
        <v>821</v>
      </c>
      <c r="M1133">
        <v>821</v>
      </c>
      <c r="N1133">
        <v>1432</v>
      </c>
      <c r="O1133">
        <v>0</v>
      </c>
      <c r="P1133">
        <v>123</v>
      </c>
      <c r="Q1133">
        <v>0</v>
      </c>
      <c r="R1133" t="s">
        <v>386</v>
      </c>
      <c r="S1133" t="s">
        <v>386</v>
      </c>
      <c r="T1133" t="s">
        <v>386</v>
      </c>
      <c r="U1133">
        <v>8575</v>
      </c>
      <c r="V1133">
        <v>26513.069357510001</v>
      </c>
      <c r="AH1133">
        <f t="shared" si="158"/>
        <v>821</v>
      </c>
      <c r="AI1133">
        <f t="shared" si="159"/>
        <v>1432</v>
      </c>
      <c r="AJ1133" t="str">
        <f t="shared" si="160"/>
        <v/>
      </c>
      <c r="AK1133">
        <f t="shared" si="161"/>
        <v>123</v>
      </c>
      <c r="AL1133" t="str">
        <f t="shared" si="154"/>
        <v/>
      </c>
      <c r="AM1133" t="e">
        <f t="shared" si="155"/>
        <v>#VALUE!</v>
      </c>
      <c r="AN1133" t="e">
        <f t="shared" si="156"/>
        <v>#VALUE!</v>
      </c>
      <c r="AO1133" t="e">
        <f t="shared" si="157"/>
        <v>#VALUE!</v>
      </c>
    </row>
    <row r="1134" spans="1:41">
      <c r="A1134">
        <f t="shared" si="162"/>
        <v>1130</v>
      </c>
      <c r="B1134" t="s">
        <v>277</v>
      </c>
      <c r="C1134">
        <v>1</v>
      </c>
      <c r="D1134">
        <v>1</v>
      </c>
      <c r="E1134" t="s">
        <v>385</v>
      </c>
      <c r="F1134">
        <v>412</v>
      </c>
      <c r="G1134">
        <v>2</v>
      </c>
      <c r="H1134">
        <v>79</v>
      </c>
      <c r="I1134" t="s">
        <v>386</v>
      </c>
      <c r="J1134" t="s">
        <v>386</v>
      </c>
      <c r="K1134">
        <v>1000000</v>
      </c>
      <c r="L1134">
        <v>831</v>
      </c>
      <c r="M1134">
        <v>831</v>
      </c>
      <c r="N1134">
        <v>1860</v>
      </c>
      <c r="O1134">
        <v>0</v>
      </c>
      <c r="P1134">
        <v>0</v>
      </c>
      <c r="Q1134" t="s">
        <v>386</v>
      </c>
      <c r="R1134" t="s">
        <v>386</v>
      </c>
      <c r="S1134" t="s">
        <v>386</v>
      </c>
      <c r="T1134" t="s">
        <v>386</v>
      </c>
      <c r="U1134">
        <v>8381</v>
      </c>
      <c r="V1134">
        <v>26650.343850680001</v>
      </c>
      <c r="AH1134">
        <f t="shared" si="158"/>
        <v>831</v>
      </c>
      <c r="AI1134">
        <f t="shared" si="159"/>
        <v>1860</v>
      </c>
      <c r="AJ1134" t="str">
        <f t="shared" si="160"/>
        <v/>
      </c>
      <c r="AK1134" t="str">
        <f t="shared" si="161"/>
        <v/>
      </c>
      <c r="AL1134" t="e">
        <f t="shared" si="154"/>
        <v>#VALUE!</v>
      </c>
      <c r="AM1134" t="e">
        <f t="shared" si="155"/>
        <v>#VALUE!</v>
      </c>
      <c r="AN1134" t="e">
        <f t="shared" si="156"/>
        <v>#VALUE!</v>
      </c>
      <c r="AO1134" t="e">
        <f t="shared" si="157"/>
        <v>#VALUE!</v>
      </c>
    </row>
    <row r="1135" spans="1:41">
      <c r="A1135">
        <f t="shared" si="162"/>
        <v>1131</v>
      </c>
      <c r="B1135" t="s">
        <v>277</v>
      </c>
      <c r="C1135">
        <v>5</v>
      </c>
      <c r="D1135">
        <v>5</v>
      </c>
      <c r="E1135" t="s">
        <v>387</v>
      </c>
      <c r="F1135">
        <v>412</v>
      </c>
      <c r="G1135">
        <v>2</v>
      </c>
      <c r="H1135">
        <v>30</v>
      </c>
      <c r="I1135" t="s">
        <v>386</v>
      </c>
      <c r="J1135" t="s">
        <v>386</v>
      </c>
      <c r="K1135">
        <v>1000000</v>
      </c>
      <c r="L1135">
        <v>83</v>
      </c>
      <c r="M1135">
        <v>83</v>
      </c>
      <c r="N1135">
        <v>169</v>
      </c>
      <c r="O1135">
        <v>0</v>
      </c>
      <c r="P1135">
        <v>239</v>
      </c>
      <c r="Q1135">
        <v>396</v>
      </c>
      <c r="R1135">
        <v>431</v>
      </c>
      <c r="S1135">
        <v>303</v>
      </c>
      <c r="T1135">
        <v>0</v>
      </c>
      <c r="U1135">
        <v>3269</v>
      </c>
      <c r="V1135">
        <v>26797.016984959999</v>
      </c>
      <c r="AH1135">
        <f t="shared" si="158"/>
        <v>83</v>
      </c>
      <c r="AI1135">
        <f t="shared" si="159"/>
        <v>169</v>
      </c>
      <c r="AJ1135" t="str">
        <f t="shared" si="160"/>
        <v/>
      </c>
      <c r="AK1135">
        <f t="shared" si="161"/>
        <v>239</v>
      </c>
      <c r="AL1135">
        <f t="shared" si="154"/>
        <v>396</v>
      </c>
      <c r="AM1135">
        <f t="shared" si="155"/>
        <v>431</v>
      </c>
      <c r="AN1135">
        <f t="shared" si="156"/>
        <v>303</v>
      </c>
      <c r="AO1135" t="str">
        <f t="shared" si="157"/>
        <v/>
      </c>
    </row>
    <row r="1136" spans="1:41">
      <c r="A1136">
        <f t="shared" si="162"/>
        <v>1132</v>
      </c>
      <c r="B1136" t="s">
        <v>277</v>
      </c>
      <c r="C1136">
        <v>5</v>
      </c>
      <c r="D1136">
        <v>5</v>
      </c>
      <c r="E1136" t="s">
        <v>387</v>
      </c>
      <c r="F1136">
        <v>412</v>
      </c>
      <c r="G1136">
        <v>2</v>
      </c>
      <c r="H1136">
        <v>31</v>
      </c>
      <c r="I1136" t="s">
        <v>386</v>
      </c>
      <c r="J1136" t="s">
        <v>386</v>
      </c>
      <c r="K1136">
        <v>1000000</v>
      </c>
      <c r="L1136">
        <v>94</v>
      </c>
      <c r="M1136">
        <v>94</v>
      </c>
      <c r="N1136">
        <v>184</v>
      </c>
      <c r="O1136">
        <v>0</v>
      </c>
      <c r="P1136">
        <v>294</v>
      </c>
      <c r="Q1136">
        <v>468</v>
      </c>
      <c r="R1136">
        <v>483</v>
      </c>
      <c r="S1136">
        <v>328</v>
      </c>
      <c r="T1136">
        <v>0</v>
      </c>
      <c r="U1136">
        <v>3347</v>
      </c>
      <c r="V1136">
        <v>26954.305240649999</v>
      </c>
      <c r="AH1136">
        <f t="shared" si="158"/>
        <v>94</v>
      </c>
      <c r="AI1136">
        <f t="shared" si="159"/>
        <v>184</v>
      </c>
      <c r="AJ1136" t="str">
        <f t="shared" si="160"/>
        <v/>
      </c>
      <c r="AK1136">
        <f t="shared" si="161"/>
        <v>294</v>
      </c>
      <c r="AL1136">
        <f t="shared" si="154"/>
        <v>468</v>
      </c>
      <c r="AM1136">
        <f t="shared" si="155"/>
        <v>483</v>
      </c>
      <c r="AN1136">
        <f t="shared" si="156"/>
        <v>328</v>
      </c>
      <c r="AO1136" t="str">
        <f t="shared" si="157"/>
        <v/>
      </c>
    </row>
    <row r="1137" spans="1:41">
      <c r="A1137">
        <f t="shared" si="162"/>
        <v>1133</v>
      </c>
      <c r="B1137" t="s">
        <v>277</v>
      </c>
      <c r="C1137">
        <v>5</v>
      </c>
      <c r="D1137">
        <v>5</v>
      </c>
      <c r="E1137" t="s">
        <v>387</v>
      </c>
      <c r="F1137">
        <v>412</v>
      </c>
      <c r="G1137">
        <v>2</v>
      </c>
      <c r="H1137">
        <v>32</v>
      </c>
      <c r="I1137" t="s">
        <v>386</v>
      </c>
      <c r="J1137" t="s">
        <v>386</v>
      </c>
      <c r="K1137">
        <v>1000000</v>
      </c>
      <c r="L1137">
        <v>107</v>
      </c>
      <c r="M1137">
        <v>107</v>
      </c>
      <c r="N1137">
        <v>202</v>
      </c>
      <c r="O1137">
        <v>0</v>
      </c>
      <c r="P1137">
        <v>325</v>
      </c>
      <c r="Q1137">
        <v>495</v>
      </c>
      <c r="R1137">
        <v>498</v>
      </c>
      <c r="S1137">
        <v>333</v>
      </c>
      <c r="T1137">
        <v>0</v>
      </c>
      <c r="U1137">
        <v>3434</v>
      </c>
      <c r="V1137">
        <v>27124.087545490002</v>
      </c>
      <c r="AH1137">
        <f t="shared" si="158"/>
        <v>107</v>
      </c>
      <c r="AI1137">
        <f t="shared" si="159"/>
        <v>202</v>
      </c>
      <c r="AJ1137" t="str">
        <f t="shared" si="160"/>
        <v/>
      </c>
      <c r="AK1137">
        <f t="shared" si="161"/>
        <v>325</v>
      </c>
      <c r="AL1137">
        <f t="shared" si="154"/>
        <v>495</v>
      </c>
      <c r="AM1137">
        <f t="shared" si="155"/>
        <v>498</v>
      </c>
      <c r="AN1137">
        <f t="shared" si="156"/>
        <v>333</v>
      </c>
      <c r="AO1137" t="str">
        <f t="shared" si="157"/>
        <v/>
      </c>
    </row>
    <row r="1138" spans="1:41">
      <c r="A1138">
        <f t="shared" si="162"/>
        <v>1134</v>
      </c>
      <c r="B1138" t="s">
        <v>277</v>
      </c>
      <c r="C1138">
        <v>5</v>
      </c>
      <c r="D1138">
        <v>5</v>
      </c>
      <c r="E1138" t="s">
        <v>387</v>
      </c>
      <c r="F1138">
        <v>412</v>
      </c>
      <c r="G1138">
        <v>2</v>
      </c>
      <c r="H1138">
        <v>33</v>
      </c>
      <c r="I1138" t="s">
        <v>386</v>
      </c>
      <c r="J1138" t="s">
        <v>386</v>
      </c>
      <c r="K1138">
        <v>1000000</v>
      </c>
      <c r="L1138">
        <v>121</v>
      </c>
      <c r="M1138">
        <v>121</v>
      </c>
      <c r="N1138">
        <v>221</v>
      </c>
      <c r="O1138">
        <v>0</v>
      </c>
      <c r="P1138">
        <v>332</v>
      </c>
      <c r="Q1138">
        <v>502</v>
      </c>
      <c r="R1138">
        <v>509</v>
      </c>
      <c r="S1138">
        <v>351</v>
      </c>
      <c r="T1138">
        <v>0</v>
      </c>
      <c r="U1138">
        <v>3528</v>
      </c>
      <c r="V1138">
        <v>27309.19767881</v>
      </c>
      <c r="AH1138">
        <f t="shared" si="158"/>
        <v>121</v>
      </c>
      <c r="AI1138">
        <f t="shared" si="159"/>
        <v>221</v>
      </c>
      <c r="AJ1138" t="str">
        <f t="shared" si="160"/>
        <v/>
      </c>
      <c r="AK1138">
        <f t="shared" si="161"/>
        <v>332</v>
      </c>
      <c r="AL1138">
        <f t="shared" si="154"/>
        <v>502</v>
      </c>
      <c r="AM1138">
        <f t="shared" si="155"/>
        <v>509</v>
      </c>
      <c r="AN1138">
        <f t="shared" si="156"/>
        <v>351</v>
      </c>
      <c r="AO1138" t="str">
        <f t="shared" si="157"/>
        <v/>
      </c>
    </row>
    <row r="1139" spans="1:41">
      <c r="A1139">
        <f t="shared" si="162"/>
        <v>1135</v>
      </c>
      <c r="B1139" t="s">
        <v>277</v>
      </c>
      <c r="C1139">
        <v>5</v>
      </c>
      <c r="D1139">
        <v>5</v>
      </c>
      <c r="E1139" t="s">
        <v>387</v>
      </c>
      <c r="F1139">
        <v>412</v>
      </c>
      <c r="G1139">
        <v>2</v>
      </c>
      <c r="H1139">
        <v>34</v>
      </c>
      <c r="I1139" t="s">
        <v>386</v>
      </c>
      <c r="J1139" t="s">
        <v>386</v>
      </c>
      <c r="K1139">
        <v>1000000</v>
      </c>
      <c r="L1139">
        <v>137</v>
      </c>
      <c r="M1139">
        <v>137</v>
      </c>
      <c r="N1139">
        <v>241</v>
      </c>
      <c r="O1139">
        <v>0</v>
      </c>
      <c r="P1139">
        <v>349</v>
      </c>
      <c r="Q1139">
        <v>538</v>
      </c>
      <c r="R1139">
        <v>568</v>
      </c>
      <c r="S1139">
        <v>411</v>
      </c>
      <c r="T1139">
        <v>0</v>
      </c>
      <c r="U1139">
        <v>3631</v>
      </c>
      <c r="V1139">
        <v>27512.096135749998</v>
      </c>
      <c r="AH1139">
        <f t="shared" si="158"/>
        <v>137</v>
      </c>
      <c r="AI1139">
        <f t="shared" si="159"/>
        <v>241</v>
      </c>
      <c r="AJ1139" t="str">
        <f t="shared" si="160"/>
        <v/>
      </c>
      <c r="AK1139">
        <f t="shared" si="161"/>
        <v>349</v>
      </c>
      <c r="AL1139">
        <f t="shared" si="154"/>
        <v>538</v>
      </c>
      <c r="AM1139">
        <f t="shared" si="155"/>
        <v>568</v>
      </c>
      <c r="AN1139">
        <f t="shared" si="156"/>
        <v>411</v>
      </c>
      <c r="AO1139" t="str">
        <f t="shared" si="157"/>
        <v/>
      </c>
    </row>
    <row r="1140" spans="1:41">
      <c r="A1140">
        <f t="shared" si="162"/>
        <v>1136</v>
      </c>
      <c r="B1140" t="s">
        <v>277</v>
      </c>
      <c r="C1140">
        <v>5</v>
      </c>
      <c r="D1140">
        <v>5</v>
      </c>
      <c r="E1140" t="s">
        <v>387</v>
      </c>
      <c r="F1140">
        <v>412</v>
      </c>
      <c r="G1140">
        <v>2</v>
      </c>
      <c r="H1140">
        <v>35</v>
      </c>
      <c r="I1140" t="s">
        <v>386</v>
      </c>
      <c r="J1140" t="s">
        <v>386</v>
      </c>
      <c r="K1140">
        <v>1000000</v>
      </c>
      <c r="L1140">
        <v>155</v>
      </c>
      <c r="M1140">
        <v>155</v>
      </c>
      <c r="N1140">
        <v>265</v>
      </c>
      <c r="O1140">
        <v>0</v>
      </c>
      <c r="P1140">
        <v>395</v>
      </c>
      <c r="Q1140">
        <v>637</v>
      </c>
      <c r="R1140">
        <v>697</v>
      </c>
      <c r="S1140">
        <v>509</v>
      </c>
      <c r="T1140">
        <v>0</v>
      </c>
      <c r="U1140">
        <v>3749</v>
      </c>
      <c r="V1140">
        <v>27733.366871800001</v>
      </c>
      <c r="AH1140">
        <f t="shared" si="158"/>
        <v>155</v>
      </c>
      <c r="AI1140">
        <f t="shared" si="159"/>
        <v>265</v>
      </c>
      <c r="AJ1140" t="str">
        <f t="shared" si="160"/>
        <v/>
      </c>
      <c r="AK1140">
        <f t="shared" si="161"/>
        <v>395</v>
      </c>
      <c r="AL1140">
        <f t="shared" si="154"/>
        <v>637</v>
      </c>
      <c r="AM1140">
        <f t="shared" si="155"/>
        <v>697</v>
      </c>
      <c r="AN1140">
        <f t="shared" si="156"/>
        <v>509</v>
      </c>
      <c r="AO1140" t="str">
        <f t="shared" si="157"/>
        <v/>
      </c>
    </row>
    <row r="1141" spans="1:41">
      <c r="A1141">
        <f t="shared" si="162"/>
        <v>1137</v>
      </c>
      <c r="B1141" t="s">
        <v>277</v>
      </c>
      <c r="C1141">
        <v>5</v>
      </c>
      <c r="D1141">
        <v>5</v>
      </c>
      <c r="E1141" t="s">
        <v>387</v>
      </c>
      <c r="F1141">
        <v>412</v>
      </c>
      <c r="G1141">
        <v>2</v>
      </c>
      <c r="H1141">
        <v>36</v>
      </c>
      <c r="I1141" t="s">
        <v>386</v>
      </c>
      <c r="J1141" t="s">
        <v>386</v>
      </c>
      <c r="K1141">
        <v>1000000</v>
      </c>
      <c r="L1141">
        <v>175</v>
      </c>
      <c r="M1141">
        <v>175</v>
      </c>
      <c r="N1141">
        <v>293</v>
      </c>
      <c r="O1141">
        <v>0</v>
      </c>
      <c r="P1141">
        <v>481</v>
      </c>
      <c r="Q1141">
        <v>787</v>
      </c>
      <c r="R1141">
        <v>852</v>
      </c>
      <c r="S1141">
        <v>603</v>
      </c>
      <c r="T1141">
        <v>0</v>
      </c>
      <c r="U1141">
        <v>3886</v>
      </c>
      <c r="V1141">
        <v>27972.324652809999</v>
      </c>
      <c r="AH1141">
        <f t="shared" si="158"/>
        <v>175</v>
      </c>
      <c r="AI1141">
        <f t="shared" si="159"/>
        <v>293</v>
      </c>
      <c r="AJ1141" t="str">
        <f t="shared" si="160"/>
        <v/>
      </c>
      <c r="AK1141">
        <f t="shared" si="161"/>
        <v>481</v>
      </c>
      <c r="AL1141">
        <f t="shared" si="154"/>
        <v>787</v>
      </c>
      <c r="AM1141">
        <f t="shared" si="155"/>
        <v>852</v>
      </c>
      <c r="AN1141">
        <f t="shared" si="156"/>
        <v>603</v>
      </c>
      <c r="AO1141" t="str">
        <f t="shared" si="157"/>
        <v/>
      </c>
    </row>
    <row r="1142" spans="1:41">
      <c r="A1142">
        <f t="shared" si="162"/>
        <v>1138</v>
      </c>
      <c r="B1142" t="s">
        <v>277</v>
      </c>
      <c r="C1142">
        <v>5</v>
      </c>
      <c r="D1142">
        <v>5</v>
      </c>
      <c r="E1142" t="s">
        <v>387</v>
      </c>
      <c r="F1142">
        <v>412</v>
      </c>
      <c r="G1142">
        <v>2</v>
      </c>
      <c r="H1142">
        <v>37</v>
      </c>
      <c r="I1142" t="s">
        <v>386</v>
      </c>
      <c r="J1142" t="s">
        <v>386</v>
      </c>
      <c r="K1142">
        <v>1000000</v>
      </c>
      <c r="L1142">
        <v>198</v>
      </c>
      <c r="M1142">
        <v>198</v>
      </c>
      <c r="N1142">
        <v>324</v>
      </c>
      <c r="O1142">
        <v>0</v>
      </c>
      <c r="P1142">
        <v>575</v>
      </c>
      <c r="Q1142">
        <v>917</v>
      </c>
      <c r="R1142">
        <v>952</v>
      </c>
      <c r="S1142">
        <v>642</v>
      </c>
      <c r="T1142">
        <v>0</v>
      </c>
      <c r="U1142">
        <v>4041</v>
      </c>
      <c r="V1142">
        <v>28228.070286440001</v>
      </c>
      <c r="AH1142">
        <f t="shared" si="158"/>
        <v>198</v>
      </c>
      <c r="AI1142">
        <f t="shared" si="159"/>
        <v>324</v>
      </c>
      <c r="AJ1142" t="str">
        <f t="shared" si="160"/>
        <v/>
      </c>
      <c r="AK1142">
        <f t="shared" si="161"/>
        <v>575</v>
      </c>
      <c r="AL1142">
        <f t="shared" si="154"/>
        <v>917</v>
      </c>
      <c r="AM1142">
        <f t="shared" si="155"/>
        <v>952</v>
      </c>
      <c r="AN1142">
        <f t="shared" si="156"/>
        <v>642</v>
      </c>
      <c r="AO1142" t="str">
        <f t="shared" si="157"/>
        <v/>
      </c>
    </row>
    <row r="1143" spans="1:41">
      <c r="A1143">
        <f t="shared" si="162"/>
        <v>1139</v>
      </c>
      <c r="B1143" t="s">
        <v>277</v>
      </c>
      <c r="C1143">
        <v>5</v>
      </c>
      <c r="D1143">
        <v>5</v>
      </c>
      <c r="E1143" t="s">
        <v>387</v>
      </c>
      <c r="F1143">
        <v>412</v>
      </c>
      <c r="G1143">
        <v>2</v>
      </c>
      <c r="H1143">
        <v>38</v>
      </c>
      <c r="I1143" t="s">
        <v>386</v>
      </c>
      <c r="J1143" t="s">
        <v>386</v>
      </c>
      <c r="K1143">
        <v>1000000</v>
      </c>
      <c r="L1143">
        <v>223</v>
      </c>
      <c r="M1143">
        <v>223</v>
      </c>
      <c r="N1143">
        <v>357</v>
      </c>
      <c r="O1143">
        <v>0</v>
      </c>
      <c r="P1143">
        <v>623</v>
      </c>
      <c r="Q1143">
        <v>948</v>
      </c>
      <c r="R1143">
        <v>935</v>
      </c>
      <c r="S1143">
        <v>598</v>
      </c>
      <c r="T1143">
        <v>0</v>
      </c>
      <c r="U1143">
        <v>4204</v>
      </c>
      <c r="V1143">
        <v>28499.53747227</v>
      </c>
      <c r="AH1143">
        <f t="shared" si="158"/>
        <v>223</v>
      </c>
      <c r="AI1143">
        <f t="shared" si="159"/>
        <v>357</v>
      </c>
      <c r="AJ1143" t="str">
        <f t="shared" si="160"/>
        <v/>
      </c>
      <c r="AK1143">
        <f t="shared" si="161"/>
        <v>623</v>
      </c>
      <c r="AL1143">
        <f t="shared" si="154"/>
        <v>948</v>
      </c>
      <c r="AM1143">
        <f t="shared" si="155"/>
        <v>935</v>
      </c>
      <c r="AN1143">
        <f t="shared" si="156"/>
        <v>598</v>
      </c>
      <c r="AO1143" t="str">
        <f t="shared" si="157"/>
        <v/>
      </c>
    </row>
    <row r="1144" spans="1:41">
      <c r="A1144">
        <f t="shared" si="162"/>
        <v>1140</v>
      </c>
      <c r="B1144" t="s">
        <v>277</v>
      </c>
      <c r="C1144">
        <v>5</v>
      </c>
      <c r="D1144">
        <v>5</v>
      </c>
      <c r="E1144" t="s">
        <v>387</v>
      </c>
      <c r="F1144">
        <v>412</v>
      </c>
      <c r="G1144">
        <v>2</v>
      </c>
      <c r="H1144">
        <v>39</v>
      </c>
      <c r="I1144" t="s">
        <v>386</v>
      </c>
      <c r="J1144" t="s">
        <v>386</v>
      </c>
      <c r="K1144">
        <v>1000000</v>
      </c>
      <c r="L1144">
        <v>246</v>
      </c>
      <c r="M1144">
        <v>246</v>
      </c>
      <c r="N1144">
        <v>389</v>
      </c>
      <c r="O1144">
        <v>0</v>
      </c>
      <c r="P1144">
        <v>593</v>
      </c>
      <c r="Q1144">
        <v>856</v>
      </c>
      <c r="R1144">
        <v>804</v>
      </c>
      <c r="S1144">
        <v>497</v>
      </c>
      <c r="T1144">
        <v>0</v>
      </c>
      <c r="U1144">
        <v>4361</v>
      </c>
      <c r="V1144">
        <v>28786.22954955</v>
      </c>
      <c r="AH1144">
        <f t="shared" si="158"/>
        <v>246</v>
      </c>
      <c r="AI1144">
        <f t="shared" si="159"/>
        <v>389</v>
      </c>
      <c r="AJ1144" t="str">
        <f t="shared" si="160"/>
        <v/>
      </c>
      <c r="AK1144">
        <f t="shared" si="161"/>
        <v>593</v>
      </c>
      <c r="AL1144">
        <f t="shared" si="154"/>
        <v>856</v>
      </c>
      <c r="AM1144">
        <f t="shared" si="155"/>
        <v>804</v>
      </c>
      <c r="AN1144">
        <f t="shared" si="156"/>
        <v>497</v>
      </c>
      <c r="AO1144" t="str">
        <f t="shared" si="157"/>
        <v/>
      </c>
    </row>
    <row r="1145" spans="1:41">
      <c r="A1145">
        <f t="shared" si="162"/>
        <v>1141</v>
      </c>
      <c r="B1145" t="s">
        <v>277</v>
      </c>
      <c r="C1145">
        <v>5</v>
      </c>
      <c r="D1145">
        <v>5</v>
      </c>
      <c r="E1145" t="s">
        <v>387</v>
      </c>
      <c r="F1145">
        <v>412</v>
      </c>
      <c r="G1145">
        <v>2</v>
      </c>
      <c r="H1145">
        <v>40</v>
      </c>
      <c r="I1145" t="s">
        <v>386</v>
      </c>
      <c r="J1145" t="s">
        <v>386</v>
      </c>
      <c r="K1145">
        <v>1000000</v>
      </c>
      <c r="L1145">
        <v>267</v>
      </c>
      <c r="M1145">
        <v>267</v>
      </c>
      <c r="N1145">
        <v>416</v>
      </c>
      <c r="O1145">
        <v>0</v>
      </c>
      <c r="P1145">
        <v>498</v>
      </c>
      <c r="Q1145">
        <v>687</v>
      </c>
      <c r="R1145">
        <v>629</v>
      </c>
      <c r="S1145">
        <v>388</v>
      </c>
      <c r="T1145">
        <v>0</v>
      </c>
      <c r="U1145">
        <v>4499</v>
      </c>
      <c r="V1145">
        <v>29088.478090469998</v>
      </c>
      <c r="AH1145">
        <f t="shared" si="158"/>
        <v>267</v>
      </c>
      <c r="AI1145">
        <f t="shared" si="159"/>
        <v>416</v>
      </c>
      <c r="AJ1145" t="str">
        <f t="shared" si="160"/>
        <v/>
      </c>
      <c r="AK1145">
        <f t="shared" si="161"/>
        <v>498</v>
      </c>
      <c r="AL1145">
        <f t="shared" si="154"/>
        <v>687</v>
      </c>
      <c r="AM1145">
        <f t="shared" si="155"/>
        <v>629</v>
      </c>
      <c r="AN1145">
        <f t="shared" si="156"/>
        <v>388</v>
      </c>
      <c r="AO1145" t="str">
        <f t="shared" si="157"/>
        <v/>
      </c>
    </row>
    <row r="1146" spans="1:41">
      <c r="A1146">
        <f t="shared" si="162"/>
        <v>1142</v>
      </c>
      <c r="B1146" t="s">
        <v>277</v>
      </c>
      <c r="C1146">
        <v>5</v>
      </c>
      <c r="D1146">
        <v>5</v>
      </c>
      <c r="E1146" t="s">
        <v>387</v>
      </c>
      <c r="F1146">
        <v>412</v>
      </c>
      <c r="G1146">
        <v>2</v>
      </c>
      <c r="H1146">
        <v>41</v>
      </c>
      <c r="I1146" t="s">
        <v>386</v>
      </c>
      <c r="J1146" t="s">
        <v>386</v>
      </c>
      <c r="K1146">
        <v>1000000</v>
      </c>
      <c r="L1146">
        <v>284</v>
      </c>
      <c r="M1146">
        <v>284</v>
      </c>
      <c r="N1146">
        <v>439</v>
      </c>
      <c r="O1146">
        <v>0</v>
      </c>
      <c r="P1146">
        <v>383</v>
      </c>
      <c r="Q1146">
        <v>523</v>
      </c>
      <c r="R1146">
        <v>486</v>
      </c>
      <c r="S1146">
        <v>309</v>
      </c>
      <c r="T1146">
        <v>0</v>
      </c>
      <c r="U1146">
        <v>4613</v>
      </c>
      <c r="V1146">
        <v>29406.25931582</v>
      </c>
      <c r="AH1146">
        <f t="shared" si="158"/>
        <v>284</v>
      </c>
      <c r="AI1146">
        <f t="shared" si="159"/>
        <v>439</v>
      </c>
      <c r="AJ1146" t="str">
        <f t="shared" si="160"/>
        <v/>
      </c>
      <c r="AK1146">
        <f t="shared" si="161"/>
        <v>383</v>
      </c>
      <c r="AL1146">
        <f t="shared" si="154"/>
        <v>523</v>
      </c>
      <c r="AM1146">
        <f t="shared" si="155"/>
        <v>486</v>
      </c>
      <c r="AN1146">
        <f t="shared" si="156"/>
        <v>309</v>
      </c>
      <c r="AO1146" t="str">
        <f t="shared" si="157"/>
        <v/>
      </c>
    </row>
    <row r="1147" spans="1:41">
      <c r="A1147">
        <f t="shared" si="162"/>
        <v>1143</v>
      </c>
      <c r="B1147" t="s">
        <v>277</v>
      </c>
      <c r="C1147">
        <v>5</v>
      </c>
      <c r="D1147">
        <v>5</v>
      </c>
      <c r="E1147" t="s">
        <v>387</v>
      </c>
      <c r="F1147">
        <v>412</v>
      </c>
      <c r="G1147">
        <v>2</v>
      </c>
      <c r="H1147">
        <v>42</v>
      </c>
      <c r="I1147" t="s">
        <v>386</v>
      </c>
      <c r="J1147" t="s">
        <v>386</v>
      </c>
      <c r="K1147">
        <v>1000000</v>
      </c>
      <c r="L1147">
        <v>297</v>
      </c>
      <c r="M1147">
        <v>297</v>
      </c>
      <c r="N1147">
        <v>457</v>
      </c>
      <c r="O1147">
        <v>0</v>
      </c>
      <c r="P1147">
        <v>290</v>
      </c>
      <c r="Q1147">
        <v>407</v>
      </c>
      <c r="R1147">
        <v>388</v>
      </c>
      <c r="S1147">
        <v>242</v>
      </c>
      <c r="T1147">
        <v>0</v>
      </c>
      <c r="U1147">
        <v>4701</v>
      </c>
      <c r="V1147">
        <v>29738.929688510001</v>
      </c>
      <c r="AH1147">
        <f t="shared" si="158"/>
        <v>297</v>
      </c>
      <c r="AI1147">
        <f t="shared" si="159"/>
        <v>457</v>
      </c>
      <c r="AJ1147" t="str">
        <f t="shared" si="160"/>
        <v/>
      </c>
      <c r="AK1147">
        <f t="shared" si="161"/>
        <v>290</v>
      </c>
      <c r="AL1147">
        <f t="shared" si="154"/>
        <v>407</v>
      </c>
      <c r="AM1147">
        <f t="shared" si="155"/>
        <v>388</v>
      </c>
      <c r="AN1147">
        <f t="shared" si="156"/>
        <v>242</v>
      </c>
      <c r="AO1147" t="str">
        <f t="shared" si="157"/>
        <v/>
      </c>
    </row>
    <row r="1148" spans="1:41">
      <c r="A1148">
        <f t="shared" si="162"/>
        <v>1144</v>
      </c>
      <c r="B1148" t="s">
        <v>277</v>
      </c>
      <c r="C1148">
        <v>5</v>
      </c>
      <c r="D1148">
        <v>5</v>
      </c>
      <c r="E1148" t="s">
        <v>387</v>
      </c>
      <c r="F1148">
        <v>412</v>
      </c>
      <c r="G1148">
        <v>2</v>
      </c>
      <c r="H1148">
        <v>43</v>
      </c>
      <c r="I1148" t="s">
        <v>386</v>
      </c>
      <c r="J1148" t="s">
        <v>386</v>
      </c>
      <c r="K1148">
        <v>1000000</v>
      </c>
      <c r="L1148">
        <v>308</v>
      </c>
      <c r="M1148">
        <v>308</v>
      </c>
      <c r="N1148">
        <v>471</v>
      </c>
      <c r="O1148">
        <v>0</v>
      </c>
      <c r="P1148">
        <v>234</v>
      </c>
      <c r="Q1148">
        <v>335</v>
      </c>
      <c r="R1148">
        <v>312</v>
      </c>
      <c r="S1148">
        <v>197</v>
      </c>
      <c r="T1148">
        <v>0</v>
      </c>
      <c r="U1148">
        <v>4770</v>
      </c>
      <c r="V1148">
        <v>30085.426885379999</v>
      </c>
      <c r="AH1148">
        <f t="shared" si="158"/>
        <v>308</v>
      </c>
      <c r="AI1148">
        <f t="shared" si="159"/>
        <v>471</v>
      </c>
      <c r="AJ1148" t="str">
        <f t="shared" si="160"/>
        <v/>
      </c>
      <c r="AK1148">
        <f t="shared" si="161"/>
        <v>234</v>
      </c>
      <c r="AL1148">
        <f t="shared" si="154"/>
        <v>335</v>
      </c>
      <c r="AM1148">
        <f t="shared" si="155"/>
        <v>312</v>
      </c>
      <c r="AN1148">
        <f t="shared" si="156"/>
        <v>197</v>
      </c>
      <c r="AO1148" t="str">
        <f t="shared" si="157"/>
        <v/>
      </c>
    </row>
    <row r="1149" spans="1:41">
      <c r="A1149">
        <f t="shared" si="162"/>
        <v>1145</v>
      </c>
      <c r="B1149" t="s">
        <v>277</v>
      </c>
      <c r="C1149">
        <v>5</v>
      </c>
      <c r="D1149">
        <v>5</v>
      </c>
      <c r="E1149" t="s">
        <v>387</v>
      </c>
      <c r="F1149">
        <v>412</v>
      </c>
      <c r="G1149">
        <v>2</v>
      </c>
      <c r="H1149">
        <v>44</v>
      </c>
      <c r="I1149" t="s">
        <v>386</v>
      </c>
      <c r="J1149" t="s">
        <v>386</v>
      </c>
      <c r="K1149">
        <v>1000000</v>
      </c>
      <c r="L1149">
        <v>316</v>
      </c>
      <c r="M1149">
        <v>316</v>
      </c>
      <c r="N1149">
        <v>483</v>
      </c>
      <c r="O1149">
        <v>0</v>
      </c>
      <c r="P1149">
        <v>203</v>
      </c>
      <c r="Q1149">
        <v>284</v>
      </c>
      <c r="R1149">
        <v>276</v>
      </c>
      <c r="S1149">
        <v>189</v>
      </c>
      <c r="T1149">
        <v>0</v>
      </c>
      <c r="U1149">
        <v>4829</v>
      </c>
      <c r="V1149">
        <v>30444.527573290001</v>
      </c>
      <c r="AH1149">
        <f t="shared" si="158"/>
        <v>316</v>
      </c>
      <c r="AI1149">
        <f t="shared" si="159"/>
        <v>483</v>
      </c>
      <c r="AJ1149" t="str">
        <f t="shared" si="160"/>
        <v/>
      </c>
      <c r="AK1149">
        <f t="shared" si="161"/>
        <v>203</v>
      </c>
      <c r="AL1149">
        <f t="shared" si="154"/>
        <v>284</v>
      </c>
      <c r="AM1149">
        <f t="shared" si="155"/>
        <v>276</v>
      </c>
      <c r="AN1149">
        <f t="shared" si="156"/>
        <v>189</v>
      </c>
      <c r="AO1149" t="str">
        <f t="shared" si="157"/>
        <v/>
      </c>
    </row>
    <row r="1150" spans="1:41">
      <c r="A1150">
        <f t="shared" si="162"/>
        <v>1146</v>
      </c>
      <c r="B1150" t="s">
        <v>277</v>
      </c>
      <c r="C1150">
        <v>5</v>
      </c>
      <c r="D1150">
        <v>5</v>
      </c>
      <c r="E1150" t="s">
        <v>387</v>
      </c>
      <c r="F1150">
        <v>412</v>
      </c>
      <c r="G1150">
        <v>2</v>
      </c>
      <c r="H1150">
        <v>45</v>
      </c>
      <c r="I1150" t="s">
        <v>386</v>
      </c>
      <c r="J1150" t="s">
        <v>386</v>
      </c>
      <c r="K1150">
        <v>1000000</v>
      </c>
      <c r="L1150">
        <v>325</v>
      </c>
      <c r="M1150">
        <v>325</v>
      </c>
      <c r="N1150">
        <v>495</v>
      </c>
      <c r="O1150">
        <v>0</v>
      </c>
      <c r="P1150">
        <v>182</v>
      </c>
      <c r="Q1150">
        <v>277</v>
      </c>
      <c r="R1150">
        <v>296</v>
      </c>
      <c r="S1150">
        <v>216</v>
      </c>
      <c r="T1150">
        <v>0</v>
      </c>
      <c r="U1150">
        <v>4887</v>
      </c>
      <c r="V1150">
        <v>30814.85121922</v>
      </c>
      <c r="AH1150">
        <f t="shared" si="158"/>
        <v>325</v>
      </c>
      <c r="AI1150">
        <f t="shared" si="159"/>
        <v>495</v>
      </c>
      <c r="AJ1150" t="str">
        <f t="shared" si="160"/>
        <v/>
      </c>
      <c r="AK1150">
        <f t="shared" si="161"/>
        <v>182</v>
      </c>
      <c r="AL1150">
        <f t="shared" si="154"/>
        <v>277</v>
      </c>
      <c r="AM1150">
        <f t="shared" si="155"/>
        <v>296</v>
      </c>
      <c r="AN1150">
        <f t="shared" si="156"/>
        <v>216</v>
      </c>
      <c r="AO1150" t="str">
        <f t="shared" si="157"/>
        <v/>
      </c>
    </row>
    <row r="1151" spans="1:41">
      <c r="A1151">
        <f t="shared" si="162"/>
        <v>1147</v>
      </c>
      <c r="B1151" t="s">
        <v>277</v>
      </c>
      <c r="C1151">
        <v>5</v>
      </c>
      <c r="D1151">
        <v>5</v>
      </c>
      <c r="E1151" t="s">
        <v>387</v>
      </c>
      <c r="F1151">
        <v>412</v>
      </c>
      <c r="G1151">
        <v>2</v>
      </c>
      <c r="H1151">
        <v>46</v>
      </c>
      <c r="I1151" t="s">
        <v>386</v>
      </c>
      <c r="J1151" t="s">
        <v>386</v>
      </c>
      <c r="K1151">
        <v>1000000</v>
      </c>
      <c r="L1151">
        <v>334</v>
      </c>
      <c r="M1151">
        <v>334</v>
      </c>
      <c r="N1151">
        <v>507</v>
      </c>
      <c r="O1151">
        <v>0</v>
      </c>
      <c r="P1151">
        <v>200</v>
      </c>
      <c r="Q1151">
        <v>326</v>
      </c>
      <c r="R1151">
        <v>357</v>
      </c>
      <c r="S1151">
        <v>255</v>
      </c>
      <c r="T1151">
        <v>0</v>
      </c>
      <c r="U1151">
        <v>4947</v>
      </c>
      <c r="V1151">
        <v>31194.941593830001</v>
      </c>
      <c r="AH1151">
        <f t="shared" si="158"/>
        <v>334</v>
      </c>
      <c r="AI1151">
        <f t="shared" si="159"/>
        <v>507</v>
      </c>
      <c r="AJ1151" t="str">
        <f t="shared" si="160"/>
        <v/>
      </c>
      <c r="AK1151">
        <f t="shared" si="161"/>
        <v>200</v>
      </c>
      <c r="AL1151">
        <f t="shared" si="154"/>
        <v>326</v>
      </c>
      <c r="AM1151">
        <f t="shared" si="155"/>
        <v>357</v>
      </c>
      <c r="AN1151">
        <f t="shared" si="156"/>
        <v>255</v>
      </c>
      <c r="AO1151" t="str">
        <f t="shared" si="157"/>
        <v/>
      </c>
    </row>
    <row r="1152" spans="1:41">
      <c r="A1152">
        <f t="shared" si="162"/>
        <v>1148</v>
      </c>
      <c r="B1152" t="s">
        <v>277</v>
      </c>
      <c r="C1152">
        <v>5</v>
      </c>
      <c r="D1152">
        <v>5</v>
      </c>
      <c r="E1152" t="s">
        <v>387</v>
      </c>
      <c r="F1152">
        <v>412</v>
      </c>
      <c r="G1152">
        <v>2</v>
      </c>
      <c r="H1152">
        <v>47</v>
      </c>
      <c r="I1152" t="s">
        <v>386</v>
      </c>
      <c r="J1152" t="s">
        <v>386</v>
      </c>
      <c r="K1152">
        <v>1000000</v>
      </c>
      <c r="L1152">
        <v>344</v>
      </c>
      <c r="M1152">
        <v>344</v>
      </c>
      <c r="N1152">
        <v>520</v>
      </c>
      <c r="O1152">
        <v>0</v>
      </c>
      <c r="P1152">
        <v>240</v>
      </c>
      <c r="Q1152">
        <v>387</v>
      </c>
      <c r="R1152">
        <v>405</v>
      </c>
      <c r="S1152">
        <v>273</v>
      </c>
      <c r="T1152">
        <v>0</v>
      </c>
      <c r="U1152">
        <v>5012</v>
      </c>
      <c r="V1152">
        <v>31582.75830831</v>
      </c>
      <c r="AH1152">
        <f t="shared" si="158"/>
        <v>344</v>
      </c>
      <c r="AI1152">
        <f t="shared" si="159"/>
        <v>520</v>
      </c>
      <c r="AJ1152" t="str">
        <f t="shared" si="160"/>
        <v/>
      </c>
      <c r="AK1152">
        <f t="shared" si="161"/>
        <v>240</v>
      </c>
      <c r="AL1152">
        <f t="shared" si="154"/>
        <v>387</v>
      </c>
      <c r="AM1152">
        <f t="shared" si="155"/>
        <v>405</v>
      </c>
      <c r="AN1152">
        <f t="shared" si="156"/>
        <v>273</v>
      </c>
      <c r="AO1152" t="str">
        <f t="shared" si="157"/>
        <v/>
      </c>
    </row>
    <row r="1153" spans="1:41">
      <c r="A1153">
        <f t="shared" si="162"/>
        <v>1149</v>
      </c>
      <c r="B1153" t="s">
        <v>277</v>
      </c>
      <c r="C1153">
        <v>5</v>
      </c>
      <c r="D1153">
        <v>5</v>
      </c>
      <c r="E1153" t="s">
        <v>387</v>
      </c>
      <c r="F1153">
        <v>412</v>
      </c>
      <c r="G1153">
        <v>2</v>
      </c>
      <c r="H1153">
        <v>48</v>
      </c>
      <c r="I1153" t="s">
        <v>386</v>
      </c>
      <c r="J1153" t="s">
        <v>386</v>
      </c>
      <c r="K1153">
        <v>1000000</v>
      </c>
      <c r="L1153">
        <v>354</v>
      </c>
      <c r="M1153">
        <v>354</v>
      </c>
      <c r="N1153">
        <v>534</v>
      </c>
      <c r="O1153">
        <v>0</v>
      </c>
      <c r="P1153">
        <v>266</v>
      </c>
      <c r="Q1153">
        <v>406</v>
      </c>
      <c r="R1153">
        <v>400</v>
      </c>
      <c r="S1153">
        <v>257</v>
      </c>
      <c r="T1153">
        <v>0</v>
      </c>
      <c r="U1153">
        <v>5081</v>
      </c>
      <c r="V1153">
        <v>31975.431172119999</v>
      </c>
      <c r="AH1153">
        <f t="shared" si="158"/>
        <v>354</v>
      </c>
      <c r="AI1153">
        <f t="shared" si="159"/>
        <v>534</v>
      </c>
      <c r="AJ1153" t="str">
        <f t="shared" si="160"/>
        <v/>
      </c>
      <c r="AK1153">
        <f t="shared" si="161"/>
        <v>266</v>
      </c>
      <c r="AL1153">
        <f t="shared" si="154"/>
        <v>406</v>
      </c>
      <c r="AM1153">
        <f t="shared" si="155"/>
        <v>400</v>
      </c>
      <c r="AN1153">
        <f t="shared" si="156"/>
        <v>257</v>
      </c>
      <c r="AO1153" t="str">
        <f t="shared" si="157"/>
        <v/>
      </c>
    </row>
    <row r="1154" spans="1:41">
      <c r="A1154">
        <f t="shared" si="162"/>
        <v>1150</v>
      </c>
      <c r="B1154" t="s">
        <v>277</v>
      </c>
      <c r="C1154">
        <v>5</v>
      </c>
      <c r="D1154">
        <v>5</v>
      </c>
      <c r="E1154" t="s">
        <v>387</v>
      </c>
      <c r="F1154">
        <v>412</v>
      </c>
      <c r="G1154">
        <v>2</v>
      </c>
      <c r="H1154">
        <v>49</v>
      </c>
      <c r="I1154" t="s">
        <v>386</v>
      </c>
      <c r="J1154" t="s">
        <v>386</v>
      </c>
      <c r="K1154">
        <v>1000000</v>
      </c>
      <c r="L1154">
        <v>365</v>
      </c>
      <c r="M1154">
        <v>365</v>
      </c>
      <c r="N1154">
        <v>548</v>
      </c>
      <c r="O1154">
        <v>0</v>
      </c>
      <c r="P1154">
        <v>258</v>
      </c>
      <c r="Q1154">
        <v>372</v>
      </c>
      <c r="R1154">
        <v>353</v>
      </c>
      <c r="S1154">
        <v>224</v>
      </c>
      <c r="T1154">
        <v>0</v>
      </c>
      <c r="U1154">
        <v>5150</v>
      </c>
      <c r="V1154">
        <v>32369.799773710001</v>
      </c>
      <c r="AH1154">
        <f t="shared" si="158"/>
        <v>365</v>
      </c>
      <c r="AI1154">
        <f t="shared" si="159"/>
        <v>548</v>
      </c>
      <c r="AJ1154" t="str">
        <f t="shared" si="160"/>
        <v/>
      </c>
      <c r="AK1154">
        <f t="shared" si="161"/>
        <v>258</v>
      </c>
      <c r="AL1154">
        <f t="shared" si="154"/>
        <v>372</v>
      </c>
      <c r="AM1154">
        <f t="shared" si="155"/>
        <v>353</v>
      </c>
      <c r="AN1154">
        <f t="shared" si="156"/>
        <v>224</v>
      </c>
      <c r="AO1154" t="str">
        <f t="shared" si="157"/>
        <v/>
      </c>
    </row>
    <row r="1155" spans="1:41">
      <c r="A1155">
        <f t="shared" si="162"/>
        <v>1151</v>
      </c>
      <c r="B1155" t="s">
        <v>277</v>
      </c>
      <c r="C1155">
        <v>5</v>
      </c>
      <c r="D1155">
        <v>5</v>
      </c>
      <c r="E1155" t="s">
        <v>387</v>
      </c>
      <c r="F1155">
        <v>412</v>
      </c>
      <c r="G1155">
        <v>2</v>
      </c>
      <c r="H1155">
        <v>50</v>
      </c>
      <c r="I1155" t="s">
        <v>386</v>
      </c>
      <c r="J1155" t="s">
        <v>386</v>
      </c>
      <c r="K1155">
        <v>1000000</v>
      </c>
      <c r="L1155">
        <v>374</v>
      </c>
      <c r="M1155">
        <v>374</v>
      </c>
      <c r="N1155">
        <v>561</v>
      </c>
      <c r="O1155">
        <v>0</v>
      </c>
      <c r="P1155">
        <v>226</v>
      </c>
      <c r="Q1155">
        <v>321</v>
      </c>
      <c r="R1155">
        <v>310</v>
      </c>
      <c r="S1155">
        <v>207</v>
      </c>
      <c r="T1155">
        <v>0</v>
      </c>
      <c r="U1155">
        <v>5215</v>
      </c>
      <c r="V1155">
        <v>32762.650041510002</v>
      </c>
      <c r="AH1155">
        <f t="shared" si="158"/>
        <v>374</v>
      </c>
      <c r="AI1155">
        <f t="shared" si="159"/>
        <v>561</v>
      </c>
      <c r="AJ1155" t="str">
        <f t="shared" si="160"/>
        <v/>
      </c>
      <c r="AK1155">
        <f t="shared" si="161"/>
        <v>226</v>
      </c>
      <c r="AL1155">
        <f t="shared" si="154"/>
        <v>321</v>
      </c>
      <c r="AM1155">
        <f t="shared" si="155"/>
        <v>310</v>
      </c>
      <c r="AN1155">
        <f t="shared" si="156"/>
        <v>207</v>
      </c>
      <c r="AO1155" t="str">
        <f t="shared" si="157"/>
        <v/>
      </c>
    </row>
    <row r="1156" spans="1:41">
      <c r="A1156">
        <f t="shared" si="162"/>
        <v>1152</v>
      </c>
      <c r="B1156" t="s">
        <v>277</v>
      </c>
      <c r="C1156">
        <v>5</v>
      </c>
      <c r="D1156">
        <v>5</v>
      </c>
      <c r="E1156" t="s">
        <v>387</v>
      </c>
      <c r="F1156">
        <v>412</v>
      </c>
      <c r="G1156">
        <v>2</v>
      </c>
      <c r="H1156">
        <v>51</v>
      </c>
      <c r="I1156" t="s">
        <v>386</v>
      </c>
      <c r="J1156" t="s">
        <v>386</v>
      </c>
      <c r="K1156">
        <v>1000000</v>
      </c>
      <c r="L1156">
        <v>384</v>
      </c>
      <c r="M1156">
        <v>384</v>
      </c>
      <c r="N1156">
        <v>573</v>
      </c>
      <c r="O1156">
        <v>0</v>
      </c>
      <c r="P1156">
        <v>203</v>
      </c>
      <c r="Q1156">
        <v>301</v>
      </c>
      <c r="R1156">
        <v>312</v>
      </c>
      <c r="S1156">
        <v>222</v>
      </c>
      <c r="T1156">
        <v>0</v>
      </c>
      <c r="U1156">
        <v>5277</v>
      </c>
      <c r="V1156">
        <v>33149.782774560001</v>
      </c>
      <c r="AH1156">
        <f t="shared" si="158"/>
        <v>384</v>
      </c>
      <c r="AI1156">
        <f t="shared" si="159"/>
        <v>573</v>
      </c>
      <c r="AJ1156" t="str">
        <f t="shared" si="160"/>
        <v/>
      </c>
      <c r="AK1156">
        <f t="shared" si="161"/>
        <v>203</v>
      </c>
      <c r="AL1156">
        <f t="shared" si="154"/>
        <v>301</v>
      </c>
      <c r="AM1156">
        <f t="shared" si="155"/>
        <v>312</v>
      </c>
      <c r="AN1156">
        <f t="shared" si="156"/>
        <v>222</v>
      </c>
      <c r="AO1156" t="str">
        <f t="shared" si="157"/>
        <v/>
      </c>
    </row>
    <row r="1157" spans="1:41">
      <c r="A1157">
        <f t="shared" si="162"/>
        <v>1153</v>
      </c>
      <c r="B1157" t="s">
        <v>277</v>
      </c>
      <c r="C1157">
        <v>5</v>
      </c>
      <c r="D1157">
        <v>5</v>
      </c>
      <c r="E1157" t="s">
        <v>387</v>
      </c>
      <c r="F1157">
        <v>412</v>
      </c>
      <c r="G1157">
        <v>2</v>
      </c>
      <c r="H1157">
        <v>52</v>
      </c>
      <c r="I1157" t="s">
        <v>386</v>
      </c>
      <c r="J1157" t="s">
        <v>386</v>
      </c>
      <c r="K1157">
        <v>1000000</v>
      </c>
      <c r="L1157">
        <v>393</v>
      </c>
      <c r="M1157">
        <v>393</v>
      </c>
      <c r="N1157">
        <v>586</v>
      </c>
      <c r="O1157">
        <v>0</v>
      </c>
      <c r="P1157">
        <v>208</v>
      </c>
      <c r="Q1157">
        <v>332</v>
      </c>
      <c r="R1157">
        <v>357</v>
      </c>
      <c r="S1157">
        <v>254</v>
      </c>
      <c r="T1157">
        <v>0</v>
      </c>
      <c r="U1157">
        <v>5341</v>
      </c>
      <c r="V1157">
        <v>33523.970734249997</v>
      </c>
      <c r="AH1157">
        <f t="shared" si="158"/>
        <v>393</v>
      </c>
      <c r="AI1157">
        <f t="shared" si="159"/>
        <v>586</v>
      </c>
      <c r="AJ1157" t="str">
        <f t="shared" si="160"/>
        <v/>
      </c>
      <c r="AK1157">
        <f t="shared" si="161"/>
        <v>208</v>
      </c>
      <c r="AL1157">
        <f t="shared" ref="AL1157:AL1220" si="163">IF(Q1157=AC1157, "", Q1157-AC1157)</f>
        <v>332</v>
      </c>
      <c r="AM1157">
        <f t="shared" ref="AM1157:AM1220" si="164">IF(R1157=AD1157, "", R1157-AD1157)</f>
        <v>357</v>
      </c>
      <c r="AN1157">
        <f t="shared" ref="AN1157:AN1220" si="165">IF(S1157=AE1157, "", S1157-AE1157)</f>
        <v>254</v>
      </c>
      <c r="AO1157" t="str">
        <f t="shared" ref="AO1157:AO1220" si="166">IF(T1157=AF1157, "", T1157-AF1157)</f>
        <v/>
      </c>
    </row>
    <row r="1158" spans="1:41">
      <c r="A1158">
        <f t="shared" si="162"/>
        <v>1154</v>
      </c>
      <c r="B1158" t="s">
        <v>277</v>
      </c>
      <c r="C1158">
        <v>5</v>
      </c>
      <c r="D1158">
        <v>5</v>
      </c>
      <c r="E1158" t="s">
        <v>387</v>
      </c>
      <c r="F1158">
        <v>412</v>
      </c>
      <c r="G1158">
        <v>2</v>
      </c>
      <c r="H1158">
        <v>53</v>
      </c>
      <c r="I1158" t="s">
        <v>386</v>
      </c>
      <c r="J1158" t="s">
        <v>386</v>
      </c>
      <c r="K1158">
        <v>1000000</v>
      </c>
      <c r="L1158">
        <v>403</v>
      </c>
      <c r="M1158">
        <v>403</v>
      </c>
      <c r="N1158">
        <v>600</v>
      </c>
      <c r="O1158">
        <v>0</v>
      </c>
      <c r="P1158">
        <v>244</v>
      </c>
      <c r="Q1158">
        <v>393</v>
      </c>
      <c r="R1158">
        <v>418</v>
      </c>
      <c r="S1158">
        <v>295</v>
      </c>
      <c r="T1158">
        <v>0</v>
      </c>
      <c r="U1158">
        <v>5409</v>
      </c>
      <c r="V1158">
        <v>33873.92281484</v>
      </c>
      <c r="AH1158">
        <f t="shared" ref="AH1158:AH1221" si="167">IF(L1158=Y1158, "",L1158-Y1158)</f>
        <v>403</v>
      </c>
      <c r="AI1158">
        <f t="shared" ref="AI1158:AI1221" si="168">IF(N1158=Z1158, "", N1158-Z1158)</f>
        <v>600</v>
      </c>
      <c r="AJ1158" t="str">
        <f t="shared" ref="AJ1158:AJ1221" si="169">IF(O1158=AA1158, "", O1158-AA1158)</f>
        <v/>
      </c>
      <c r="AK1158">
        <f t="shared" ref="AK1158:AK1221" si="170">IF(P1158=AB1158, "", P1158-AB1158)</f>
        <v>244</v>
      </c>
      <c r="AL1158">
        <f t="shared" si="163"/>
        <v>393</v>
      </c>
      <c r="AM1158">
        <f t="shared" si="164"/>
        <v>418</v>
      </c>
      <c r="AN1158">
        <f t="shared" si="165"/>
        <v>295</v>
      </c>
      <c r="AO1158" t="str">
        <f t="shared" si="166"/>
        <v/>
      </c>
    </row>
    <row r="1159" spans="1:41">
      <c r="A1159">
        <f t="shared" ref="A1159:A1222" si="171">A1158+1</f>
        <v>1155</v>
      </c>
      <c r="B1159" t="s">
        <v>277</v>
      </c>
      <c r="C1159">
        <v>5</v>
      </c>
      <c r="D1159">
        <v>5</v>
      </c>
      <c r="E1159" t="s">
        <v>387</v>
      </c>
      <c r="F1159">
        <v>412</v>
      </c>
      <c r="G1159">
        <v>2</v>
      </c>
      <c r="H1159">
        <v>54</v>
      </c>
      <c r="I1159" t="s">
        <v>386</v>
      </c>
      <c r="J1159" t="s">
        <v>386</v>
      </c>
      <c r="K1159">
        <v>1000000</v>
      </c>
      <c r="L1159">
        <v>415</v>
      </c>
      <c r="M1159">
        <v>415</v>
      </c>
      <c r="N1159">
        <v>616</v>
      </c>
      <c r="O1159">
        <v>0</v>
      </c>
      <c r="P1159">
        <v>284</v>
      </c>
      <c r="Q1159">
        <v>448</v>
      </c>
      <c r="R1159">
        <v>468</v>
      </c>
      <c r="S1159">
        <v>321</v>
      </c>
      <c r="T1159">
        <v>0</v>
      </c>
      <c r="U1159">
        <v>5488</v>
      </c>
      <c r="V1159">
        <v>34185.66001575</v>
      </c>
      <c r="AH1159">
        <f t="shared" si="167"/>
        <v>415</v>
      </c>
      <c r="AI1159">
        <f t="shared" si="168"/>
        <v>616</v>
      </c>
      <c r="AJ1159" t="str">
        <f t="shared" si="169"/>
        <v/>
      </c>
      <c r="AK1159">
        <f t="shared" si="170"/>
        <v>284</v>
      </c>
      <c r="AL1159">
        <f t="shared" si="163"/>
        <v>448</v>
      </c>
      <c r="AM1159">
        <f t="shared" si="164"/>
        <v>468</v>
      </c>
      <c r="AN1159">
        <f t="shared" si="165"/>
        <v>321</v>
      </c>
      <c r="AO1159" t="str">
        <f t="shared" si="166"/>
        <v/>
      </c>
    </row>
    <row r="1160" spans="1:41">
      <c r="A1160">
        <f t="shared" si="171"/>
        <v>1156</v>
      </c>
      <c r="B1160" t="s">
        <v>277</v>
      </c>
      <c r="C1160">
        <v>5</v>
      </c>
      <c r="D1160">
        <v>5</v>
      </c>
      <c r="E1160" t="s">
        <v>387</v>
      </c>
      <c r="F1160">
        <v>412</v>
      </c>
      <c r="G1160">
        <v>2</v>
      </c>
      <c r="H1160">
        <v>55</v>
      </c>
      <c r="I1160" t="s">
        <v>386</v>
      </c>
      <c r="J1160" t="s">
        <v>386</v>
      </c>
      <c r="K1160">
        <v>1000000</v>
      </c>
      <c r="L1160">
        <v>428</v>
      </c>
      <c r="M1160">
        <v>428</v>
      </c>
      <c r="N1160">
        <v>633</v>
      </c>
      <c r="O1160">
        <v>0</v>
      </c>
      <c r="P1160">
        <v>310</v>
      </c>
      <c r="Q1160">
        <v>481</v>
      </c>
      <c r="R1160">
        <v>489</v>
      </c>
      <c r="S1160">
        <v>328</v>
      </c>
      <c r="T1160">
        <v>0</v>
      </c>
      <c r="U1160">
        <v>5572</v>
      </c>
      <c r="V1160">
        <v>34446.843450909997</v>
      </c>
      <c r="AH1160">
        <f t="shared" si="167"/>
        <v>428</v>
      </c>
      <c r="AI1160">
        <f t="shared" si="168"/>
        <v>633</v>
      </c>
      <c r="AJ1160" t="str">
        <f t="shared" si="169"/>
        <v/>
      </c>
      <c r="AK1160">
        <f t="shared" si="170"/>
        <v>310</v>
      </c>
      <c r="AL1160">
        <f t="shared" si="163"/>
        <v>481</v>
      </c>
      <c r="AM1160">
        <f t="shared" si="164"/>
        <v>489</v>
      </c>
      <c r="AN1160">
        <f t="shared" si="165"/>
        <v>328</v>
      </c>
      <c r="AO1160" t="str">
        <f t="shared" si="166"/>
        <v/>
      </c>
    </row>
    <row r="1161" spans="1:41">
      <c r="A1161">
        <f t="shared" si="171"/>
        <v>1157</v>
      </c>
      <c r="B1161" t="s">
        <v>277</v>
      </c>
      <c r="C1161">
        <v>5</v>
      </c>
      <c r="D1161">
        <v>5</v>
      </c>
      <c r="E1161" t="s">
        <v>387</v>
      </c>
      <c r="F1161">
        <v>412</v>
      </c>
      <c r="G1161">
        <v>2</v>
      </c>
      <c r="H1161">
        <v>56</v>
      </c>
      <c r="I1161" t="s">
        <v>386</v>
      </c>
      <c r="J1161" t="s">
        <v>386</v>
      </c>
      <c r="K1161">
        <v>1000000</v>
      </c>
      <c r="L1161">
        <v>441</v>
      </c>
      <c r="M1161">
        <v>441</v>
      </c>
      <c r="N1161">
        <v>651</v>
      </c>
      <c r="O1161">
        <v>0</v>
      </c>
      <c r="P1161">
        <v>321</v>
      </c>
      <c r="Q1161">
        <v>483</v>
      </c>
      <c r="R1161">
        <v>481</v>
      </c>
      <c r="S1161">
        <v>317</v>
      </c>
      <c r="T1161">
        <v>0</v>
      </c>
      <c r="U1161">
        <v>5660</v>
      </c>
      <c r="V1161">
        <v>34651.911146949999</v>
      </c>
      <c r="AH1161">
        <f t="shared" si="167"/>
        <v>441</v>
      </c>
      <c r="AI1161">
        <f t="shared" si="168"/>
        <v>651</v>
      </c>
      <c r="AJ1161" t="str">
        <f t="shared" si="169"/>
        <v/>
      </c>
      <c r="AK1161">
        <f t="shared" si="170"/>
        <v>321</v>
      </c>
      <c r="AL1161">
        <f t="shared" si="163"/>
        <v>483</v>
      </c>
      <c r="AM1161">
        <f t="shared" si="164"/>
        <v>481</v>
      </c>
      <c r="AN1161">
        <f t="shared" si="165"/>
        <v>317</v>
      </c>
      <c r="AO1161" t="str">
        <f t="shared" si="166"/>
        <v/>
      </c>
    </row>
    <row r="1162" spans="1:41">
      <c r="A1162">
        <f t="shared" si="171"/>
        <v>1158</v>
      </c>
      <c r="B1162" t="s">
        <v>277</v>
      </c>
      <c r="C1162">
        <v>5</v>
      </c>
      <c r="D1162">
        <v>5</v>
      </c>
      <c r="E1162" t="s">
        <v>387</v>
      </c>
      <c r="F1162">
        <v>412</v>
      </c>
      <c r="G1162">
        <v>2</v>
      </c>
      <c r="H1162">
        <v>57</v>
      </c>
      <c r="I1162" t="s">
        <v>386</v>
      </c>
      <c r="J1162" t="s">
        <v>386</v>
      </c>
      <c r="K1162">
        <v>1000000</v>
      </c>
      <c r="L1162">
        <v>454</v>
      </c>
      <c r="M1162">
        <v>454</v>
      </c>
      <c r="N1162">
        <v>668</v>
      </c>
      <c r="O1162">
        <v>0</v>
      </c>
      <c r="P1162">
        <v>310</v>
      </c>
      <c r="Q1162">
        <v>460</v>
      </c>
      <c r="R1162">
        <v>453</v>
      </c>
      <c r="S1162">
        <v>298</v>
      </c>
      <c r="T1162">
        <v>0</v>
      </c>
      <c r="U1162">
        <v>5746</v>
      </c>
      <c r="V1162">
        <v>34806.024402050003</v>
      </c>
      <c r="AH1162">
        <f t="shared" si="167"/>
        <v>454</v>
      </c>
      <c r="AI1162">
        <f t="shared" si="168"/>
        <v>668</v>
      </c>
      <c r="AJ1162" t="str">
        <f t="shared" si="169"/>
        <v/>
      </c>
      <c r="AK1162">
        <f t="shared" si="170"/>
        <v>310</v>
      </c>
      <c r="AL1162">
        <f t="shared" si="163"/>
        <v>460</v>
      </c>
      <c r="AM1162">
        <f t="shared" si="164"/>
        <v>453</v>
      </c>
      <c r="AN1162">
        <f t="shared" si="165"/>
        <v>298</v>
      </c>
      <c r="AO1162" t="str">
        <f t="shared" si="166"/>
        <v/>
      </c>
    </row>
    <row r="1163" spans="1:41">
      <c r="A1163">
        <f t="shared" si="171"/>
        <v>1159</v>
      </c>
      <c r="B1163" t="s">
        <v>277</v>
      </c>
      <c r="C1163">
        <v>5</v>
      </c>
      <c r="D1163">
        <v>5</v>
      </c>
      <c r="E1163" t="s">
        <v>387</v>
      </c>
      <c r="F1163">
        <v>412</v>
      </c>
      <c r="G1163">
        <v>2</v>
      </c>
      <c r="H1163">
        <v>58</v>
      </c>
      <c r="I1163" t="s">
        <v>386</v>
      </c>
      <c r="J1163" t="s">
        <v>386</v>
      </c>
      <c r="K1163">
        <v>1000000</v>
      </c>
      <c r="L1163">
        <v>466</v>
      </c>
      <c r="M1163">
        <v>466</v>
      </c>
      <c r="N1163">
        <v>685</v>
      </c>
      <c r="O1163">
        <v>0</v>
      </c>
      <c r="P1163">
        <v>293</v>
      </c>
      <c r="Q1163">
        <v>433</v>
      </c>
      <c r="R1163">
        <v>430</v>
      </c>
      <c r="S1163">
        <v>288</v>
      </c>
      <c r="T1163">
        <v>0</v>
      </c>
      <c r="U1163">
        <v>5829</v>
      </c>
      <c r="V1163">
        <v>34920.934510790001</v>
      </c>
      <c r="AH1163">
        <f t="shared" si="167"/>
        <v>466</v>
      </c>
      <c r="AI1163">
        <f t="shared" si="168"/>
        <v>685</v>
      </c>
      <c r="AJ1163" t="str">
        <f t="shared" si="169"/>
        <v/>
      </c>
      <c r="AK1163">
        <f t="shared" si="170"/>
        <v>293</v>
      </c>
      <c r="AL1163">
        <f t="shared" si="163"/>
        <v>433</v>
      </c>
      <c r="AM1163">
        <f t="shared" si="164"/>
        <v>430</v>
      </c>
      <c r="AN1163">
        <f t="shared" si="165"/>
        <v>288</v>
      </c>
      <c r="AO1163" t="str">
        <f t="shared" si="166"/>
        <v/>
      </c>
    </row>
    <row r="1164" spans="1:41">
      <c r="A1164">
        <f t="shared" si="171"/>
        <v>1160</v>
      </c>
      <c r="B1164" t="s">
        <v>277</v>
      </c>
      <c r="C1164">
        <v>5</v>
      </c>
      <c r="D1164">
        <v>5</v>
      </c>
      <c r="E1164" t="s">
        <v>387</v>
      </c>
      <c r="F1164">
        <v>412</v>
      </c>
      <c r="G1164">
        <v>2</v>
      </c>
      <c r="H1164">
        <v>59</v>
      </c>
      <c r="I1164" t="s">
        <v>386</v>
      </c>
      <c r="J1164" t="s">
        <v>386</v>
      </c>
      <c r="K1164">
        <v>1000000</v>
      </c>
      <c r="L1164">
        <v>479</v>
      </c>
      <c r="M1164">
        <v>479</v>
      </c>
      <c r="N1164">
        <v>702</v>
      </c>
      <c r="O1164">
        <v>0</v>
      </c>
      <c r="P1164">
        <v>281</v>
      </c>
      <c r="Q1164">
        <v>423</v>
      </c>
      <c r="R1164">
        <v>431</v>
      </c>
      <c r="S1164">
        <v>298</v>
      </c>
      <c r="T1164">
        <v>0</v>
      </c>
      <c r="U1164">
        <v>5912</v>
      </c>
      <c r="V1164">
        <v>35011.415449120002</v>
      </c>
      <c r="AH1164">
        <f t="shared" si="167"/>
        <v>479</v>
      </c>
      <c r="AI1164">
        <f t="shared" si="168"/>
        <v>702</v>
      </c>
      <c r="AJ1164" t="str">
        <f t="shared" si="169"/>
        <v/>
      </c>
      <c r="AK1164">
        <f t="shared" si="170"/>
        <v>281</v>
      </c>
      <c r="AL1164">
        <f t="shared" si="163"/>
        <v>423</v>
      </c>
      <c r="AM1164">
        <f t="shared" si="164"/>
        <v>431</v>
      </c>
      <c r="AN1164">
        <f t="shared" si="165"/>
        <v>298</v>
      </c>
      <c r="AO1164" t="str">
        <f t="shared" si="166"/>
        <v/>
      </c>
    </row>
    <row r="1165" spans="1:41">
      <c r="A1165">
        <f t="shared" si="171"/>
        <v>1161</v>
      </c>
      <c r="B1165" t="s">
        <v>277</v>
      </c>
      <c r="C1165">
        <v>5</v>
      </c>
      <c r="D1165">
        <v>5</v>
      </c>
      <c r="E1165" t="s">
        <v>387</v>
      </c>
      <c r="F1165">
        <v>412</v>
      </c>
      <c r="G1165">
        <v>2</v>
      </c>
      <c r="H1165">
        <v>60</v>
      </c>
      <c r="I1165" t="s">
        <v>386</v>
      </c>
      <c r="J1165" t="s">
        <v>386</v>
      </c>
      <c r="K1165">
        <v>1000000</v>
      </c>
      <c r="L1165">
        <v>491</v>
      </c>
      <c r="M1165">
        <v>491</v>
      </c>
      <c r="N1165">
        <v>719</v>
      </c>
      <c r="O1165">
        <v>0</v>
      </c>
      <c r="P1165">
        <v>287</v>
      </c>
      <c r="Q1165">
        <v>444</v>
      </c>
      <c r="R1165">
        <v>464</v>
      </c>
      <c r="S1165">
        <v>324</v>
      </c>
      <c r="T1165">
        <v>0</v>
      </c>
      <c r="U1165">
        <v>5995</v>
      </c>
      <c r="V1165">
        <v>35090.233170599997</v>
      </c>
      <c r="AH1165">
        <f t="shared" si="167"/>
        <v>491</v>
      </c>
      <c r="AI1165">
        <f t="shared" si="168"/>
        <v>719</v>
      </c>
      <c r="AJ1165" t="str">
        <f t="shared" si="169"/>
        <v/>
      </c>
      <c r="AK1165">
        <f t="shared" si="170"/>
        <v>287</v>
      </c>
      <c r="AL1165">
        <f t="shared" si="163"/>
        <v>444</v>
      </c>
      <c r="AM1165">
        <f t="shared" si="164"/>
        <v>464</v>
      </c>
      <c r="AN1165">
        <f t="shared" si="165"/>
        <v>324</v>
      </c>
      <c r="AO1165" t="str">
        <f t="shared" si="166"/>
        <v/>
      </c>
    </row>
    <row r="1166" spans="1:41">
      <c r="A1166">
        <f t="shared" si="171"/>
        <v>1162</v>
      </c>
      <c r="B1166" t="s">
        <v>277</v>
      </c>
      <c r="C1166">
        <v>5</v>
      </c>
      <c r="D1166">
        <v>5</v>
      </c>
      <c r="E1166" t="s">
        <v>387</v>
      </c>
      <c r="F1166">
        <v>412</v>
      </c>
      <c r="G1166">
        <v>2</v>
      </c>
      <c r="H1166">
        <v>61</v>
      </c>
      <c r="I1166" t="s">
        <v>386</v>
      </c>
      <c r="J1166" t="s">
        <v>386</v>
      </c>
      <c r="K1166">
        <v>1000000</v>
      </c>
      <c r="L1166">
        <v>505</v>
      </c>
      <c r="M1166">
        <v>505</v>
      </c>
      <c r="N1166">
        <v>736</v>
      </c>
      <c r="O1166">
        <v>0</v>
      </c>
      <c r="P1166">
        <v>310</v>
      </c>
      <c r="Q1166">
        <v>488</v>
      </c>
      <c r="R1166">
        <v>511</v>
      </c>
      <c r="S1166">
        <v>355</v>
      </c>
      <c r="T1166">
        <v>0</v>
      </c>
      <c r="U1166">
        <v>6084</v>
      </c>
      <c r="V1166">
        <v>35163.982492529998</v>
      </c>
      <c r="AH1166">
        <f t="shared" si="167"/>
        <v>505</v>
      </c>
      <c r="AI1166">
        <f t="shared" si="168"/>
        <v>736</v>
      </c>
      <c r="AJ1166" t="str">
        <f t="shared" si="169"/>
        <v/>
      </c>
      <c r="AK1166">
        <f t="shared" si="170"/>
        <v>310</v>
      </c>
      <c r="AL1166">
        <f t="shared" si="163"/>
        <v>488</v>
      </c>
      <c r="AM1166">
        <f t="shared" si="164"/>
        <v>511</v>
      </c>
      <c r="AN1166">
        <f t="shared" si="165"/>
        <v>355</v>
      </c>
      <c r="AO1166" t="str">
        <f t="shared" si="166"/>
        <v/>
      </c>
    </row>
    <row r="1167" spans="1:41">
      <c r="A1167">
        <f t="shared" si="171"/>
        <v>1163</v>
      </c>
      <c r="B1167" t="s">
        <v>277</v>
      </c>
      <c r="C1167">
        <v>5</v>
      </c>
      <c r="D1167">
        <v>5</v>
      </c>
      <c r="E1167" t="s">
        <v>387</v>
      </c>
      <c r="F1167">
        <v>412</v>
      </c>
      <c r="G1167">
        <v>2</v>
      </c>
      <c r="H1167">
        <v>62</v>
      </c>
      <c r="I1167" t="s">
        <v>386</v>
      </c>
      <c r="J1167" t="s">
        <v>386</v>
      </c>
      <c r="K1167">
        <v>1000000</v>
      </c>
      <c r="L1167">
        <v>519</v>
      </c>
      <c r="M1167">
        <v>519</v>
      </c>
      <c r="N1167">
        <v>756</v>
      </c>
      <c r="O1167">
        <v>0</v>
      </c>
      <c r="P1167">
        <v>345</v>
      </c>
      <c r="Q1167">
        <v>541</v>
      </c>
      <c r="R1167">
        <v>562</v>
      </c>
      <c r="S1167">
        <v>390</v>
      </c>
      <c r="T1167">
        <v>0</v>
      </c>
      <c r="U1167">
        <v>6181</v>
      </c>
      <c r="V1167">
        <v>35233.378406049997</v>
      </c>
      <c r="AH1167">
        <f t="shared" si="167"/>
        <v>519</v>
      </c>
      <c r="AI1167">
        <f t="shared" si="168"/>
        <v>756</v>
      </c>
      <c r="AJ1167" t="str">
        <f t="shared" si="169"/>
        <v/>
      </c>
      <c r="AK1167">
        <f t="shared" si="170"/>
        <v>345</v>
      </c>
      <c r="AL1167">
        <f t="shared" si="163"/>
        <v>541</v>
      </c>
      <c r="AM1167">
        <f t="shared" si="164"/>
        <v>562</v>
      </c>
      <c r="AN1167">
        <f t="shared" si="165"/>
        <v>390</v>
      </c>
      <c r="AO1167" t="str">
        <f t="shared" si="166"/>
        <v/>
      </c>
    </row>
    <row r="1168" spans="1:41">
      <c r="A1168">
        <f t="shared" si="171"/>
        <v>1164</v>
      </c>
      <c r="B1168" t="s">
        <v>277</v>
      </c>
      <c r="C1168">
        <v>5</v>
      </c>
      <c r="D1168">
        <v>5</v>
      </c>
      <c r="E1168" t="s">
        <v>387</v>
      </c>
      <c r="F1168">
        <v>412</v>
      </c>
      <c r="G1168">
        <v>2</v>
      </c>
      <c r="H1168">
        <v>63</v>
      </c>
      <c r="I1168" t="s">
        <v>386</v>
      </c>
      <c r="J1168" t="s">
        <v>386</v>
      </c>
      <c r="K1168">
        <v>1000000</v>
      </c>
      <c r="L1168">
        <v>535</v>
      </c>
      <c r="M1168">
        <v>535</v>
      </c>
      <c r="N1168">
        <v>778</v>
      </c>
      <c r="O1168">
        <v>0</v>
      </c>
      <c r="P1168">
        <v>380</v>
      </c>
      <c r="Q1168">
        <v>591</v>
      </c>
      <c r="R1168">
        <v>616</v>
      </c>
      <c r="S1168">
        <v>429</v>
      </c>
      <c r="T1168">
        <v>0</v>
      </c>
      <c r="U1168">
        <v>6288</v>
      </c>
      <c r="V1168">
        <v>35297.778849460003</v>
      </c>
      <c r="AH1168">
        <f t="shared" si="167"/>
        <v>535</v>
      </c>
      <c r="AI1168">
        <f t="shared" si="168"/>
        <v>778</v>
      </c>
      <c r="AJ1168" t="str">
        <f t="shared" si="169"/>
        <v/>
      </c>
      <c r="AK1168">
        <f t="shared" si="170"/>
        <v>380</v>
      </c>
      <c r="AL1168">
        <f t="shared" si="163"/>
        <v>591</v>
      </c>
      <c r="AM1168">
        <f t="shared" si="164"/>
        <v>616</v>
      </c>
      <c r="AN1168">
        <f t="shared" si="165"/>
        <v>429</v>
      </c>
      <c r="AO1168" t="str">
        <f t="shared" si="166"/>
        <v/>
      </c>
    </row>
    <row r="1169" spans="1:41">
      <c r="A1169">
        <f t="shared" si="171"/>
        <v>1165</v>
      </c>
      <c r="B1169" t="s">
        <v>277</v>
      </c>
      <c r="C1169">
        <v>5</v>
      </c>
      <c r="D1169">
        <v>5</v>
      </c>
      <c r="E1169" t="s">
        <v>387</v>
      </c>
      <c r="F1169">
        <v>412</v>
      </c>
      <c r="G1169">
        <v>2</v>
      </c>
      <c r="H1169">
        <v>64</v>
      </c>
      <c r="I1169" t="s">
        <v>386</v>
      </c>
      <c r="J1169" t="s">
        <v>386</v>
      </c>
      <c r="K1169">
        <v>1000000</v>
      </c>
      <c r="L1169">
        <v>553</v>
      </c>
      <c r="M1169">
        <v>553</v>
      </c>
      <c r="N1169">
        <v>802</v>
      </c>
      <c r="O1169">
        <v>0</v>
      </c>
      <c r="P1169">
        <v>415</v>
      </c>
      <c r="Q1169">
        <v>650</v>
      </c>
      <c r="R1169">
        <v>679</v>
      </c>
      <c r="S1169">
        <v>475</v>
      </c>
      <c r="T1169">
        <v>0</v>
      </c>
      <c r="U1169">
        <v>6406</v>
      </c>
      <c r="V1169">
        <v>35355.88241762</v>
      </c>
      <c r="AH1169">
        <f t="shared" si="167"/>
        <v>553</v>
      </c>
      <c r="AI1169">
        <f t="shared" si="168"/>
        <v>802</v>
      </c>
      <c r="AJ1169" t="str">
        <f t="shared" si="169"/>
        <v/>
      </c>
      <c r="AK1169">
        <f t="shared" si="170"/>
        <v>415</v>
      </c>
      <c r="AL1169">
        <f t="shared" si="163"/>
        <v>650</v>
      </c>
      <c r="AM1169">
        <f t="shared" si="164"/>
        <v>679</v>
      </c>
      <c r="AN1169">
        <f t="shared" si="165"/>
        <v>475</v>
      </c>
      <c r="AO1169" t="str">
        <f t="shared" si="166"/>
        <v/>
      </c>
    </row>
    <row r="1170" spans="1:41">
      <c r="A1170">
        <f t="shared" si="171"/>
        <v>1166</v>
      </c>
      <c r="B1170" t="s">
        <v>277</v>
      </c>
      <c r="C1170">
        <v>5</v>
      </c>
      <c r="D1170">
        <v>5</v>
      </c>
      <c r="E1170" t="s">
        <v>387</v>
      </c>
      <c r="F1170">
        <v>412</v>
      </c>
      <c r="G1170">
        <v>2</v>
      </c>
      <c r="H1170">
        <v>65</v>
      </c>
      <c r="I1170" t="s">
        <v>386</v>
      </c>
      <c r="J1170" t="s">
        <v>386</v>
      </c>
      <c r="K1170">
        <v>1000000</v>
      </c>
      <c r="L1170">
        <v>572</v>
      </c>
      <c r="M1170">
        <v>572</v>
      </c>
      <c r="N1170">
        <v>828</v>
      </c>
      <c r="O1170">
        <v>0</v>
      </c>
      <c r="P1170">
        <v>459</v>
      </c>
      <c r="Q1170">
        <v>719</v>
      </c>
      <c r="R1170">
        <v>753</v>
      </c>
      <c r="S1170">
        <v>524</v>
      </c>
      <c r="T1170">
        <v>0</v>
      </c>
      <c r="U1170">
        <v>6536</v>
      </c>
      <c r="V1170">
        <v>35406.96915176</v>
      </c>
      <c r="AH1170">
        <f t="shared" si="167"/>
        <v>572</v>
      </c>
      <c r="AI1170">
        <f t="shared" si="168"/>
        <v>828</v>
      </c>
      <c r="AJ1170" t="str">
        <f t="shared" si="169"/>
        <v/>
      </c>
      <c r="AK1170">
        <f t="shared" si="170"/>
        <v>459</v>
      </c>
      <c r="AL1170">
        <f t="shared" si="163"/>
        <v>719</v>
      </c>
      <c r="AM1170">
        <f t="shared" si="164"/>
        <v>753</v>
      </c>
      <c r="AN1170">
        <f t="shared" si="165"/>
        <v>524</v>
      </c>
      <c r="AO1170" t="str">
        <f t="shared" si="166"/>
        <v/>
      </c>
    </row>
    <row r="1171" spans="1:41">
      <c r="A1171">
        <f t="shared" si="171"/>
        <v>1167</v>
      </c>
      <c r="B1171" t="s">
        <v>277</v>
      </c>
      <c r="C1171">
        <v>5</v>
      </c>
      <c r="D1171">
        <v>5</v>
      </c>
      <c r="E1171" t="s">
        <v>387</v>
      </c>
      <c r="F1171">
        <v>412</v>
      </c>
      <c r="G1171">
        <v>2</v>
      </c>
      <c r="H1171">
        <v>66</v>
      </c>
      <c r="I1171" t="s">
        <v>386</v>
      </c>
      <c r="J1171" t="s">
        <v>386</v>
      </c>
      <c r="K1171">
        <v>1000000</v>
      </c>
      <c r="L1171">
        <v>594</v>
      </c>
      <c r="M1171">
        <v>594</v>
      </c>
      <c r="N1171">
        <v>856</v>
      </c>
      <c r="O1171">
        <v>0</v>
      </c>
      <c r="P1171">
        <v>505</v>
      </c>
      <c r="Q1171">
        <v>790</v>
      </c>
      <c r="R1171">
        <v>822</v>
      </c>
      <c r="S1171">
        <v>566</v>
      </c>
      <c r="T1171">
        <v>0</v>
      </c>
      <c r="U1171">
        <v>6677</v>
      </c>
      <c r="V1171">
        <v>35451.26159917</v>
      </c>
      <c r="AH1171">
        <f t="shared" si="167"/>
        <v>594</v>
      </c>
      <c r="AI1171">
        <f t="shared" si="168"/>
        <v>856</v>
      </c>
      <c r="AJ1171" t="str">
        <f t="shared" si="169"/>
        <v/>
      </c>
      <c r="AK1171">
        <f t="shared" si="170"/>
        <v>505</v>
      </c>
      <c r="AL1171">
        <f t="shared" si="163"/>
        <v>790</v>
      </c>
      <c r="AM1171">
        <f t="shared" si="164"/>
        <v>822</v>
      </c>
      <c r="AN1171">
        <f t="shared" si="165"/>
        <v>566</v>
      </c>
      <c r="AO1171" t="str">
        <f t="shared" si="166"/>
        <v/>
      </c>
    </row>
    <row r="1172" spans="1:41">
      <c r="A1172">
        <f t="shared" si="171"/>
        <v>1168</v>
      </c>
      <c r="B1172" t="s">
        <v>277</v>
      </c>
      <c r="C1172">
        <v>5</v>
      </c>
      <c r="D1172">
        <v>5</v>
      </c>
      <c r="E1172" t="s">
        <v>387</v>
      </c>
      <c r="F1172">
        <v>412</v>
      </c>
      <c r="G1172">
        <v>2</v>
      </c>
      <c r="H1172">
        <v>67</v>
      </c>
      <c r="I1172" t="s">
        <v>386</v>
      </c>
      <c r="J1172" t="s">
        <v>386</v>
      </c>
      <c r="K1172">
        <v>1000000</v>
      </c>
      <c r="L1172">
        <v>616</v>
      </c>
      <c r="M1172">
        <v>616</v>
      </c>
      <c r="N1172">
        <v>887</v>
      </c>
      <c r="O1172">
        <v>0</v>
      </c>
      <c r="P1172">
        <v>545</v>
      </c>
      <c r="Q1172">
        <v>845</v>
      </c>
      <c r="R1172">
        <v>867</v>
      </c>
      <c r="S1172">
        <v>587</v>
      </c>
      <c r="T1172">
        <v>0</v>
      </c>
      <c r="U1172">
        <v>6828</v>
      </c>
      <c r="V1172">
        <v>35489.33372337</v>
      </c>
      <c r="AH1172">
        <f t="shared" si="167"/>
        <v>616</v>
      </c>
      <c r="AI1172">
        <f t="shared" si="168"/>
        <v>887</v>
      </c>
      <c r="AJ1172" t="str">
        <f t="shared" si="169"/>
        <v/>
      </c>
      <c r="AK1172">
        <f t="shared" si="170"/>
        <v>545</v>
      </c>
      <c r="AL1172">
        <f t="shared" si="163"/>
        <v>845</v>
      </c>
      <c r="AM1172">
        <f t="shared" si="164"/>
        <v>867</v>
      </c>
      <c r="AN1172">
        <f t="shared" si="165"/>
        <v>587</v>
      </c>
      <c r="AO1172" t="str">
        <f t="shared" si="166"/>
        <v/>
      </c>
    </row>
    <row r="1173" spans="1:41">
      <c r="A1173">
        <f t="shared" si="171"/>
        <v>1169</v>
      </c>
      <c r="B1173" t="s">
        <v>277</v>
      </c>
      <c r="C1173">
        <v>5</v>
      </c>
      <c r="D1173">
        <v>5</v>
      </c>
      <c r="E1173" t="s">
        <v>387</v>
      </c>
      <c r="F1173">
        <v>412</v>
      </c>
      <c r="G1173">
        <v>2</v>
      </c>
      <c r="H1173">
        <v>68</v>
      </c>
      <c r="I1173" t="s">
        <v>386</v>
      </c>
      <c r="J1173" t="s">
        <v>386</v>
      </c>
      <c r="K1173">
        <v>1000000</v>
      </c>
      <c r="L1173">
        <v>640</v>
      </c>
      <c r="M1173">
        <v>640</v>
      </c>
      <c r="N1173">
        <v>919</v>
      </c>
      <c r="O1173">
        <v>0</v>
      </c>
      <c r="P1173">
        <v>568</v>
      </c>
      <c r="Q1173">
        <v>867</v>
      </c>
      <c r="R1173">
        <v>873</v>
      </c>
      <c r="S1173">
        <v>582</v>
      </c>
      <c r="T1173">
        <v>0</v>
      </c>
      <c r="U1173">
        <v>6985</v>
      </c>
      <c r="V1173">
        <v>35521.914613300003</v>
      </c>
      <c r="AH1173">
        <f t="shared" si="167"/>
        <v>640</v>
      </c>
      <c r="AI1173">
        <f t="shared" si="168"/>
        <v>919</v>
      </c>
      <c r="AJ1173" t="str">
        <f t="shared" si="169"/>
        <v/>
      </c>
      <c r="AK1173">
        <f t="shared" si="170"/>
        <v>568</v>
      </c>
      <c r="AL1173">
        <f t="shared" si="163"/>
        <v>867</v>
      </c>
      <c r="AM1173">
        <f t="shared" si="164"/>
        <v>873</v>
      </c>
      <c r="AN1173">
        <f t="shared" si="165"/>
        <v>582</v>
      </c>
      <c r="AO1173" t="str">
        <f t="shared" si="166"/>
        <v/>
      </c>
    </row>
    <row r="1174" spans="1:41">
      <c r="A1174">
        <f t="shared" si="171"/>
        <v>1170</v>
      </c>
      <c r="B1174" t="s">
        <v>277</v>
      </c>
      <c r="C1174">
        <v>5</v>
      </c>
      <c r="D1174">
        <v>5</v>
      </c>
      <c r="E1174" t="s">
        <v>387</v>
      </c>
      <c r="F1174">
        <v>412</v>
      </c>
      <c r="G1174">
        <v>2</v>
      </c>
      <c r="H1174">
        <v>69</v>
      </c>
      <c r="I1174" t="s">
        <v>386</v>
      </c>
      <c r="J1174" t="s">
        <v>386</v>
      </c>
      <c r="K1174">
        <v>1000000</v>
      </c>
      <c r="L1174">
        <v>663</v>
      </c>
      <c r="M1174">
        <v>663</v>
      </c>
      <c r="N1174">
        <v>950</v>
      </c>
      <c r="O1174">
        <v>0</v>
      </c>
      <c r="P1174">
        <v>566</v>
      </c>
      <c r="Q1174">
        <v>848</v>
      </c>
      <c r="R1174">
        <v>843</v>
      </c>
      <c r="S1174">
        <v>555</v>
      </c>
      <c r="T1174">
        <v>0</v>
      </c>
      <c r="U1174">
        <v>7141</v>
      </c>
      <c r="V1174">
        <v>35549.896819399997</v>
      </c>
      <c r="AH1174">
        <f t="shared" si="167"/>
        <v>663</v>
      </c>
      <c r="AI1174">
        <f t="shared" si="168"/>
        <v>950</v>
      </c>
      <c r="AJ1174" t="str">
        <f t="shared" si="169"/>
        <v/>
      </c>
      <c r="AK1174">
        <f t="shared" si="170"/>
        <v>566</v>
      </c>
      <c r="AL1174">
        <f t="shared" si="163"/>
        <v>848</v>
      </c>
      <c r="AM1174">
        <f t="shared" si="164"/>
        <v>843</v>
      </c>
      <c r="AN1174">
        <f t="shared" si="165"/>
        <v>555</v>
      </c>
      <c r="AO1174" t="str">
        <f t="shared" si="166"/>
        <v/>
      </c>
    </row>
    <row r="1175" spans="1:41">
      <c r="A1175">
        <f t="shared" si="171"/>
        <v>1171</v>
      </c>
      <c r="B1175" t="s">
        <v>277</v>
      </c>
      <c r="C1175">
        <v>5</v>
      </c>
      <c r="D1175">
        <v>5</v>
      </c>
      <c r="E1175" t="s">
        <v>387</v>
      </c>
      <c r="F1175">
        <v>412</v>
      </c>
      <c r="G1175">
        <v>2</v>
      </c>
      <c r="H1175">
        <v>70</v>
      </c>
      <c r="I1175" t="s">
        <v>386</v>
      </c>
      <c r="J1175" t="s">
        <v>386</v>
      </c>
      <c r="K1175">
        <v>1000000</v>
      </c>
      <c r="L1175">
        <v>686</v>
      </c>
      <c r="M1175">
        <v>686</v>
      </c>
      <c r="N1175">
        <v>981</v>
      </c>
      <c r="O1175">
        <v>0</v>
      </c>
      <c r="P1175">
        <v>542</v>
      </c>
      <c r="Q1175">
        <v>804</v>
      </c>
      <c r="R1175">
        <v>793</v>
      </c>
      <c r="S1175">
        <v>524</v>
      </c>
      <c r="T1175">
        <v>0</v>
      </c>
      <c r="U1175">
        <v>7293</v>
      </c>
      <c r="V1175">
        <v>35574.145756110003</v>
      </c>
      <c r="AH1175">
        <f t="shared" si="167"/>
        <v>686</v>
      </c>
      <c r="AI1175">
        <f t="shared" si="168"/>
        <v>981</v>
      </c>
      <c r="AJ1175" t="str">
        <f t="shared" si="169"/>
        <v/>
      </c>
      <c r="AK1175">
        <f t="shared" si="170"/>
        <v>542</v>
      </c>
      <c r="AL1175">
        <f t="shared" si="163"/>
        <v>804</v>
      </c>
      <c r="AM1175">
        <f t="shared" si="164"/>
        <v>793</v>
      </c>
      <c r="AN1175">
        <f t="shared" si="165"/>
        <v>524</v>
      </c>
      <c r="AO1175" t="str">
        <f t="shared" si="166"/>
        <v/>
      </c>
    </row>
    <row r="1176" spans="1:41">
      <c r="A1176">
        <f t="shared" si="171"/>
        <v>1172</v>
      </c>
      <c r="B1176" t="s">
        <v>277</v>
      </c>
      <c r="C1176">
        <v>5</v>
      </c>
      <c r="D1176">
        <v>5</v>
      </c>
      <c r="E1176" t="s">
        <v>387</v>
      </c>
      <c r="F1176">
        <v>412</v>
      </c>
      <c r="G1176">
        <v>2</v>
      </c>
      <c r="H1176">
        <v>71</v>
      </c>
      <c r="I1176" t="s">
        <v>386</v>
      </c>
      <c r="J1176" t="s">
        <v>386</v>
      </c>
      <c r="K1176">
        <v>1000000</v>
      </c>
      <c r="L1176">
        <v>708</v>
      </c>
      <c r="M1176">
        <v>708</v>
      </c>
      <c r="N1176">
        <v>1011</v>
      </c>
      <c r="O1176">
        <v>0</v>
      </c>
      <c r="P1176">
        <v>509</v>
      </c>
      <c r="Q1176">
        <v>753</v>
      </c>
      <c r="R1176">
        <v>747</v>
      </c>
      <c r="S1176">
        <v>496</v>
      </c>
      <c r="T1176">
        <v>0</v>
      </c>
      <c r="U1176">
        <v>7438</v>
      </c>
      <c r="V1176">
        <v>35595.21121478</v>
      </c>
      <c r="AH1176">
        <f t="shared" si="167"/>
        <v>708</v>
      </c>
      <c r="AI1176">
        <f t="shared" si="168"/>
        <v>1011</v>
      </c>
      <c r="AJ1176" t="str">
        <f t="shared" si="169"/>
        <v/>
      </c>
      <c r="AK1176">
        <f t="shared" si="170"/>
        <v>509</v>
      </c>
      <c r="AL1176">
        <f t="shared" si="163"/>
        <v>753</v>
      </c>
      <c r="AM1176">
        <f t="shared" si="164"/>
        <v>747</v>
      </c>
      <c r="AN1176">
        <f t="shared" si="165"/>
        <v>496</v>
      </c>
      <c r="AO1176" t="str">
        <f t="shared" si="166"/>
        <v/>
      </c>
    </row>
    <row r="1177" spans="1:41">
      <c r="A1177">
        <f t="shared" si="171"/>
        <v>1173</v>
      </c>
      <c r="B1177" t="s">
        <v>277</v>
      </c>
      <c r="C1177">
        <v>5</v>
      </c>
      <c r="D1177">
        <v>5</v>
      </c>
      <c r="E1177" t="s">
        <v>387</v>
      </c>
      <c r="F1177">
        <v>412</v>
      </c>
      <c r="G1177">
        <v>2</v>
      </c>
      <c r="H1177">
        <v>72</v>
      </c>
      <c r="I1177" t="s">
        <v>386</v>
      </c>
      <c r="J1177" t="s">
        <v>386</v>
      </c>
      <c r="K1177">
        <v>1000000</v>
      </c>
      <c r="L1177">
        <v>729</v>
      </c>
      <c r="M1177">
        <v>729</v>
      </c>
      <c r="N1177">
        <v>1039</v>
      </c>
      <c r="O1177">
        <v>0</v>
      </c>
      <c r="P1177">
        <v>479</v>
      </c>
      <c r="Q1177">
        <v>717</v>
      </c>
      <c r="R1177">
        <v>717</v>
      </c>
      <c r="S1177">
        <v>482</v>
      </c>
      <c r="T1177">
        <v>0</v>
      </c>
      <c r="U1177">
        <v>7576</v>
      </c>
      <c r="V1177">
        <v>35612.505140920002</v>
      </c>
      <c r="AH1177">
        <f t="shared" si="167"/>
        <v>729</v>
      </c>
      <c r="AI1177">
        <f t="shared" si="168"/>
        <v>1039</v>
      </c>
      <c r="AJ1177" t="str">
        <f t="shared" si="169"/>
        <v/>
      </c>
      <c r="AK1177">
        <f t="shared" si="170"/>
        <v>479</v>
      </c>
      <c r="AL1177">
        <f t="shared" si="163"/>
        <v>717</v>
      </c>
      <c r="AM1177">
        <f t="shared" si="164"/>
        <v>717</v>
      </c>
      <c r="AN1177">
        <f t="shared" si="165"/>
        <v>482</v>
      </c>
      <c r="AO1177" t="str">
        <f t="shared" si="166"/>
        <v/>
      </c>
    </row>
    <row r="1178" spans="1:41">
      <c r="A1178">
        <f t="shared" si="171"/>
        <v>1174</v>
      </c>
      <c r="B1178" t="s">
        <v>277</v>
      </c>
      <c r="C1178">
        <v>5</v>
      </c>
      <c r="D1178">
        <v>5</v>
      </c>
      <c r="E1178" t="s">
        <v>387</v>
      </c>
      <c r="F1178">
        <v>412</v>
      </c>
      <c r="G1178">
        <v>2</v>
      </c>
      <c r="H1178">
        <v>73</v>
      </c>
      <c r="I1178" t="s">
        <v>386</v>
      </c>
      <c r="J1178" t="s">
        <v>386</v>
      </c>
      <c r="K1178">
        <v>1000000</v>
      </c>
      <c r="L1178">
        <v>749</v>
      </c>
      <c r="M1178">
        <v>749</v>
      </c>
      <c r="N1178">
        <v>1066</v>
      </c>
      <c r="O1178">
        <v>0</v>
      </c>
      <c r="P1178">
        <v>466</v>
      </c>
      <c r="Q1178">
        <v>702</v>
      </c>
      <c r="R1178">
        <v>711</v>
      </c>
      <c r="S1178">
        <v>483</v>
      </c>
      <c r="T1178">
        <v>0</v>
      </c>
      <c r="U1178">
        <v>7710</v>
      </c>
      <c r="V1178">
        <v>35624.109863569996</v>
      </c>
      <c r="AH1178">
        <f t="shared" si="167"/>
        <v>749</v>
      </c>
      <c r="AI1178">
        <f t="shared" si="168"/>
        <v>1066</v>
      </c>
      <c r="AJ1178" t="str">
        <f t="shared" si="169"/>
        <v/>
      </c>
      <c r="AK1178">
        <f t="shared" si="170"/>
        <v>466</v>
      </c>
      <c r="AL1178">
        <f t="shared" si="163"/>
        <v>702</v>
      </c>
      <c r="AM1178">
        <f t="shared" si="164"/>
        <v>711</v>
      </c>
      <c r="AN1178">
        <f t="shared" si="165"/>
        <v>483</v>
      </c>
      <c r="AO1178" t="str">
        <f t="shared" si="166"/>
        <v/>
      </c>
    </row>
    <row r="1179" spans="1:41">
      <c r="A1179">
        <f t="shared" si="171"/>
        <v>1175</v>
      </c>
      <c r="B1179" t="s">
        <v>277</v>
      </c>
      <c r="C1179">
        <v>5</v>
      </c>
      <c r="D1179">
        <v>5</v>
      </c>
      <c r="E1179" t="s">
        <v>387</v>
      </c>
      <c r="F1179">
        <v>412</v>
      </c>
      <c r="G1179">
        <v>2</v>
      </c>
      <c r="H1179">
        <v>74</v>
      </c>
      <c r="I1179" t="s">
        <v>386</v>
      </c>
      <c r="J1179" t="s">
        <v>386</v>
      </c>
      <c r="K1179">
        <v>1000000</v>
      </c>
      <c r="L1179">
        <v>769</v>
      </c>
      <c r="M1179">
        <v>769</v>
      </c>
      <c r="N1179">
        <v>1093</v>
      </c>
      <c r="O1179">
        <v>0</v>
      </c>
      <c r="P1179">
        <v>464</v>
      </c>
      <c r="Q1179">
        <v>708</v>
      </c>
      <c r="R1179">
        <v>723</v>
      </c>
      <c r="S1179">
        <v>492</v>
      </c>
      <c r="T1179">
        <v>0</v>
      </c>
      <c r="U1179">
        <v>7843</v>
      </c>
      <c r="V1179">
        <v>35627.812852709998</v>
      </c>
      <c r="AH1179">
        <f t="shared" si="167"/>
        <v>769</v>
      </c>
      <c r="AI1179">
        <f t="shared" si="168"/>
        <v>1093</v>
      </c>
      <c r="AJ1179" t="str">
        <f t="shared" si="169"/>
        <v/>
      </c>
      <c r="AK1179">
        <f t="shared" si="170"/>
        <v>464</v>
      </c>
      <c r="AL1179">
        <f t="shared" si="163"/>
        <v>708</v>
      </c>
      <c r="AM1179">
        <f t="shared" si="164"/>
        <v>723</v>
      </c>
      <c r="AN1179">
        <f t="shared" si="165"/>
        <v>492</v>
      </c>
      <c r="AO1179" t="str">
        <f t="shared" si="166"/>
        <v/>
      </c>
    </row>
    <row r="1180" spans="1:41">
      <c r="A1180">
        <f t="shared" si="171"/>
        <v>1176</v>
      </c>
      <c r="B1180" t="s">
        <v>277</v>
      </c>
      <c r="C1180">
        <v>5</v>
      </c>
      <c r="D1180">
        <v>5</v>
      </c>
      <c r="E1180" t="s">
        <v>387</v>
      </c>
      <c r="F1180">
        <v>412</v>
      </c>
      <c r="G1180">
        <v>2</v>
      </c>
      <c r="H1180">
        <v>75</v>
      </c>
      <c r="I1180" t="s">
        <v>386</v>
      </c>
      <c r="J1180" t="s">
        <v>386</v>
      </c>
      <c r="K1180">
        <v>1000000</v>
      </c>
      <c r="L1180">
        <v>789</v>
      </c>
      <c r="M1180">
        <v>789</v>
      </c>
      <c r="N1180">
        <v>1120</v>
      </c>
      <c r="O1180">
        <v>0</v>
      </c>
      <c r="P1180">
        <v>473</v>
      </c>
      <c r="Q1180">
        <v>724</v>
      </c>
      <c r="R1180">
        <v>737</v>
      </c>
      <c r="S1180">
        <v>498</v>
      </c>
      <c r="T1180">
        <v>0</v>
      </c>
      <c r="U1180">
        <v>7977</v>
      </c>
      <c r="V1180">
        <v>35622.071813659997</v>
      </c>
      <c r="AH1180">
        <f t="shared" si="167"/>
        <v>789</v>
      </c>
      <c r="AI1180">
        <f t="shared" si="168"/>
        <v>1120</v>
      </c>
      <c r="AJ1180" t="str">
        <f t="shared" si="169"/>
        <v/>
      </c>
      <c r="AK1180">
        <f t="shared" si="170"/>
        <v>473</v>
      </c>
      <c r="AL1180">
        <f t="shared" si="163"/>
        <v>724</v>
      </c>
      <c r="AM1180">
        <f t="shared" si="164"/>
        <v>737</v>
      </c>
      <c r="AN1180">
        <f t="shared" si="165"/>
        <v>498</v>
      </c>
      <c r="AO1180" t="str">
        <f t="shared" si="166"/>
        <v/>
      </c>
    </row>
    <row r="1181" spans="1:41">
      <c r="A1181">
        <f t="shared" si="171"/>
        <v>1177</v>
      </c>
      <c r="B1181" t="s">
        <v>277</v>
      </c>
      <c r="C1181">
        <v>5</v>
      </c>
      <c r="D1181">
        <v>5</v>
      </c>
      <c r="E1181" t="s">
        <v>387</v>
      </c>
      <c r="F1181">
        <v>412</v>
      </c>
      <c r="G1181">
        <v>2</v>
      </c>
      <c r="H1181">
        <v>76</v>
      </c>
      <c r="I1181" t="s">
        <v>386</v>
      </c>
      <c r="J1181" t="s">
        <v>386</v>
      </c>
      <c r="K1181">
        <v>1000000</v>
      </c>
      <c r="L1181">
        <v>809</v>
      </c>
      <c r="M1181">
        <v>809</v>
      </c>
      <c r="N1181">
        <v>1147</v>
      </c>
      <c r="O1181">
        <v>0</v>
      </c>
      <c r="P1181">
        <v>480</v>
      </c>
      <c r="Q1181">
        <v>731</v>
      </c>
      <c r="R1181">
        <v>737</v>
      </c>
      <c r="S1181">
        <v>493</v>
      </c>
      <c r="T1181">
        <v>0</v>
      </c>
      <c r="U1181">
        <v>8111</v>
      </c>
      <c r="V1181">
        <v>33448.555024239999</v>
      </c>
      <c r="AH1181">
        <f t="shared" si="167"/>
        <v>809</v>
      </c>
      <c r="AI1181">
        <f t="shared" si="168"/>
        <v>1147</v>
      </c>
      <c r="AJ1181" t="str">
        <f t="shared" si="169"/>
        <v/>
      </c>
      <c r="AK1181">
        <f t="shared" si="170"/>
        <v>480</v>
      </c>
      <c r="AL1181">
        <f t="shared" si="163"/>
        <v>731</v>
      </c>
      <c r="AM1181">
        <f t="shared" si="164"/>
        <v>737</v>
      </c>
      <c r="AN1181">
        <f t="shared" si="165"/>
        <v>493</v>
      </c>
      <c r="AO1181" t="str">
        <f t="shared" si="166"/>
        <v/>
      </c>
    </row>
    <row r="1182" spans="1:41">
      <c r="A1182">
        <f t="shared" si="171"/>
        <v>1178</v>
      </c>
      <c r="B1182" t="s">
        <v>277</v>
      </c>
      <c r="C1182">
        <v>5</v>
      </c>
      <c r="D1182">
        <v>5</v>
      </c>
      <c r="E1182" t="s">
        <v>387</v>
      </c>
      <c r="F1182">
        <v>412</v>
      </c>
      <c r="G1182">
        <v>2</v>
      </c>
      <c r="H1182">
        <v>77</v>
      </c>
      <c r="I1182" t="s">
        <v>386</v>
      </c>
      <c r="J1182" t="s">
        <v>386</v>
      </c>
      <c r="K1182">
        <v>1000000</v>
      </c>
      <c r="L1182">
        <v>830</v>
      </c>
      <c r="M1182">
        <v>830</v>
      </c>
      <c r="N1182">
        <v>1175</v>
      </c>
      <c r="O1182">
        <v>0</v>
      </c>
      <c r="P1182">
        <v>486</v>
      </c>
      <c r="Q1182">
        <v>735</v>
      </c>
      <c r="R1182">
        <v>743</v>
      </c>
      <c r="S1182">
        <v>510</v>
      </c>
      <c r="T1182">
        <v>0</v>
      </c>
      <c r="U1182">
        <v>8248</v>
      </c>
      <c r="V1182">
        <v>31272.763754719999</v>
      </c>
      <c r="AH1182">
        <f t="shared" si="167"/>
        <v>830</v>
      </c>
      <c r="AI1182">
        <f t="shared" si="168"/>
        <v>1175</v>
      </c>
      <c r="AJ1182" t="str">
        <f t="shared" si="169"/>
        <v/>
      </c>
      <c r="AK1182">
        <f t="shared" si="170"/>
        <v>486</v>
      </c>
      <c r="AL1182">
        <f t="shared" si="163"/>
        <v>735</v>
      </c>
      <c r="AM1182">
        <f t="shared" si="164"/>
        <v>743</v>
      </c>
      <c r="AN1182">
        <f t="shared" si="165"/>
        <v>510</v>
      </c>
      <c r="AO1182" t="str">
        <f t="shared" si="166"/>
        <v/>
      </c>
    </row>
    <row r="1183" spans="1:41">
      <c r="A1183">
        <f t="shared" si="171"/>
        <v>1179</v>
      </c>
      <c r="B1183" t="s">
        <v>277</v>
      </c>
      <c r="C1183">
        <v>5</v>
      </c>
      <c r="D1183">
        <v>5</v>
      </c>
      <c r="E1183" t="s">
        <v>387</v>
      </c>
      <c r="F1183">
        <v>412</v>
      </c>
      <c r="G1183">
        <v>2</v>
      </c>
      <c r="H1183">
        <v>78</v>
      </c>
      <c r="I1183" t="s">
        <v>386</v>
      </c>
      <c r="J1183" t="s">
        <v>386</v>
      </c>
      <c r="K1183">
        <v>1000000</v>
      </c>
      <c r="L1183">
        <v>851</v>
      </c>
      <c r="M1183">
        <v>851</v>
      </c>
      <c r="N1183">
        <v>1203</v>
      </c>
      <c r="O1183">
        <v>0</v>
      </c>
      <c r="P1183">
        <v>485</v>
      </c>
      <c r="Q1183">
        <v>736</v>
      </c>
      <c r="R1183">
        <v>756</v>
      </c>
      <c r="S1183">
        <v>508</v>
      </c>
      <c r="T1183">
        <v>0</v>
      </c>
      <c r="U1183">
        <v>8386</v>
      </c>
      <c r="V1183">
        <v>29097.99939827</v>
      </c>
      <c r="AH1183">
        <f t="shared" si="167"/>
        <v>851</v>
      </c>
      <c r="AI1183">
        <f t="shared" si="168"/>
        <v>1203</v>
      </c>
      <c r="AJ1183" t="str">
        <f t="shared" si="169"/>
        <v/>
      </c>
      <c r="AK1183">
        <f t="shared" si="170"/>
        <v>485</v>
      </c>
      <c r="AL1183">
        <f t="shared" si="163"/>
        <v>736</v>
      </c>
      <c r="AM1183">
        <f t="shared" si="164"/>
        <v>756</v>
      </c>
      <c r="AN1183">
        <f t="shared" si="165"/>
        <v>508</v>
      </c>
      <c r="AO1183" t="str">
        <f t="shared" si="166"/>
        <v/>
      </c>
    </row>
    <row r="1184" spans="1:41">
      <c r="A1184">
        <f t="shared" si="171"/>
        <v>1180</v>
      </c>
      <c r="B1184" t="s">
        <v>277</v>
      </c>
      <c r="C1184">
        <v>5</v>
      </c>
      <c r="D1184">
        <v>5</v>
      </c>
      <c r="E1184" t="s">
        <v>387</v>
      </c>
      <c r="F1184">
        <v>412</v>
      </c>
      <c r="G1184">
        <v>2</v>
      </c>
      <c r="H1184">
        <v>79</v>
      </c>
      <c r="I1184" t="s">
        <v>386</v>
      </c>
      <c r="J1184" t="s">
        <v>386</v>
      </c>
      <c r="K1184">
        <v>1000000</v>
      </c>
      <c r="L1184">
        <v>871</v>
      </c>
      <c r="M1184">
        <v>871</v>
      </c>
      <c r="N1184">
        <v>1231</v>
      </c>
      <c r="O1184">
        <v>0</v>
      </c>
      <c r="P1184">
        <v>483</v>
      </c>
      <c r="Q1184">
        <v>743</v>
      </c>
      <c r="R1184">
        <v>743</v>
      </c>
      <c r="S1184">
        <v>492</v>
      </c>
      <c r="T1184">
        <v>0</v>
      </c>
      <c r="U1184">
        <v>8523</v>
      </c>
      <c r="V1184">
        <v>26927.277317370001</v>
      </c>
      <c r="AH1184">
        <f t="shared" si="167"/>
        <v>871</v>
      </c>
      <c r="AI1184">
        <f t="shared" si="168"/>
        <v>1231</v>
      </c>
      <c r="AJ1184" t="str">
        <f t="shared" si="169"/>
        <v/>
      </c>
      <c r="AK1184">
        <f t="shared" si="170"/>
        <v>483</v>
      </c>
      <c r="AL1184">
        <f t="shared" si="163"/>
        <v>743</v>
      </c>
      <c r="AM1184">
        <f t="shared" si="164"/>
        <v>743</v>
      </c>
      <c r="AN1184">
        <f t="shared" si="165"/>
        <v>492</v>
      </c>
      <c r="AO1184" t="str">
        <f t="shared" si="166"/>
        <v/>
      </c>
    </row>
    <row r="1185" spans="1:41">
      <c r="A1185">
        <f t="shared" si="171"/>
        <v>1181</v>
      </c>
      <c r="B1185" t="s">
        <v>277</v>
      </c>
      <c r="C1185">
        <v>5</v>
      </c>
      <c r="D1185">
        <v>5</v>
      </c>
      <c r="E1185" t="s">
        <v>387</v>
      </c>
      <c r="F1185">
        <v>412</v>
      </c>
      <c r="G1185">
        <v>2</v>
      </c>
      <c r="H1185">
        <v>80</v>
      </c>
      <c r="I1185" t="s">
        <v>386</v>
      </c>
      <c r="J1185" t="s">
        <v>386</v>
      </c>
      <c r="K1185">
        <v>1000000</v>
      </c>
      <c r="L1185">
        <v>891</v>
      </c>
      <c r="M1185">
        <v>891</v>
      </c>
      <c r="N1185">
        <v>1258</v>
      </c>
      <c r="O1185">
        <v>0</v>
      </c>
      <c r="P1185">
        <v>487</v>
      </c>
      <c r="Q1185">
        <v>722</v>
      </c>
      <c r="R1185">
        <v>716</v>
      </c>
      <c r="S1185">
        <v>476</v>
      </c>
      <c r="T1185">
        <v>0</v>
      </c>
      <c r="U1185">
        <v>8656</v>
      </c>
      <c r="V1185">
        <v>25357.371579490002</v>
      </c>
      <c r="AH1185">
        <f t="shared" si="167"/>
        <v>891</v>
      </c>
      <c r="AI1185">
        <f t="shared" si="168"/>
        <v>1258</v>
      </c>
      <c r="AJ1185" t="str">
        <f t="shared" si="169"/>
        <v/>
      </c>
      <c r="AK1185">
        <f t="shared" si="170"/>
        <v>487</v>
      </c>
      <c r="AL1185">
        <f t="shared" si="163"/>
        <v>722</v>
      </c>
      <c r="AM1185">
        <f t="shared" si="164"/>
        <v>716</v>
      </c>
      <c r="AN1185">
        <f t="shared" si="165"/>
        <v>476</v>
      </c>
      <c r="AO1185" t="str">
        <f t="shared" si="166"/>
        <v/>
      </c>
    </row>
    <row r="1186" spans="1:41">
      <c r="A1186">
        <f t="shared" si="171"/>
        <v>1182</v>
      </c>
      <c r="B1186" t="s">
        <v>277</v>
      </c>
      <c r="C1186">
        <v>5</v>
      </c>
      <c r="D1186">
        <v>5</v>
      </c>
      <c r="E1186" t="s">
        <v>387</v>
      </c>
      <c r="F1186">
        <v>412</v>
      </c>
      <c r="G1186">
        <v>2</v>
      </c>
      <c r="H1186">
        <v>81</v>
      </c>
      <c r="I1186" t="s">
        <v>386</v>
      </c>
      <c r="J1186" t="s">
        <v>386</v>
      </c>
      <c r="K1186">
        <v>1000000</v>
      </c>
      <c r="L1186">
        <v>911</v>
      </c>
      <c r="M1186">
        <v>911</v>
      </c>
      <c r="N1186">
        <v>1285</v>
      </c>
      <c r="O1186">
        <v>0</v>
      </c>
      <c r="P1186">
        <v>458</v>
      </c>
      <c r="Q1186">
        <v>684</v>
      </c>
      <c r="R1186">
        <v>684</v>
      </c>
      <c r="S1186">
        <v>457</v>
      </c>
      <c r="T1186">
        <v>0</v>
      </c>
      <c r="U1186">
        <v>8788</v>
      </c>
      <c r="V1186">
        <v>25394.84226627</v>
      </c>
      <c r="AH1186">
        <f t="shared" si="167"/>
        <v>911</v>
      </c>
      <c r="AI1186">
        <f t="shared" si="168"/>
        <v>1285</v>
      </c>
      <c r="AJ1186" t="str">
        <f t="shared" si="169"/>
        <v/>
      </c>
      <c r="AK1186">
        <f t="shared" si="170"/>
        <v>458</v>
      </c>
      <c r="AL1186">
        <f t="shared" si="163"/>
        <v>684</v>
      </c>
      <c r="AM1186">
        <f t="shared" si="164"/>
        <v>684</v>
      </c>
      <c r="AN1186">
        <f t="shared" si="165"/>
        <v>457</v>
      </c>
      <c r="AO1186" t="str">
        <f t="shared" si="166"/>
        <v/>
      </c>
    </row>
    <row r="1187" spans="1:41">
      <c r="A1187">
        <f t="shared" si="171"/>
        <v>1183</v>
      </c>
      <c r="B1187" t="s">
        <v>277</v>
      </c>
      <c r="C1187">
        <v>5</v>
      </c>
      <c r="D1187">
        <v>5</v>
      </c>
      <c r="E1187" t="s">
        <v>387</v>
      </c>
      <c r="F1187">
        <v>412</v>
      </c>
      <c r="G1187">
        <v>2</v>
      </c>
      <c r="H1187">
        <v>82</v>
      </c>
      <c r="I1187" t="s">
        <v>386</v>
      </c>
      <c r="J1187" t="s">
        <v>386</v>
      </c>
      <c r="K1187">
        <v>1000000</v>
      </c>
      <c r="L1187">
        <v>930</v>
      </c>
      <c r="M1187">
        <v>930</v>
      </c>
      <c r="N1187">
        <v>1310</v>
      </c>
      <c r="O1187">
        <v>0</v>
      </c>
      <c r="P1187">
        <v>438</v>
      </c>
      <c r="Q1187">
        <v>659</v>
      </c>
      <c r="R1187">
        <v>661</v>
      </c>
      <c r="S1187">
        <v>441</v>
      </c>
      <c r="T1187">
        <v>0</v>
      </c>
      <c r="U1187">
        <v>8913</v>
      </c>
      <c r="V1187">
        <v>25435.553842040001</v>
      </c>
      <c r="AH1187">
        <f t="shared" si="167"/>
        <v>930</v>
      </c>
      <c r="AI1187">
        <f t="shared" si="168"/>
        <v>1310</v>
      </c>
      <c r="AJ1187" t="str">
        <f t="shared" si="169"/>
        <v/>
      </c>
      <c r="AK1187">
        <f t="shared" si="170"/>
        <v>438</v>
      </c>
      <c r="AL1187">
        <f t="shared" si="163"/>
        <v>659</v>
      </c>
      <c r="AM1187">
        <f t="shared" si="164"/>
        <v>661</v>
      </c>
      <c r="AN1187">
        <f t="shared" si="165"/>
        <v>441</v>
      </c>
      <c r="AO1187" t="str">
        <f t="shared" si="166"/>
        <v/>
      </c>
    </row>
    <row r="1188" spans="1:41">
      <c r="A1188">
        <f t="shared" si="171"/>
        <v>1184</v>
      </c>
      <c r="B1188" t="s">
        <v>277</v>
      </c>
      <c r="C1188">
        <v>5</v>
      </c>
      <c r="D1188">
        <v>5</v>
      </c>
      <c r="E1188" t="s">
        <v>387</v>
      </c>
      <c r="F1188">
        <v>412</v>
      </c>
      <c r="G1188">
        <v>2</v>
      </c>
      <c r="H1188">
        <v>83</v>
      </c>
      <c r="I1188" t="s">
        <v>386</v>
      </c>
      <c r="J1188" t="s">
        <v>386</v>
      </c>
      <c r="K1188">
        <v>1000000</v>
      </c>
      <c r="L1188">
        <v>948</v>
      </c>
      <c r="M1188">
        <v>948</v>
      </c>
      <c r="N1188">
        <v>1334</v>
      </c>
      <c r="O1188">
        <v>0</v>
      </c>
      <c r="P1188">
        <v>424</v>
      </c>
      <c r="Q1188">
        <v>636</v>
      </c>
      <c r="R1188">
        <v>634</v>
      </c>
      <c r="S1188">
        <v>419</v>
      </c>
      <c r="T1188">
        <v>0</v>
      </c>
      <c r="U1188">
        <v>9032</v>
      </c>
      <c r="V1188">
        <v>25478.949304400001</v>
      </c>
      <c r="AH1188">
        <f t="shared" si="167"/>
        <v>948</v>
      </c>
      <c r="AI1188">
        <f t="shared" si="168"/>
        <v>1334</v>
      </c>
      <c r="AJ1188" t="str">
        <f t="shared" si="169"/>
        <v/>
      </c>
      <c r="AK1188">
        <f t="shared" si="170"/>
        <v>424</v>
      </c>
      <c r="AL1188">
        <f t="shared" si="163"/>
        <v>636</v>
      </c>
      <c r="AM1188">
        <f t="shared" si="164"/>
        <v>634</v>
      </c>
      <c r="AN1188">
        <f t="shared" si="165"/>
        <v>419</v>
      </c>
      <c r="AO1188" t="str">
        <f t="shared" si="166"/>
        <v/>
      </c>
    </row>
    <row r="1189" spans="1:41">
      <c r="A1189">
        <f t="shared" si="171"/>
        <v>1185</v>
      </c>
      <c r="B1189" t="s">
        <v>277</v>
      </c>
      <c r="C1189">
        <v>5</v>
      </c>
      <c r="D1189">
        <v>5</v>
      </c>
      <c r="E1189" t="s">
        <v>387</v>
      </c>
      <c r="F1189">
        <v>412</v>
      </c>
      <c r="G1189">
        <v>2</v>
      </c>
      <c r="H1189">
        <v>84</v>
      </c>
      <c r="I1189" t="s">
        <v>386</v>
      </c>
      <c r="J1189" t="s">
        <v>386</v>
      </c>
      <c r="K1189">
        <v>1000000</v>
      </c>
      <c r="L1189">
        <v>965</v>
      </c>
      <c r="M1189">
        <v>965</v>
      </c>
      <c r="N1189">
        <v>1357</v>
      </c>
      <c r="O1189">
        <v>0</v>
      </c>
      <c r="P1189">
        <v>405</v>
      </c>
      <c r="Q1189">
        <v>603</v>
      </c>
      <c r="R1189">
        <v>595</v>
      </c>
      <c r="S1189">
        <v>391</v>
      </c>
      <c r="T1189">
        <v>0</v>
      </c>
      <c r="U1189">
        <v>9146</v>
      </c>
      <c r="V1189">
        <v>25526.769091599999</v>
      </c>
      <c r="AH1189">
        <f t="shared" si="167"/>
        <v>965</v>
      </c>
      <c r="AI1189">
        <f t="shared" si="168"/>
        <v>1357</v>
      </c>
      <c r="AJ1189" t="str">
        <f t="shared" si="169"/>
        <v/>
      </c>
      <c r="AK1189">
        <f t="shared" si="170"/>
        <v>405</v>
      </c>
      <c r="AL1189">
        <f t="shared" si="163"/>
        <v>603</v>
      </c>
      <c r="AM1189">
        <f t="shared" si="164"/>
        <v>595</v>
      </c>
      <c r="AN1189">
        <f t="shared" si="165"/>
        <v>391</v>
      </c>
      <c r="AO1189" t="str">
        <f t="shared" si="166"/>
        <v/>
      </c>
    </row>
    <row r="1190" spans="1:41">
      <c r="A1190">
        <f t="shared" si="171"/>
        <v>1186</v>
      </c>
      <c r="B1190" t="s">
        <v>277</v>
      </c>
      <c r="C1190">
        <v>5</v>
      </c>
      <c r="D1190">
        <v>5</v>
      </c>
      <c r="E1190" t="s">
        <v>387</v>
      </c>
      <c r="F1190">
        <v>412</v>
      </c>
      <c r="G1190">
        <v>2</v>
      </c>
      <c r="H1190">
        <v>85</v>
      </c>
      <c r="I1190" t="s">
        <v>386</v>
      </c>
      <c r="J1190" t="s">
        <v>386</v>
      </c>
      <c r="K1190">
        <v>1000000</v>
      </c>
      <c r="L1190">
        <v>981</v>
      </c>
      <c r="M1190">
        <v>981</v>
      </c>
      <c r="N1190">
        <v>1379</v>
      </c>
      <c r="O1190">
        <v>0</v>
      </c>
      <c r="P1190">
        <v>378</v>
      </c>
      <c r="Q1190">
        <v>558</v>
      </c>
      <c r="R1190">
        <v>548</v>
      </c>
      <c r="S1190">
        <v>359</v>
      </c>
      <c r="T1190">
        <v>0</v>
      </c>
      <c r="U1190">
        <v>9253</v>
      </c>
      <c r="V1190">
        <v>25582.691454719999</v>
      </c>
      <c r="AH1190">
        <f t="shared" si="167"/>
        <v>981</v>
      </c>
      <c r="AI1190">
        <f t="shared" si="168"/>
        <v>1379</v>
      </c>
      <c r="AJ1190" t="str">
        <f t="shared" si="169"/>
        <v/>
      </c>
      <c r="AK1190">
        <f t="shared" si="170"/>
        <v>378</v>
      </c>
      <c r="AL1190">
        <f t="shared" si="163"/>
        <v>558</v>
      </c>
      <c r="AM1190">
        <f t="shared" si="164"/>
        <v>548</v>
      </c>
      <c r="AN1190">
        <f t="shared" si="165"/>
        <v>359</v>
      </c>
      <c r="AO1190" t="str">
        <f t="shared" si="166"/>
        <v/>
      </c>
    </row>
    <row r="1191" spans="1:41">
      <c r="A1191">
        <f t="shared" si="171"/>
        <v>1187</v>
      </c>
      <c r="B1191" t="s">
        <v>277</v>
      </c>
      <c r="C1191">
        <v>5</v>
      </c>
      <c r="D1191">
        <v>5</v>
      </c>
      <c r="E1191" t="s">
        <v>387</v>
      </c>
      <c r="F1191">
        <v>412</v>
      </c>
      <c r="G1191">
        <v>2</v>
      </c>
      <c r="H1191">
        <v>86</v>
      </c>
      <c r="I1191" t="s">
        <v>386</v>
      </c>
      <c r="J1191" t="s">
        <v>386</v>
      </c>
      <c r="K1191">
        <v>1000000</v>
      </c>
      <c r="L1191">
        <v>996</v>
      </c>
      <c r="M1191">
        <v>996</v>
      </c>
      <c r="N1191">
        <v>1399</v>
      </c>
      <c r="O1191">
        <v>0</v>
      </c>
      <c r="P1191">
        <v>347</v>
      </c>
      <c r="Q1191">
        <v>511</v>
      </c>
      <c r="R1191">
        <v>502</v>
      </c>
      <c r="S1191">
        <v>330</v>
      </c>
      <c r="T1191">
        <v>0</v>
      </c>
      <c r="U1191">
        <v>9352</v>
      </c>
      <c r="V1191">
        <v>25649.345999540001</v>
      </c>
      <c r="AH1191">
        <f t="shared" si="167"/>
        <v>996</v>
      </c>
      <c r="AI1191">
        <f t="shared" si="168"/>
        <v>1399</v>
      </c>
      <c r="AJ1191" t="str">
        <f t="shared" si="169"/>
        <v/>
      </c>
      <c r="AK1191">
        <f t="shared" si="170"/>
        <v>347</v>
      </c>
      <c r="AL1191">
        <f t="shared" si="163"/>
        <v>511</v>
      </c>
      <c r="AM1191">
        <f t="shared" si="164"/>
        <v>502</v>
      </c>
      <c r="AN1191">
        <f t="shared" si="165"/>
        <v>330</v>
      </c>
      <c r="AO1191" t="str">
        <f t="shared" si="166"/>
        <v/>
      </c>
    </row>
    <row r="1192" spans="1:41">
      <c r="A1192">
        <f t="shared" si="171"/>
        <v>1188</v>
      </c>
      <c r="B1192" t="s">
        <v>277</v>
      </c>
      <c r="C1192">
        <v>5</v>
      </c>
      <c r="D1192">
        <v>5</v>
      </c>
      <c r="E1192" t="s">
        <v>387</v>
      </c>
      <c r="F1192">
        <v>412</v>
      </c>
      <c r="G1192">
        <v>2</v>
      </c>
      <c r="H1192">
        <v>87</v>
      </c>
      <c r="I1192" t="s">
        <v>386</v>
      </c>
      <c r="J1192" t="s">
        <v>386</v>
      </c>
      <c r="K1192">
        <v>1000000</v>
      </c>
      <c r="L1192">
        <v>1010</v>
      </c>
      <c r="M1192">
        <v>1010</v>
      </c>
      <c r="N1192">
        <v>1418</v>
      </c>
      <c r="O1192">
        <v>0</v>
      </c>
      <c r="P1192">
        <v>318</v>
      </c>
      <c r="Q1192">
        <v>469</v>
      </c>
      <c r="R1192">
        <v>463</v>
      </c>
      <c r="S1192">
        <v>305</v>
      </c>
      <c r="T1192">
        <v>0</v>
      </c>
      <c r="U1192">
        <v>9444</v>
      </c>
      <c r="V1192">
        <v>25726.535048450001</v>
      </c>
      <c r="AH1192">
        <f t="shared" si="167"/>
        <v>1010</v>
      </c>
      <c r="AI1192">
        <f t="shared" si="168"/>
        <v>1418</v>
      </c>
      <c r="AJ1192" t="str">
        <f t="shared" si="169"/>
        <v/>
      </c>
      <c r="AK1192">
        <f t="shared" si="170"/>
        <v>318</v>
      </c>
      <c r="AL1192">
        <f t="shared" si="163"/>
        <v>469</v>
      </c>
      <c r="AM1192">
        <f t="shared" si="164"/>
        <v>463</v>
      </c>
      <c r="AN1192">
        <f t="shared" si="165"/>
        <v>305</v>
      </c>
      <c r="AO1192" t="str">
        <f t="shared" si="166"/>
        <v/>
      </c>
    </row>
    <row r="1193" spans="1:41">
      <c r="A1193">
        <f t="shared" si="171"/>
        <v>1189</v>
      </c>
      <c r="B1193" t="s">
        <v>277</v>
      </c>
      <c r="C1193">
        <v>5</v>
      </c>
      <c r="D1193">
        <v>5</v>
      </c>
      <c r="E1193" t="s">
        <v>387</v>
      </c>
      <c r="F1193">
        <v>412</v>
      </c>
      <c r="G1193">
        <v>2</v>
      </c>
      <c r="H1193">
        <v>88</v>
      </c>
      <c r="I1193" t="s">
        <v>386</v>
      </c>
      <c r="J1193" t="s">
        <v>386</v>
      </c>
      <c r="K1193">
        <v>1000000</v>
      </c>
      <c r="L1193">
        <v>1022</v>
      </c>
      <c r="M1193">
        <v>1022</v>
      </c>
      <c r="N1193">
        <v>1435</v>
      </c>
      <c r="O1193">
        <v>0</v>
      </c>
      <c r="P1193">
        <v>292</v>
      </c>
      <c r="Q1193">
        <v>432</v>
      </c>
      <c r="R1193">
        <v>426</v>
      </c>
      <c r="S1193">
        <v>279</v>
      </c>
      <c r="T1193">
        <v>0</v>
      </c>
      <c r="U1193">
        <v>9527</v>
      </c>
      <c r="V1193">
        <v>25809.783522139998</v>
      </c>
      <c r="AH1193">
        <f t="shared" si="167"/>
        <v>1022</v>
      </c>
      <c r="AI1193">
        <f t="shared" si="168"/>
        <v>1435</v>
      </c>
      <c r="AJ1193" t="str">
        <f t="shared" si="169"/>
        <v/>
      </c>
      <c r="AK1193">
        <f t="shared" si="170"/>
        <v>292</v>
      </c>
      <c r="AL1193">
        <f t="shared" si="163"/>
        <v>432</v>
      </c>
      <c r="AM1193">
        <f t="shared" si="164"/>
        <v>426</v>
      </c>
      <c r="AN1193">
        <f t="shared" si="165"/>
        <v>279</v>
      </c>
      <c r="AO1193" t="str">
        <f t="shared" si="166"/>
        <v/>
      </c>
    </row>
    <row r="1194" spans="1:41">
      <c r="A1194">
        <f t="shared" si="171"/>
        <v>1190</v>
      </c>
      <c r="B1194" t="s">
        <v>277</v>
      </c>
      <c r="C1194">
        <v>5</v>
      </c>
      <c r="D1194">
        <v>5</v>
      </c>
      <c r="E1194" t="s">
        <v>387</v>
      </c>
      <c r="F1194">
        <v>412</v>
      </c>
      <c r="G1194">
        <v>2</v>
      </c>
      <c r="H1194">
        <v>89</v>
      </c>
      <c r="I1194" t="s">
        <v>386</v>
      </c>
      <c r="J1194" t="s">
        <v>386</v>
      </c>
      <c r="K1194">
        <v>1000000</v>
      </c>
      <c r="L1194">
        <v>1033</v>
      </c>
      <c r="M1194">
        <v>1033</v>
      </c>
      <c r="N1194">
        <v>1450</v>
      </c>
      <c r="O1194">
        <v>0</v>
      </c>
      <c r="P1194">
        <v>268</v>
      </c>
      <c r="Q1194">
        <v>394</v>
      </c>
      <c r="R1194">
        <v>384</v>
      </c>
      <c r="S1194">
        <v>249</v>
      </c>
      <c r="T1194">
        <v>0</v>
      </c>
      <c r="U1194">
        <v>9603</v>
      </c>
      <c r="V1194">
        <v>25892.459124149998</v>
      </c>
      <c r="AH1194">
        <f t="shared" si="167"/>
        <v>1033</v>
      </c>
      <c r="AI1194">
        <f t="shared" si="168"/>
        <v>1450</v>
      </c>
      <c r="AJ1194" t="str">
        <f t="shared" si="169"/>
        <v/>
      </c>
      <c r="AK1194">
        <f t="shared" si="170"/>
        <v>268</v>
      </c>
      <c r="AL1194">
        <f t="shared" si="163"/>
        <v>394</v>
      </c>
      <c r="AM1194">
        <f t="shared" si="164"/>
        <v>384</v>
      </c>
      <c r="AN1194">
        <f t="shared" si="165"/>
        <v>249</v>
      </c>
      <c r="AO1194" t="str">
        <f t="shared" si="166"/>
        <v/>
      </c>
    </row>
    <row r="1195" spans="1:41">
      <c r="A1195">
        <f t="shared" si="171"/>
        <v>1191</v>
      </c>
      <c r="B1195" t="s">
        <v>277</v>
      </c>
      <c r="C1195">
        <v>5</v>
      </c>
      <c r="D1195">
        <v>5</v>
      </c>
      <c r="E1195" t="s">
        <v>387</v>
      </c>
      <c r="F1195">
        <v>412</v>
      </c>
      <c r="G1195">
        <v>2</v>
      </c>
      <c r="H1195">
        <v>90</v>
      </c>
      <c r="I1195" t="s">
        <v>386</v>
      </c>
      <c r="J1195" t="s">
        <v>386</v>
      </c>
      <c r="K1195">
        <v>1000000</v>
      </c>
      <c r="L1195">
        <v>1044</v>
      </c>
      <c r="M1195">
        <v>1044</v>
      </c>
      <c r="N1195">
        <v>1464</v>
      </c>
      <c r="O1195">
        <v>0</v>
      </c>
      <c r="P1195">
        <v>241</v>
      </c>
      <c r="Q1195">
        <v>350</v>
      </c>
      <c r="R1195">
        <v>337</v>
      </c>
      <c r="S1195">
        <v>217</v>
      </c>
      <c r="T1195">
        <v>0</v>
      </c>
      <c r="U1195">
        <v>9671</v>
      </c>
      <c r="V1195">
        <v>25968.64773506</v>
      </c>
      <c r="AH1195">
        <f t="shared" si="167"/>
        <v>1044</v>
      </c>
      <c r="AI1195">
        <f t="shared" si="168"/>
        <v>1464</v>
      </c>
      <c r="AJ1195" t="str">
        <f t="shared" si="169"/>
        <v/>
      </c>
      <c r="AK1195">
        <f t="shared" si="170"/>
        <v>241</v>
      </c>
      <c r="AL1195">
        <f t="shared" si="163"/>
        <v>350</v>
      </c>
      <c r="AM1195">
        <f t="shared" si="164"/>
        <v>337</v>
      </c>
      <c r="AN1195">
        <f t="shared" si="165"/>
        <v>217</v>
      </c>
      <c r="AO1195" t="str">
        <f t="shared" si="166"/>
        <v/>
      </c>
    </row>
    <row r="1196" spans="1:41">
      <c r="A1196">
        <f t="shared" si="171"/>
        <v>1192</v>
      </c>
      <c r="B1196" t="s">
        <v>277</v>
      </c>
      <c r="C1196">
        <v>5</v>
      </c>
      <c r="D1196">
        <v>5</v>
      </c>
      <c r="E1196" t="s">
        <v>387</v>
      </c>
      <c r="F1196">
        <v>412</v>
      </c>
      <c r="G1196">
        <v>2</v>
      </c>
      <c r="H1196">
        <v>91</v>
      </c>
      <c r="I1196" t="s">
        <v>386</v>
      </c>
      <c r="J1196" t="s">
        <v>386</v>
      </c>
      <c r="K1196">
        <v>1000000</v>
      </c>
      <c r="L1196">
        <v>1053</v>
      </c>
      <c r="M1196">
        <v>1053</v>
      </c>
      <c r="N1196">
        <v>1476</v>
      </c>
      <c r="O1196">
        <v>0</v>
      </c>
      <c r="P1196">
        <v>211</v>
      </c>
      <c r="Q1196">
        <v>303</v>
      </c>
      <c r="R1196">
        <v>292</v>
      </c>
      <c r="S1196">
        <v>189</v>
      </c>
      <c r="T1196">
        <v>0</v>
      </c>
      <c r="U1196">
        <v>9731</v>
      </c>
      <c r="V1196">
        <v>26035.591888710002</v>
      </c>
      <c r="AH1196">
        <f t="shared" si="167"/>
        <v>1053</v>
      </c>
      <c r="AI1196">
        <f t="shared" si="168"/>
        <v>1476</v>
      </c>
      <c r="AJ1196" t="str">
        <f t="shared" si="169"/>
        <v/>
      </c>
      <c r="AK1196">
        <f t="shared" si="170"/>
        <v>211</v>
      </c>
      <c r="AL1196">
        <f t="shared" si="163"/>
        <v>303</v>
      </c>
      <c r="AM1196">
        <f t="shared" si="164"/>
        <v>292</v>
      </c>
      <c r="AN1196">
        <f t="shared" si="165"/>
        <v>189</v>
      </c>
      <c r="AO1196" t="str">
        <f t="shared" si="166"/>
        <v/>
      </c>
    </row>
    <row r="1197" spans="1:41">
      <c r="A1197">
        <f t="shared" si="171"/>
        <v>1193</v>
      </c>
      <c r="B1197" t="s">
        <v>277</v>
      </c>
      <c r="C1197">
        <v>5</v>
      </c>
      <c r="D1197">
        <v>5</v>
      </c>
      <c r="E1197" t="s">
        <v>387</v>
      </c>
      <c r="F1197">
        <v>412</v>
      </c>
      <c r="G1197">
        <v>2</v>
      </c>
      <c r="H1197">
        <v>92</v>
      </c>
      <c r="I1197" t="s">
        <v>386</v>
      </c>
      <c r="J1197" t="s">
        <v>386</v>
      </c>
      <c r="K1197">
        <v>1000000</v>
      </c>
      <c r="L1197">
        <v>1061</v>
      </c>
      <c r="M1197">
        <v>1061</v>
      </c>
      <c r="N1197">
        <v>1487</v>
      </c>
      <c r="O1197">
        <v>0</v>
      </c>
      <c r="P1197">
        <v>181</v>
      </c>
      <c r="Q1197">
        <v>262</v>
      </c>
      <c r="R1197">
        <v>255</v>
      </c>
      <c r="S1197">
        <v>165</v>
      </c>
      <c r="T1197">
        <v>0</v>
      </c>
      <c r="U1197">
        <v>9784</v>
      </c>
      <c r="V1197">
        <v>26092.166821800001</v>
      </c>
      <c r="AH1197">
        <f t="shared" si="167"/>
        <v>1061</v>
      </c>
      <c r="AI1197">
        <f t="shared" si="168"/>
        <v>1487</v>
      </c>
      <c r="AJ1197" t="str">
        <f t="shared" si="169"/>
        <v/>
      </c>
      <c r="AK1197">
        <f t="shared" si="170"/>
        <v>181</v>
      </c>
      <c r="AL1197">
        <f t="shared" si="163"/>
        <v>262</v>
      </c>
      <c r="AM1197">
        <f t="shared" si="164"/>
        <v>255</v>
      </c>
      <c r="AN1197">
        <f t="shared" si="165"/>
        <v>165</v>
      </c>
      <c r="AO1197" t="str">
        <f t="shared" si="166"/>
        <v/>
      </c>
    </row>
    <row r="1198" spans="1:41">
      <c r="A1198">
        <f t="shared" si="171"/>
        <v>1194</v>
      </c>
      <c r="B1198" t="s">
        <v>277</v>
      </c>
      <c r="C1198">
        <v>5</v>
      </c>
      <c r="D1198">
        <v>5</v>
      </c>
      <c r="E1198" t="s">
        <v>387</v>
      </c>
      <c r="F1198">
        <v>412</v>
      </c>
      <c r="G1198">
        <v>2</v>
      </c>
      <c r="H1198">
        <v>93</v>
      </c>
      <c r="I1198" t="s">
        <v>386</v>
      </c>
      <c r="J1198" t="s">
        <v>386</v>
      </c>
      <c r="K1198">
        <v>1000000</v>
      </c>
      <c r="L1198">
        <v>1068</v>
      </c>
      <c r="M1198">
        <v>1068</v>
      </c>
      <c r="N1198">
        <v>1497</v>
      </c>
      <c r="O1198">
        <v>0</v>
      </c>
      <c r="P1198">
        <v>158</v>
      </c>
      <c r="Q1198">
        <v>231</v>
      </c>
      <c r="R1198">
        <v>224</v>
      </c>
      <c r="S1198">
        <v>146</v>
      </c>
      <c r="T1198">
        <v>0</v>
      </c>
      <c r="U1198">
        <v>9830</v>
      </c>
      <c r="V1198">
        <v>26140.574961620001</v>
      </c>
      <c r="AH1198">
        <f t="shared" si="167"/>
        <v>1068</v>
      </c>
      <c r="AI1198">
        <f t="shared" si="168"/>
        <v>1497</v>
      </c>
      <c r="AJ1198" t="str">
        <f t="shared" si="169"/>
        <v/>
      </c>
      <c r="AK1198">
        <f t="shared" si="170"/>
        <v>158</v>
      </c>
      <c r="AL1198">
        <f t="shared" si="163"/>
        <v>231</v>
      </c>
      <c r="AM1198">
        <f t="shared" si="164"/>
        <v>224</v>
      </c>
      <c r="AN1198">
        <f t="shared" si="165"/>
        <v>146</v>
      </c>
      <c r="AO1198" t="str">
        <f t="shared" si="166"/>
        <v/>
      </c>
    </row>
    <row r="1199" spans="1:41">
      <c r="A1199">
        <f t="shared" si="171"/>
        <v>1195</v>
      </c>
      <c r="B1199" t="s">
        <v>277</v>
      </c>
      <c r="C1199">
        <v>5</v>
      </c>
      <c r="D1199">
        <v>5</v>
      </c>
      <c r="E1199" t="s">
        <v>387</v>
      </c>
      <c r="F1199">
        <v>412</v>
      </c>
      <c r="G1199">
        <v>2</v>
      </c>
      <c r="H1199">
        <v>94</v>
      </c>
      <c r="I1199" t="s">
        <v>386</v>
      </c>
      <c r="J1199" t="s">
        <v>386</v>
      </c>
      <c r="K1199">
        <v>1000000</v>
      </c>
      <c r="L1199">
        <v>1074</v>
      </c>
      <c r="M1199">
        <v>1074</v>
      </c>
      <c r="N1199">
        <v>1505</v>
      </c>
      <c r="O1199">
        <v>0</v>
      </c>
      <c r="P1199">
        <v>140</v>
      </c>
      <c r="Q1199">
        <v>202</v>
      </c>
      <c r="R1199">
        <v>196</v>
      </c>
      <c r="S1199">
        <v>124</v>
      </c>
      <c r="T1199">
        <v>0</v>
      </c>
      <c r="U1199">
        <v>9869</v>
      </c>
      <c r="V1199">
        <v>26184.798017910001</v>
      </c>
      <c r="AH1199">
        <f t="shared" si="167"/>
        <v>1074</v>
      </c>
      <c r="AI1199">
        <f t="shared" si="168"/>
        <v>1505</v>
      </c>
      <c r="AJ1199" t="str">
        <f t="shared" si="169"/>
        <v/>
      </c>
      <c r="AK1199">
        <f t="shared" si="170"/>
        <v>140</v>
      </c>
      <c r="AL1199">
        <f t="shared" si="163"/>
        <v>202</v>
      </c>
      <c r="AM1199">
        <f t="shared" si="164"/>
        <v>196</v>
      </c>
      <c r="AN1199">
        <f t="shared" si="165"/>
        <v>124</v>
      </c>
      <c r="AO1199" t="str">
        <f t="shared" si="166"/>
        <v/>
      </c>
    </row>
    <row r="1200" spans="1:41">
      <c r="A1200">
        <f t="shared" si="171"/>
        <v>1196</v>
      </c>
      <c r="B1200" t="s">
        <v>277</v>
      </c>
      <c r="C1200">
        <v>5</v>
      </c>
      <c r="D1200">
        <v>5</v>
      </c>
      <c r="E1200" t="s">
        <v>387</v>
      </c>
      <c r="F1200">
        <v>412</v>
      </c>
      <c r="G1200">
        <v>2</v>
      </c>
      <c r="H1200">
        <v>95</v>
      </c>
      <c r="I1200" t="s">
        <v>386</v>
      </c>
      <c r="J1200" t="s">
        <v>386</v>
      </c>
      <c r="K1200">
        <v>1000000</v>
      </c>
      <c r="L1200">
        <v>1079</v>
      </c>
      <c r="M1200">
        <v>1079</v>
      </c>
      <c r="N1200">
        <v>1512</v>
      </c>
      <c r="O1200">
        <v>0</v>
      </c>
      <c r="P1200">
        <v>120</v>
      </c>
      <c r="Q1200">
        <v>174</v>
      </c>
      <c r="R1200">
        <v>164</v>
      </c>
      <c r="S1200">
        <v>104</v>
      </c>
      <c r="T1200">
        <v>0</v>
      </c>
      <c r="U1200">
        <v>9904</v>
      </c>
      <c r="V1200">
        <v>26228.207125159999</v>
      </c>
      <c r="AH1200">
        <f t="shared" si="167"/>
        <v>1079</v>
      </c>
      <c r="AI1200">
        <f t="shared" si="168"/>
        <v>1512</v>
      </c>
      <c r="AJ1200" t="str">
        <f t="shared" si="169"/>
        <v/>
      </c>
      <c r="AK1200">
        <f t="shared" si="170"/>
        <v>120</v>
      </c>
      <c r="AL1200">
        <f t="shared" si="163"/>
        <v>174</v>
      </c>
      <c r="AM1200">
        <f t="shared" si="164"/>
        <v>164</v>
      </c>
      <c r="AN1200">
        <f t="shared" si="165"/>
        <v>104</v>
      </c>
      <c r="AO1200" t="str">
        <f t="shared" si="166"/>
        <v/>
      </c>
    </row>
    <row r="1201" spans="1:41">
      <c r="A1201">
        <f t="shared" si="171"/>
        <v>1197</v>
      </c>
      <c r="B1201" t="s">
        <v>277</v>
      </c>
      <c r="C1201">
        <v>4</v>
      </c>
      <c r="D1201">
        <v>4</v>
      </c>
      <c r="E1201" t="s">
        <v>387</v>
      </c>
      <c r="F1201">
        <v>412</v>
      </c>
      <c r="G1201">
        <v>2</v>
      </c>
      <c r="H1201">
        <v>96</v>
      </c>
      <c r="I1201" t="s">
        <v>386</v>
      </c>
      <c r="J1201" t="s">
        <v>386</v>
      </c>
      <c r="K1201">
        <v>1000000</v>
      </c>
      <c r="L1201">
        <v>1082</v>
      </c>
      <c r="M1201">
        <v>1082</v>
      </c>
      <c r="N1201">
        <v>1573</v>
      </c>
      <c r="O1201">
        <v>0</v>
      </c>
      <c r="P1201">
        <v>82</v>
      </c>
      <c r="Q1201">
        <v>102</v>
      </c>
      <c r="R1201">
        <v>72</v>
      </c>
      <c r="S1201">
        <v>0</v>
      </c>
      <c r="T1201" t="s">
        <v>386</v>
      </c>
      <c r="U1201">
        <v>10204</v>
      </c>
      <c r="V1201">
        <v>26272.820730740001</v>
      </c>
      <c r="AH1201">
        <f t="shared" si="167"/>
        <v>1082</v>
      </c>
      <c r="AI1201">
        <f t="shared" si="168"/>
        <v>1573</v>
      </c>
      <c r="AJ1201" t="str">
        <f t="shared" si="169"/>
        <v/>
      </c>
      <c r="AK1201">
        <f t="shared" si="170"/>
        <v>82</v>
      </c>
      <c r="AL1201">
        <f t="shared" si="163"/>
        <v>102</v>
      </c>
      <c r="AM1201">
        <f t="shared" si="164"/>
        <v>72</v>
      </c>
      <c r="AN1201" t="str">
        <f t="shared" si="165"/>
        <v/>
      </c>
      <c r="AO1201" t="e">
        <f t="shared" si="166"/>
        <v>#VALUE!</v>
      </c>
    </row>
    <row r="1202" spans="1:41">
      <c r="A1202">
        <f t="shared" si="171"/>
        <v>1198</v>
      </c>
      <c r="B1202" t="s">
        <v>277</v>
      </c>
      <c r="C1202">
        <v>3</v>
      </c>
      <c r="D1202">
        <v>3</v>
      </c>
      <c r="E1202" t="s">
        <v>387</v>
      </c>
      <c r="F1202">
        <v>412</v>
      </c>
      <c r="G1202">
        <v>2</v>
      </c>
      <c r="H1202">
        <v>97</v>
      </c>
      <c r="I1202" t="s">
        <v>386</v>
      </c>
      <c r="J1202" t="s">
        <v>386</v>
      </c>
      <c r="K1202">
        <v>1000000</v>
      </c>
      <c r="L1202">
        <v>1084</v>
      </c>
      <c r="M1202">
        <v>1084</v>
      </c>
      <c r="N1202">
        <v>1681</v>
      </c>
      <c r="O1202">
        <v>0</v>
      </c>
      <c r="P1202">
        <v>46</v>
      </c>
      <c r="Q1202">
        <v>44</v>
      </c>
      <c r="R1202">
        <v>0</v>
      </c>
      <c r="S1202" t="s">
        <v>386</v>
      </c>
      <c r="T1202" t="s">
        <v>386</v>
      </c>
      <c r="U1202">
        <v>10728</v>
      </c>
      <c r="V1202">
        <v>26319.805530990001</v>
      </c>
      <c r="AH1202">
        <f t="shared" si="167"/>
        <v>1084</v>
      </c>
      <c r="AI1202">
        <f t="shared" si="168"/>
        <v>1681</v>
      </c>
      <c r="AJ1202" t="str">
        <f t="shared" si="169"/>
        <v/>
      </c>
      <c r="AK1202">
        <f t="shared" si="170"/>
        <v>46</v>
      </c>
      <c r="AL1202">
        <f t="shared" si="163"/>
        <v>44</v>
      </c>
      <c r="AM1202" t="str">
        <f t="shared" si="164"/>
        <v/>
      </c>
      <c r="AN1202" t="e">
        <f t="shared" si="165"/>
        <v>#VALUE!</v>
      </c>
      <c r="AO1202" t="e">
        <f t="shared" si="166"/>
        <v>#VALUE!</v>
      </c>
    </row>
    <row r="1203" spans="1:41">
      <c r="A1203">
        <f t="shared" si="171"/>
        <v>1199</v>
      </c>
      <c r="B1203" t="s">
        <v>277</v>
      </c>
      <c r="C1203">
        <v>2</v>
      </c>
      <c r="D1203">
        <v>2</v>
      </c>
      <c r="E1203" t="s">
        <v>387</v>
      </c>
      <c r="F1203">
        <v>412</v>
      </c>
      <c r="G1203">
        <v>2</v>
      </c>
      <c r="H1203">
        <v>98</v>
      </c>
      <c r="I1203" t="s">
        <v>386</v>
      </c>
      <c r="J1203" t="s">
        <v>386</v>
      </c>
      <c r="K1203">
        <v>1000000</v>
      </c>
      <c r="L1203">
        <v>1086</v>
      </c>
      <c r="M1203">
        <v>1086</v>
      </c>
      <c r="N1203">
        <v>1844</v>
      </c>
      <c r="O1203">
        <v>0</v>
      </c>
      <c r="P1203">
        <v>21</v>
      </c>
      <c r="Q1203">
        <v>0</v>
      </c>
      <c r="R1203" t="s">
        <v>386</v>
      </c>
      <c r="S1203" t="s">
        <v>386</v>
      </c>
      <c r="T1203" t="s">
        <v>386</v>
      </c>
      <c r="U1203">
        <v>10330</v>
      </c>
      <c r="V1203">
        <v>26368.310128969999</v>
      </c>
      <c r="AH1203">
        <f t="shared" si="167"/>
        <v>1086</v>
      </c>
      <c r="AI1203">
        <f t="shared" si="168"/>
        <v>1844</v>
      </c>
      <c r="AJ1203" t="str">
        <f t="shared" si="169"/>
        <v/>
      </c>
      <c r="AK1203">
        <f t="shared" si="170"/>
        <v>21</v>
      </c>
      <c r="AL1203" t="str">
        <f t="shared" si="163"/>
        <v/>
      </c>
      <c r="AM1203" t="e">
        <f t="shared" si="164"/>
        <v>#VALUE!</v>
      </c>
      <c r="AN1203" t="e">
        <f t="shared" si="165"/>
        <v>#VALUE!</v>
      </c>
      <c r="AO1203" t="e">
        <f t="shared" si="166"/>
        <v>#VALUE!</v>
      </c>
    </row>
    <row r="1204" spans="1:41">
      <c r="A1204">
        <f t="shared" si="171"/>
        <v>1200</v>
      </c>
      <c r="B1204" t="s">
        <v>277</v>
      </c>
      <c r="C1204">
        <v>1</v>
      </c>
      <c r="D1204">
        <v>1</v>
      </c>
      <c r="E1204" t="s">
        <v>387</v>
      </c>
      <c r="F1204">
        <v>412</v>
      </c>
      <c r="G1204">
        <v>2</v>
      </c>
      <c r="H1204">
        <v>99</v>
      </c>
      <c r="I1204" t="s">
        <v>386</v>
      </c>
      <c r="J1204" t="s">
        <v>386</v>
      </c>
      <c r="K1204">
        <v>1000000</v>
      </c>
      <c r="L1204">
        <v>1088</v>
      </c>
      <c r="M1204">
        <v>1088</v>
      </c>
      <c r="N1204">
        <v>2321</v>
      </c>
      <c r="O1204">
        <v>0</v>
      </c>
      <c r="P1204">
        <v>0</v>
      </c>
      <c r="Q1204" t="s">
        <v>386</v>
      </c>
      <c r="R1204" t="s">
        <v>386</v>
      </c>
      <c r="S1204" t="s">
        <v>386</v>
      </c>
      <c r="T1204" t="s">
        <v>386</v>
      </c>
      <c r="U1204">
        <v>9843</v>
      </c>
      <c r="V1204">
        <v>26416.42554987</v>
      </c>
      <c r="AH1204">
        <f t="shared" si="167"/>
        <v>1088</v>
      </c>
      <c r="AI1204">
        <f t="shared" si="168"/>
        <v>2321</v>
      </c>
      <c r="AJ1204" t="str">
        <f t="shared" si="169"/>
        <v/>
      </c>
      <c r="AK1204" t="str">
        <f t="shared" si="170"/>
        <v/>
      </c>
      <c r="AL1204" t="e">
        <f t="shared" si="163"/>
        <v>#VALUE!</v>
      </c>
      <c r="AM1204" t="e">
        <f t="shared" si="164"/>
        <v>#VALUE!</v>
      </c>
      <c r="AN1204" t="e">
        <f t="shared" si="165"/>
        <v>#VALUE!</v>
      </c>
      <c r="AO1204" t="e">
        <f t="shared" si="166"/>
        <v>#VALUE!</v>
      </c>
    </row>
    <row r="1205" spans="1:41">
      <c r="A1205">
        <f t="shared" si="171"/>
        <v>1201</v>
      </c>
      <c r="B1205" t="s">
        <v>270</v>
      </c>
      <c r="C1205">
        <v>5</v>
      </c>
      <c r="D1205">
        <v>5</v>
      </c>
      <c r="E1205" t="s">
        <v>385</v>
      </c>
      <c r="F1205">
        <v>412</v>
      </c>
      <c r="G1205">
        <v>1</v>
      </c>
      <c r="H1205">
        <v>30</v>
      </c>
      <c r="I1205" t="s">
        <v>386</v>
      </c>
      <c r="J1205" t="s">
        <v>386</v>
      </c>
      <c r="K1205">
        <v>1000000</v>
      </c>
      <c r="L1205">
        <v>76</v>
      </c>
      <c r="M1205">
        <v>76</v>
      </c>
      <c r="N1205">
        <v>206</v>
      </c>
      <c r="O1205">
        <v>0</v>
      </c>
      <c r="P1205">
        <v>240</v>
      </c>
      <c r="Q1205">
        <v>322</v>
      </c>
      <c r="R1205">
        <v>322</v>
      </c>
      <c r="S1205">
        <v>218</v>
      </c>
      <c r="T1205">
        <v>0</v>
      </c>
      <c r="U1205">
        <v>5418</v>
      </c>
      <c r="V1205">
        <v>63908.611334269997</v>
      </c>
      <c r="AH1205">
        <f t="shared" si="167"/>
        <v>76</v>
      </c>
      <c r="AI1205">
        <f t="shared" si="168"/>
        <v>206</v>
      </c>
      <c r="AJ1205" t="str">
        <f t="shared" si="169"/>
        <v/>
      </c>
      <c r="AK1205">
        <f t="shared" si="170"/>
        <v>240</v>
      </c>
      <c r="AL1205">
        <f t="shared" si="163"/>
        <v>322</v>
      </c>
      <c r="AM1205">
        <f t="shared" si="164"/>
        <v>322</v>
      </c>
      <c r="AN1205">
        <f t="shared" si="165"/>
        <v>218</v>
      </c>
      <c r="AO1205" t="str">
        <f t="shared" si="166"/>
        <v/>
      </c>
    </row>
    <row r="1206" spans="1:41">
      <c r="A1206">
        <f t="shared" si="171"/>
        <v>1202</v>
      </c>
      <c r="B1206" t="s">
        <v>270</v>
      </c>
      <c r="C1206">
        <v>5</v>
      </c>
      <c r="D1206">
        <v>5</v>
      </c>
      <c r="E1206" t="s">
        <v>385</v>
      </c>
      <c r="F1206">
        <v>412</v>
      </c>
      <c r="G1206">
        <v>1</v>
      </c>
      <c r="H1206">
        <v>31</v>
      </c>
      <c r="I1206" t="s">
        <v>386</v>
      </c>
      <c r="J1206" t="s">
        <v>386</v>
      </c>
      <c r="K1206">
        <v>1000000</v>
      </c>
      <c r="L1206">
        <v>83</v>
      </c>
      <c r="M1206">
        <v>83</v>
      </c>
      <c r="N1206">
        <v>216</v>
      </c>
      <c r="O1206">
        <v>0</v>
      </c>
      <c r="P1206">
        <v>274</v>
      </c>
      <c r="Q1206">
        <v>367</v>
      </c>
      <c r="R1206">
        <v>359</v>
      </c>
      <c r="S1206">
        <v>240</v>
      </c>
      <c r="T1206">
        <v>0</v>
      </c>
      <c r="U1206">
        <v>5468</v>
      </c>
      <c r="V1206">
        <v>63971.189333980001</v>
      </c>
      <c r="AH1206">
        <f t="shared" si="167"/>
        <v>83</v>
      </c>
      <c r="AI1206">
        <f t="shared" si="168"/>
        <v>216</v>
      </c>
      <c r="AJ1206" t="str">
        <f t="shared" si="169"/>
        <v/>
      </c>
      <c r="AK1206">
        <f t="shared" si="170"/>
        <v>274</v>
      </c>
      <c r="AL1206">
        <f t="shared" si="163"/>
        <v>367</v>
      </c>
      <c r="AM1206">
        <f t="shared" si="164"/>
        <v>359</v>
      </c>
      <c r="AN1206">
        <f t="shared" si="165"/>
        <v>240</v>
      </c>
      <c r="AO1206" t="str">
        <f t="shared" si="166"/>
        <v/>
      </c>
    </row>
    <row r="1207" spans="1:41">
      <c r="A1207">
        <f t="shared" si="171"/>
        <v>1203</v>
      </c>
      <c r="B1207" t="s">
        <v>270</v>
      </c>
      <c r="C1207">
        <v>5</v>
      </c>
      <c r="D1207">
        <v>5</v>
      </c>
      <c r="E1207" t="s">
        <v>385</v>
      </c>
      <c r="F1207">
        <v>412</v>
      </c>
      <c r="G1207">
        <v>1</v>
      </c>
      <c r="H1207">
        <v>32</v>
      </c>
      <c r="I1207" t="s">
        <v>386</v>
      </c>
      <c r="J1207" t="s">
        <v>386</v>
      </c>
      <c r="K1207">
        <v>1000000</v>
      </c>
      <c r="L1207">
        <v>92</v>
      </c>
      <c r="M1207">
        <v>92</v>
      </c>
      <c r="N1207">
        <v>228</v>
      </c>
      <c r="O1207">
        <v>0</v>
      </c>
      <c r="P1207">
        <v>307</v>
      </c>
      <c r="Q1207">
        <v>404</v>
      </c>
      <c r="R1207">
        <v>391</v>
      </c>
      <c r="S1207">
        <v>261</v>
      </c>
      <c r="T1207">
        <v>0</v>
      </c>
      <c r="U1207">
        <v>5524</v>
      </c>
      <c r="V1207">
        <v>64039.916904359998</v>
      </c>
      <c r="AH1207">
        <f t="shared" si="167"/>
        <v>92</v>
      </c>
      <c r="AI1207">
        <f t="shared" si="168"/>
        <v>228</v>
      </c>
      <c r="AJ1207" t="str">
        <f t="shared" si="169"/>
        <v/>
      </c>
      <c r="AK1207">
        <f t="shared" si="170"/>
        <v>307</v>
      </c>
      <c r="AL1207">
        <f t="shared" si="163"/>
        <v>404</v>
      </c>
      <c r="AM1207">
        <f t="shared" si="164"/>
        <v>391</v>
      </c>
      <c r="AN1207">
        <f t="shared" si="165"/>
        <v>261</v>
      </c>
      <c r="AO1207" t="str">
        <f t="shared" si="166"/>
        <v/>
      </c>
    </row>
    <row r="1208" spans="1:41">
      <c r="A1208">
        <f t="shared" si="171"/>
        <v>1204</v>
      </c>
      <c r="B1208" t="s">
        <v>270</v>
      </c>
      <c r="C1208">
        <v>5</v>
      </c>
      <c r="D1208">
        <v>5</v>
      </c>
      <c r="E1208" t="s">
        <v>385</v>
      </c>
      <c r="F1208">
        <v>412</v>
      </c>
      <c r="G1208">
        <v>1</v>
      </c>
      <c r="H1208">
        <v>33</v>
      </c>
      <c r="I1208" t="s">
        <v>386</v>
      </c>
      <c r="J1208" t="s">
        <v>386</v>
      </c>
      <c r="K1208">
        <v>1000000</v>
      </c>
      <c r="L1208">
        <v>102</v>
      </c>
      <c r="M1208">
        <v>102</v>
      </c>
      <c r="N1208">
        <v>241</v>
      </c>
      <c r="O1208">
        <v>0</v>
      </c>
      <c r="P1208">
        <v>338</v>
      </c>
      <c r="Q1208">
        <v>441</v>
      </c>
      <c r="R1208">
        <v>429</v>
      </c>
      <c r="S1208">
        <v>290</v>
      </c>
      <c r="T1208">
        <v>0</v>
      </c>
      <c r="U1208">
        <v>5585</v>
      </c>
      <c r="V1208">
        <v>64115.14274671</v>
      </c>
      <c r="AH1208">
        <f t="shared" si="167"/>
        <v>102</v>
      </c>
      <c r="AI1208">
        <f t="shared" si="168"/>
        <v>241</v>
      </c>
      <c r="AJ1208" t="str">
        <f t="shared" si="169"/>
        <v/>
      </c>
      <c r="AK1208">
        <f t="shared" si="170"/>
        <v>338</v>
      </c>
      <c r="AL1208">
        <f t="shared" si="163"/>
        <v>441</v>
      </c>
      <c r="AM1208">
        <f t="shared" si="164"/>
        <v>429</v>
      </c>
      <c r="AN1208">
        <f t="shared" si="165"/>
        <v>290</v>
      </c>
      <c r="AO1208" t="str">
        <f t="shared" si="166"/>
        <v/>
      </c>
    </row>
    <row r="1209" spans="1:41">
      <c r="A1209">
        <f t="shared" si="171"/>
        <v>1205</v>
      </c>
      <c r="B1209" t="s">
        <v>270</v>
      </c>
      <c r="C1209">
        <v>5</v>
      </c>
      <c r="D1209">
        <v>5</v>
      </c>
      <c r="E1209" t="s">
        <v>385</v>
      </c>
      <c r="F1209">
        <v>412</v>
      </c>
      <c r="G1209">
        <v>1</v>
      </c>
      <c r="H1209">
        <v>34</v>
      </c>
      <c r="I1209" t="s">
        <v>386</v>
      </c>
      <c r="J1209" t="s">
        <v>386</v>
      </c>
      <c r="K1209">
        <v>1000000</v>
      </c>
      <c r="L1209">
        <v>113</v>
      </c>
      <c r="M1209">
        <v>113</v>
      </c>
      <c r="N1209">
        <v>256</v>
      </c>
      <c r="O1209">
        <v>0</v>
      </c>
      <c r="P1209">
        <v>380</v>
      </c>
      <c r="Q1209">
        <v>502</v>
      </c>
      <c r="R1209">
        <v>501</v>
      </c>
      <c r="S1209">
        <v>352</v>
      </c>
      <c r="T1209">
        <v>0</v>
      </c>
      <c r="U1209">
        <v>5657</v>
      </c>
      <c r="V1209">
        <v>64199.286174219997</v>
      </c>
      <c r="AH1209">
        <f t="shared" si="167"/>
        <v>113</v>
      </c>
      <c r="AI1209">
        <f t="shared" si="168"/>
        <v>256</v>
      </c>
      <c r="AJ1209" t="str">
        <f t="shared" si="169"/>
        <v/>
      </c>
      <c r="AK1209">
        <f t="shared" si="170"/>
        <v>380</v>
      </c>
      <c r="AL1209">
        <f t="shared" si="163"/>
        <v>502</v>
      </c>
      <c r="AM1209">
        <f t="shared" si="164"/>
        <v>501</v>
      </c>
      <c r="AN1209">
        <f t="shared" si="165"/>
        <v>352</v>
      </c>
      <c r="AO1209" t="str">
        <f t="shared" si="166"/>
        <v/>
      </c>
    </row>
    <row r="1210" spans="1:41">
      <c r="A1210">
        <f t="shared" si="171"/>
        <v>1206</v>
      </c>
      <c r="B1210" t="s">
        <v>270</v>
      </c>
      <c r="C1210">
        <v>5</v>
      </c>
      <c r="D1210">
        <v>5</v>
      </c>
      <c r="E1210" t="s">
        <v>385</v>
      </c>
      <c r="F1210">
        <v>412</v>
      </c>
      <c r="G1210">
        <v>1</v>
      </c>
      <c r="H1210">
        <v>35</v>
      </c>
      <c r="I1210" t="s">
        <v>386</v>
      </c>
      <c r="J1210" t="s">
        <v>386</v>
      </c>
      <c r="K1210">
        <v>1000000</v>
      </c>
      <c r="L1210">
        <v>126</v>
      </c>
      <c r="M1210">
        <v>126</v>
      </c>
      <c r="N1210">
        <v>274</v>
      </c>
      <c r="O1210">
        <v>0</v>
      </c>
      <c r="P1210">
        <v>444</v>
      </c>
      <c r="Q1210">
        <v>604</v>
      </c>
      <c r="R1210">
        <v>622</v>
      </c>
      <c r="S1210">
        <v>441</v>
      </c>
      <c r="T1210">
        <v>0</v>
      </c>
      <c r="U1210">
        <v>5743</v>
      </c>
      <c r="V1210">
        <v>64296.531357270003</v>
      </c>
      <c r="AH1210">
        <f t="shared" si="167"/>
        <v>126</v>
      </c>
      <c r="AI1210">
        <f t="shared" si="168"/>
        <v>274</v>
      </c>
      <c r="AJ1210" t="str">
        <f t="shared" si="169"/>
        <v/>
      </c>
      <c r="AK1210">
        <f t="shared" si="170"/>
        <v>444</v>
      </c>
      <c r="AL1210">
        <f t="shared" si="163"/>
        <v>604</v>
      </c>
      <c r="AM1210">
        <f t="shared" si="164"/>
        <v>622</v>
      </c>
      <c r="AN1210">
        <f t="shared" si="165"/>
        <v>441</v>
      </c>
      <c r="AO1210" t="str">
        <f t="shared" si="166"/>
        <v/>
      </c>
    </row>
    <row r="1211" spans="1:41">
      <c r="A1211">
        <f t="shared" si="171"/>
        <v>1207</v>
      </c>
      <c r="B1211" t="s">
        <v>270</v>
      </c>
      <c r="C1211">
        <v>5</v>
      </c>
      <c r="D1211">
        <v>5</v>
      </c>
      <c r="E1211" t="s">
        <v>385</v>
      </c>
      <c r="F1211">
        <v>412</v>
      </c>
      <c r="G1211">
        <v>1</v>
      </c>
      <c r="H1211">
        <v>36</v>
      </c>
      <c r="I1211" t="s">
        <v>386</v>
      </c>
      <c r="J1211" t="s">
        <v>386</v>
      </c>
      <c r="K1211">
        <v>1000000</v>
      </c>
      <c r="L1211">
        <v>143</v>
      </c>
      <c r="M1211">
        <v>143</v>
      </c>
      <c r="N1211">
        <v>296</v>
      </c>
      <c r="O1211">
        <v>0</v>
      </c>
      <c r="P1211">
        <v>535</v>
      </c>
      <c r="Q1211">
        <v>750</v>
      </c>
      <c r="R1211">
        <v>772</v>
      </c>
      <c r="S1211">
        <v>539</v>
      </c>
      <c r="T1211">
        <v>0</v>
      </c>
      <c r="U1211">
        <v>5848</v>
      </c>
      <c r="V1211">
        <v>64412.927084900002</v>
      </c>
      <c r="AH1211">
        <f t="shared" si="167"/>
        <v>143</v>
      </c>
      <c r="AI1211">
        <f t="shared" si="168"/>
        <v>296</v>
      </c>
      <c r="AJ1211" t="str">
        <f t="shared" si="169"/>
        <v/>
      </c>
      <c r="AK1211">
        <f t="shared" si="170"/>
        <v>535</v>
      </c>
      <c r="AL1211">
        <f t="shared" si="163"/>
        <v>750</v>
      </c>
      <c r="AM1211">
        <f t="shared" si="164"/>
        <v>772</v>
      </c>
      <c r="AN1211">
        <f t="shared" si="165"/>
        <v>539</v>
      </c>
      <c r="AO1211" t="str">
        <f t="shared" si="166"/>
        <v/>
      </c>
    </row>
    <row r="1212" spans="1:41">
      <c r="A1212">
        <f t="shared" si="171"/>
        <v>1208</v>
      </c>
      <c r="B1212" t="s">
        <v>270</v>
      </c>
      <c r="C1212">
        <v>5</v>
      </c>
      <c r="D1212">
        <v>5</v>
      </c>
      <c r="E1212" t="s">
        <v>385</v>
      </c>
      <c r="F1212">
        <v>412</v>
      </c>
      <c r="G1212">
        <v>1</v>
      </c>
      <c r="H1212">
        <v>37</v>
      </c>
      <c r="I1212" t="s">
        <v>386</v>
      </c>
      <c r="J1212" t="s">
        <v>386</v>
      </c>
      <c r="K1212">
        <v>1000000</v>
      </c>
      <c r="L1212">
        <v>162</v>
      </c>
      <c r="M1212">
        <v>162</v>
      </c>
      <c r="N1212">
        <v>322</v>
      </c>
      <c r="O1212">
        <v>0</v>
      </c>
      <c r="P1212">
        <v>644</v>
      </c>
      <c r="Q1212">
        <v>901</v>
      </c>
      <c r="R1212">
        <v>909</v>
      </c>
      <c r="S1212">
        <v>618</v>
      </c>
      <c r="T1212">
        <v>0</v>
      </c>
      <c r="U1212">
        <v>5973</v>
      </c>
      <c r="V1212">
        <v>64554.207474939998</v>
      </c>
      <c r="AH1212">
        <f t="shared" si="167"/>
        <v>162</v>
      </c>
      <c r="AI1212">
        <f t="shared" si="168"/>
        <v>322</v>
      </c>
      <c r="AJ1212" t="str">
        <f t="shared" si="169"/>
        <v/>
      </c>
      <c r="AK1212">
        <f t="shared" si="170"/>
        <v>644</v>
      </c>
      <c r="AL1212">
        <f t="shared" si="163"/>
        <v>901</v>
      </c>
      <c r="AM1212">
        <f t="shared" si="164"/>
        <v>909</v>
      </c>
      <c r="AN1212">
        <f t="shared" si="165"/>
        <v>618</v>
      </c>
      <c r="AO1212" t="str">
        <f t="shared" si="166"/>
        <v/>
      </c>
    </row>
    <row r="1213" spans="1:41">
      <c r="A1213">
        <f t="shared" si="171"/>
        <v>1209</v>
      </c>
      <c r="B1213" t="s">
        <v>270</v>
      </c>
      <c r="C1213">
        <v>5</v>
      </c>
      <c r="D1213">
        <v>5</v>
      </c>
      <c r="E1213" t="s">
        <v>385</v>
      </c>
      <c r="F1213">
        <v>412</v>
      </c>
      <c r="G1213">
        <v>1</v>
      </c>
      <c r="H1213">
        <v>38</v>
      </c>
      <c r="I1213" t="s">
        <v>386</v>
      </c>
      <c r="J1213" t="s">
        <v>386</v>
      </c>
      <c r="K1213">
        <v>1000000</v>
      </c>
      <c r="L1213">
        <v>184</v>
      </c>
      <c r="M1213">
        <v>184</v>
      </c>
      <c r="N1213">
        <v>352</v>
      </c>
      <c r="O1213">
        <v>0</v>
      </c>
      <c r="P1213">
        <v>739</v>
      </c>
      <c r="Q1213">
        <v>1013</v>
      </c>
      <c r="R1213">
        <v>996</v>
      </c>
      <c r="S1213">
        <v>659</v>
      </c>
      <c r="T1213">
        <v>0</v>
      </c>
      <c r="U1213">
        <v>6116</v>
      </c>
      <c r="V1213">
        <v>64724.437582730003</v>
      </c>
      <c r="AH1213">
        <f t="shared" si="167"/>
        <v>184</v>
      </c>
      <c r="AI1213">
        <f t="shared" si="168"/>
        <v>352</v>
      </c>
      <c r="AJ1213" t="str">
        <f t="shared" si="169"/>
        <v/>
      </c>
      <c r="AK1213">
        <f t="shared" si="170"/>
        <v>739</v>
      </c>
      <c r="AL1213">
        <f t="shared" si="163"/>
        <v>1013</v>
      </c>
      <c r="AM1213">
        <f t="shared" si="164"/>
        <v>996</v>
      </c>
      <c r="AN1213">
        <f t="shared" si="165"/>
        <v>659</v>
      </c>
      <c r="AO1213" t="str">
        <f t="shared" si="166"/>
        <v/>
      </c>
    </row>
    <row r="1214" spans="1:41">
      <c r="A1214">
        <f t="shared" si="171"/>
        <v>1210</v>
      </c>
      <c r="B1214" t="s">
        <v>270</v>
      </c>
      <c r="C1214">
        <v>5</v>
      </c>
      <c r="D1214">
        <v>5</v>
      </c>
      <c r="E1214" t="s">
        <v>385</v>
      </c>
      <c r="F1214">
        <v>412</v>
      </c>
      <c r="G1214">
        <v>1</v>
      </c>
      <c r="H1214">
        <v>39</v>
      </c>
      <c r="I1214" t="s">
        <v>386</v>
      </c>
      <c r="J1214" t="s">
        <v>386</v>
      </c>
      <c r="K1214">
        <v>1000000</v>
      </c>
      <c r="L1214">
        <v>208</v>
      </c>
      <c r="M1214">
        <v>208</v>
      </c>
      <c r="N1214">
        <v>384</v>
      </c>
      <c r="O1214">
        <v>0</v>
      </c>
      <c r="P1214">
        <v>800</v>
      </c>
      <c r="Q1214">
        <v>1068</v>
      </c>
      <c r="R1214">
        <v>1025</v>
      </c>
      <c r="S1214">
        <v>668</v>
      </c>
      <c r="T1214">
        <v>0</v>
      </c>
      <c r="U1214">
        <v>6270</v>
      </c>
      <c r="V1214">
        <v>64922.563690789997</v>
      </c>
      <c r="AH1214">
        <f t="shared" si="167"/>
        <v>208</v>
      </c>
      <c r="AI1214">
        <f t="shared" si="168"/>
        <v>384</v>
      </c>
      <c r="AJ1214" t="str">
        <f t="shared" si="169"/>
        <v/>
      </c>
      <c r="AK1214">
        <f t="shared" si="170"/>
        <v>800</v>
      </c>
      <c r="AL1214">
        <f t="shared" si="163"/>
        <v>1068</v>
      </c>
      <c r="AM1214">
        <f t="shared" si="164"/>
        <v>1025</v>
      </c>
      <c r="AN1214">
        <f t="shared" si="165"/>
        <v>668</v>
      </c>
      <c r="AO1214" t="str">
        <f t="shared" si="166"/>
        <v/>
      </c>
    </row>
    <row r="1215" spans="1:41">
      <c r="A1215">
        <f t="shared" si="171"/>
        <v>1211</v>
      </c>
      <c r="B1215" t="s">
        <v>270</v>
      </c>
      <c r="C1215">
        <v>5</v>
      </c>
      <c r="D1215">
        <v>5</v>
      </c>
      <c r="E1215" t="s">
        <v>385</v>
      </c>
      <c r="F1215">
        <v>412</v>
      </c>
      <c r="G1215">
        <v>1</v>
      </c>
      <c r="H1215">
        <v>40</v>
      </c>
      <c r="I1215" t="s">
        <v>386</v>
      </c>
      <c r="J1215" t="s">
        <v>386</v>
      </c>
      <c r="K1215">
        <v>1000000</v>
      </c>
      <c r="L1215">
        <v>233</v>
      </c>
      <c r="M1215">
        <v>233</v>
      </c>
      <c r="N1215">
        <v>417</v>
      </c>
      <c r="O1215">
        <v>0</v>
      </c>
      <c r="P1215">
        <v>829</v>
      </c>
      <c r="Q1215">
        <v>1081</v>
      </c>
      <c r="R1215">
        <v>1027</v>
      </c>
      <c r="S1215">
        <v>671</v>
      </c>
      <c r="T1215">
        <v>0</v>
      </c>
      <c r="U1215">
        <v>6429</v>
      </c>
      <c r="V1215">
        <v>65145.280838010003</v>
      </c>
      <c r="AH1215">
        <f t="shared" si="167"/>
        <v>233</v>
      </c>
      <c r="AI1215">
        <f t="shared" si="168"/>
        <v>417</v>
      </c>
      <c r="AJ1215" t="str">
        <f t="shared" si="169"/>
        <v/>
      </c>
      <c r="AK1215">
        <f t="shared" si="170"/>
        <v>829</v>
      </c>
      <c r="AL1215">
        <f t="shared" si="163"/>
        <v>1081</v>
      </c>
      <c r="AM1215">
        <f t="shared" si="164"/>
        <v>1027</v>
      </c>
      <c r="AN1215">
        <f t="shared" si="165"/>
        <v>671</v>
      </c>
      <c r="AO1215" t="str">
        <f t="shared" si="166"/>
        <v/>
      </c>
    </row>
    <row r="1216" spans="1:41">
      <c r="A1216">
        <f t="shared" si="171"/>
        <v>1212</v>
      </c>
      <c r="B1216" t="s">
        <v>270</v>
      </c>
      <c r="C1216">
        <v>5</v>
      </c>
      <c r="D1216">
        <v>5</v>
      </c>
      <c r="E1216" t="s">
        <v>385</v>
      </c>
      <c r="F1216">
        <v>412</v>
      </c>
      <c r="G1216">
        <v>1</v>
      </c>
      <c r="H1216">
        <v>41</v>
      </c>
      <c r="I1216" t="s">
        <v>386</v>
      </c>
      <c r="J1216" t="s">
        <v>386</v>
      </c>
      <c r="K1216">
        <v>1000000</v>
      </c>
      <c r="L1216">
        <v>258</v>
      </c>
      <c r="M1216">
        <v>258</v>
      </c>
      <c r="N1216">
        <v>451</v>
      </c>
      <c r="O1216">
        <v>0</v>
      </c>
      <c r="P1216">
        <v>847</v>
      </c>
      <c r="Q1216">
        <v>1093</v>
      </c>
      <c r="R1216">
        <v>1046</v>
      </c>
      <c r="S1216">
        <v>692</v>
      </c>
      <c r="T1216">
        <v>0</v>
      </c>
      <c r="U1216">
        <v>6590</v>
      </c>
      <c r="V1216">
        <v>65387.030280999999</v>
      </c>
      <c r="AH1216">
        <f t="shared" si="167"/>
        <v>258</v>
      </c>
      <c r="AI1216">
        <f t="shared" si="168"/>
        <v>451</v>
      </c>
      <c r="AJ1216" t="str">
        <f t="shared" si="169"/>
        <v/>
      </c>
      <c r="AK1216">
        <f t="shared" si="170"/>
        <v>847</v>
      </c>
      <c r="AL1216">
        <f t="shared" si="163"/>
        <v>1093</v>
      </c>
      <c r="AM1216">
        <f t="shared" si="164"/>
        <v>1046</v>
      </c>
      <c r="AN1216">
        <f t="shared" si="165"/>
        <v>692</v>
      </c>
      <c r="AO1216" t="str">
        <f t="shared" si="166"/>
        <v/>
      </c>
    </row>
    <row r="1217" spans="1:41">
      <c r="A1217">
        <f t="shared" si="171"/>
        <v>1213</v>
      </c>
      <c r="B1217" t="s">
        <v>270</v>
      </c>
      <c r="C1217">
        <v>5</v>
      </c>
      <c r="D1217">
        <v>5</v>
      </c>
      <c r="E1217" t="s">
        <v>385</v>
      </c>
      <c r="F1217">
        <v>412</v>
      </c>
      <c r="G1217">
        <v>1</v>
      </c>
      <c r="H1217">
        <v>42</v>
      </c>
      <c r="I1217" t="s">
        <v>386</v>
      </c>
      <c r="J1217" t="s">
        <v>386</v>
      </c>
      <c r="K1217">
        <v>1000000</v>
      </c>
      <c r="L1217">
        <v>284</v>
      </c>
      <c r="M1217">
        <v>284</v>
      </c>
      <c r="N1217">
        <v>485</v>
      </c>
      <c r="O1217">
        <v>0</v>
      </c>
      <c r="P1217">
        <v>879</v>
      </c>
      <c r="Q1217">
        <v>1137</v>
      </c>
      <c r="R1217">
        <v>1097</v>
      </c>
      <c r="S1217">
        <v>729</v>
      </c>
      <c r="T1217">
        <v>0</v>
      </c>
      <c r="U1217">
        <v>6754</v>
      </c>
      <c r="V1217">
        <v>65641.287789170005</v>
      </c>
      <c r="AH1217">
        <f t="shared" si="167"/>
        <v>284</v>
      </c>
      <c r="AI1217">
        <f t="shared" si="168"/>
        <v>485</v>
      </c>
      <c r="AJ1217" t="str">
        <f t="shared" si="169"/>
        <v/>
      </c>
      <c r="AK1217">
        <f t="shared" si="170"/>
        <v>879</v>
      </c>
      <c r="AL1217">
        <f t="shared" si="163"/>
        <v>1137</v>
      </c>
      <c r="AM1217">
        <f t="shared" si="164"/>
        <v>1097</v>
      </c>
      <c r="AN1217">
        <f t="shared" si="165"/>
        <v>729</v>
      </c>
      <c r="AO1217" t="str">
        <f t="shared" si="166"/>
        <v/>
      </c>
    </row>
    <row r="1218" spans="1:41">
      <c r="A1218">
        <f t="shared" si="171"/>
        <v>1214</v>
      </c>
      <c r="B1218" t="s">
        <v>270</v>
      </c>
      <c r="C1218">
        <v>5</v>
      </c>
      <c r="D1218">
        <v>5</v>
      </c>
      <c r="E1218" t="s">
        <v>385</v>
      </c>
      <c r="F1218">
        <v>412</v>
      </c>
      <c r="G1218">
        <v>1</v>
      </c>
      <c r="H1218">
        <v>43</v>
      </c>
      <c r="I1218" t="s">
        <v>386</v>
      </c>
      <c r="J1218" t="s">
        <v>386</v>
      </c>
      <c r="K1218">
        <v>1000000</v>
      </c>
      <c r="L1218">
        <v>311</v>
      </c>
      <c r="M1218">
        <v>311</v>
      </c>
      <c r="N1218">
        <v>521</v>
      </c>
      <c r="O1218">
        <v>0</v>
      </c>
      <c r="P1218">
        <v>941</v>
      </c>
      <c r="Q1218">
        <v>1222</v>
      </c>
      <c r="R1218">
        <v>1183</v>
      </c>
      <c r="S1218">
        <v>794</v>
      </c>
      <c r="T1218">
        <v>0</v>
      </c>
      <c r="U1218">
        <v>6926</v>
      </c>
      <c r="V1218">
        <v>65905.533782019993</v>
      </c>
      <c r="AH1218">
        <f t="shared" si="167"/>
        <v>311</v>
      </c>
      <c r="AI1218">
        <f t="shared" si="168"/>
        <v>521</v>
      </c>
      <c r="AJ1218" t="str">
        <f t="shared" si="169"/>
        <v/>
      </c>
      <c r="AK1218">
        <f t="shared" si="170"/>
        <v>941</v>
      </c>
      <c r="AL1218">
        <f t="shared" si="163"/>
        <v>1222</v>
      </c>
      <c r="AM1218">
        <f t="shared" si="164"/>
        <v>1183</v>
      </c>
      <c r="AN1218">
        <f t="shared" si="165"/>
        <v>794</v>
      </c>
      <c r="AO1218" t="str">
        <f t="shared" si="166"/>
        <v/>
      </c>
    </row>
    <row r="1219" spans="1:41">
      <c r="A1219">
        <f t="shared" si="171"/>
        <v>1215</v>
      </c>
      <c r="B1219" t="s">
        <v>270</v>
      </c>
      <c r="C1219">
        <v>5</v>
      </c>
      <c r="D1219">
        <v>5</v>
      </c>
      <c r="E1219" t="s">
        <v>385</v>
      </c>
      <c r="F1219">
        <v>412</v>
      </c>
      <c r="G1219">
        <v>1</v>
      </c>
      <c r="H1219">
        <v>44</v>
      </c>
      <c r="I1219" t="s">
        <v>386</v>
      </c>
      <c r="J1219" t="s">
        <v>386</v>
      </c>
      <c r="K1219">
        <v>1000000</v>
      </c>
      <c r="L1219">
        <v>340</v>
      </c>
      <c r="M1219">
        <v>340</v>
      </c>
      <c r="N1219">
        <v>560</v>
      </c>
      <c r="O1219">
        <v>0</v>
      </c>
      <c r="P1219">
        <v>1030</v>
      </c>
      <c r="Q1219">
        <v>1339</v>
      </c>
      <c r="R1219">
        <v>1306</v>
      </c>
      <c r="S1219">
        <v>880</v>
      </c>
      <c r="T1219">
        <v>0</v>
      </c>
      <c r="U1219">
        <v>7112</v>
      </c>
      <c r="V1219">
        <v>66184.983991889996</v>
      </c>
      <c r="AH1219">
        <f t="shared" si="167"/>
        <v>340</v>
      </c>
      <c r="AI1219">
        <f t="shared" si="168"/>
        <v>560</v>
      </c>
      <c r="AJ1219" t="str">
        <f t="shared" si="169"/>
        <v/>
      </c>
      <c r="AK1219">
        <f t="shared" si="170"/>
        <v>1030</v>
      </c>
      <c r="AL1219">
        <f t="shared" si="163"/>
        <v>1339</v>
      </c>
      <c r="AM1219">
        <f t="shared" si="164"/>
        <v>1306</v>
      </c>
      <c r="AN1219">
        <f t="shared" si="165"/>
        <v>880</v>
      </c>
      <c r="AO1219" t="str">
        <f t="shared" si="166"/>
        <v/>
      </c>
    </row>
    <row r="1220" spans="1:41">
      <c r="A1220">
        <f t="shared" si="171"/>
        <v>1216</v>
      </c>
      <c r="B1220" t="s">
        <v>270</v>
      </c>
      <c r="C1220">
        <v>5</v>
      </c>
      <c r="D1220">
        <v>5</v>
      </c>
      <c r="E1220" t="s">
        <v>385</v>
      </c>
      <c r="F1220">
        <v>412</v>
      </c>
      <c r="G1220">
        <v>1</v>
      </c>
      <c r="H1220">
        <v>45</v>
      </c>
      <c r="I1220" t="s">
        <v>386</v>
      </c>
      <c r="J1220" t="s">
        <v>386</v>
      </c>
      <c r="K1220">
        <v>1000000</v>
      </c>
      <c r="L1220">
        <v>372</v>
      </c>
      <c r="M1220">
        <v>372</v>
      </c>
      <c r="N1220">
        <v>603</v>
      </c>
      <c r="O1220">
        <v>0</v>
      </c>
      <c r="P1220">
        <v>1141</v>
      </c>
      <c r="Q1220">
        <v>1493</v>
      </c>
      <c r="R1220">
        <v>1463</v>
      </c>
      <c r="S1220">
        <v>991</v>
      </c>
      <c r="T1220">
        <v>0</v>
      </c>
      <c r="U1220">
        <v>7317</v>
      </c>
      <c r="V1220">
        <v>66485.508478699994</v>
      </c>
      <c r="AH1220">
        <f t="shared" si="167"/>
        <v>372</v>
      </c>
      <c r="AI1220">
        <f t="shared" si="168"/>
        <v>603</v>
      </c>
      <c r="AJ1220" t="str">
        <f t="shared" si="169"/>
        <v/>
      </c>
      <c r="AK1220">
        <f t="shared" si="170"/>
        <v>1141</v>
      </c>
      <c r="AL1220">
        <f t="shared" si="163"/>
        <v>1493</v>
      </c>
      <c r="AM1220">
        <f t="shared" si="164"/>
        <v>1463</v>
      </c>
      <c r="AN1220">
        <f t="shared" si="165"/>
        <v>991</v>
      </c>
      <c r="AO1220" t="str">
        <f t="shared" si="166"/>
        <v/>
      </c>
    </row>
    <row r="1221" spans="1:41">
      <c r="A1221">
        <f t="shared" si="171"/>
        <v>1217</v>
      </c>
      <c r="B1221" t="s">
        <v>270</v>
      </c>
      <c r="C1221">
        <v>5</v>
      </c>
      <c r="D1221">
        <v>5</v>
      </c>
      <c r="E1221" t="s">
        <v>385</v>
      </c>
      <c r="F1221">
        <v>412</v>
      </c>
      <c r="G1221">
        <v>1</v>
      </c>
      <c r="H1221">
        <v>46</v>
      </c>
      <c r="I1221" t="s">
        <v>386</v>
      </c>
      <c r="J1221" t="s">
        <v>386</v>
      </c>
      <c r="K1221">
        <v>1000000</v>
      </c>
      <c r="L1221">
        <v>408</v>
      </c>
      <c r="M1221">
        <v>408</v>
      </c>
      <c r="N1221">
        <v>651</v>
      </c>
      <c r="O1221">
        <v>0</v>
      </c>
      <c r="P1221">
        <v>1279</v>
      </c>
      <c r="Q1221">
        <v>1676</v>
      </c>
      <c r="R1221">
        <v>1645</v>
      </c>
      <c r="S1221">
        <v>1108</v>
      </c>
      <c r="T1221">
        <v>0</v>
      </c>
      <c r="U1221">
        <v>7546</v>
      </c>
      <c r="V1221">
        <v>66809.185209539995</v>
      </c>
      <c r="AH1221">
        <f t="shared" si="167"/>
        <v>408</v>
      </c>
      <c r="AI1221">
        <f t="shared" si="168"/>
        <v>651</v>
      </c>
      <c r="AJ1221" t="str">
        <f t="shared" si="169"/>
        <v/>
      </c>
      <c r="AK1221">
        <f t="shared" si="170"/>
        <v>1279</v>
      </c>
      <c r="AL1221">
        <f t="shared" ref="AL1221:AL1284" si="172">IF(Q1221=AC1221, "", Q1221-AC1221)</f>
        <v>1676</v>
      </c>
      <c r="AM1221">
        <f t="shared" ref="AM1221:AM1284" si="173">IF(R1221=AD1221, "", R1221-AD1221)</f>
        <v>1645</v>
      </c>
      <c r="AN1221">
        <f t="shared" ref="AN1221:AN1284" si="174">IF(S1221=AE1221, "", S1221-AE1221)</f>
        <v>1108</v>
      </c>
      <c r="AO1221" t="str">
        <f t="shared" ref="AO1221:AO1284" si="175">IF(T1221=AF1221, "", T1221-AF1221)</f>
        <v/>
      </c>
    </row>
    <row r="1222" spans="1:41">
      <c r="A1222">
        <f t="shared" si="171"/>
        <v>1218</v>
      </c>
      <c r="B1222" t="s">
        <v>270</v>
      </c>
      <c r="C1222">
        <v>5</v>
      </c>
      <c r="D1222">
        <v>5</v>
      </c>
      <c r="E1222" t="s">
        <v>385</v>
      </c>
      <c r="F1222">
        <v>412</v>
      </c>
      <c r="G1222">
        <v>1</v>
      </c>
      <c r="H1222">
        <v>47</v>
      </c>
      <c r="I1222" t="s">
        <v>386</v>
      </c>
      <c r="J1222" t="s">
        <v>386</v>
      </c>
      <c r="K1222">
        <v>1000000</v>
      </c>
      <c r="L1222">
        <v>447</v>
      </c>
      <c r="M1222">
        <v>447</v>
      </c>
      <c r="N1222">
        <v>704</v>
      </c>
      <c r="O1222">
        <v>0</v>
      </c>
      <c r="P1222">
        <v>1428</v>
      </c>
      <c r="Q1222">
        <v>1870</v>
      </c>
      <c r="R1222">
        <v>1821</v>
      </c>
      <c r="S1222">
        <v>1217</v>
      </c>
      <c r="T1222">
        <v>0</v>
      </c>
      <c r="U1222">
        <v>7799</v>
      </c>
      <c r="V1222">
        <v>67152.923000709998</v>
      </c>
      <c r="AH1222">
        <f t="shared" ref="AH1222:AH1285" si="176">IF(L1222=Y1222, "",L1222-Y1222)</f>
        <v>447</v>
      </c>
      <c r="AI1222">
        <f t="shared" ref="AI1222:AI1285" si="177">IF(N1222=Z1222, "", N1222-Z1222)</f>
        <v>704</v>
      </c>
      <c r="AJ1222" t="str">
        <f t="shared" ref="AJ1222:AJ1285" si="178">IF(O1222=AA1222, "", O1222-AA1222)</f>
        <v/>
      </c>
      <c r="AK1222">
        <f t="shared" ref="AK1222:AK1285" si="179">IF(P1222=AB1222, "", P1222-AB1222)</f>
        <v>1428</v>
      </c>
      <c r="AL1222">
        <f t="shared" si="172"/>
        <v>1870</v>
      </c>
      <c r="AM1222">
        <f t="shared" si="173"/>
        <v>1821</v>
      </c>
      <c r="AN1222">
        <f t="shared" si="174"/>
        <v>1217</v>
      </c>
      <c r="AO1222" t="str">
        <f t="shared" si="175"/>
        <v/>
      </c>
    </row>
    <row r="1223" spans="1:41">
      <c r="A1223">
        <f t="shared" ref="A1223:A1286" si="180">A1222+1</f>
        <v>1219</v>
      </c>
      <c r="B1223" t="s">
        <v>270</v>
      </c>
      <c r="C1223">
        <v>5</v>
      </c>
      <c r="D1223">
        <v>5</v>
      </c>
      <c r="E1223" t="s">
        <v>385</v>
      </c>
      <c r="F1223">
        <v>412</v>
      </c>
      <c r="G1223">
        <v>1</v>
      </c>
      <c r="H1223">
        <v>48</v>
      </c>
      <c r="I1223" t="s">
        <v>386</v>
      </c>
      <c r="J1223" t="s">
        <v>386</v>
      </c>
      <c r="K1223">
        <v>1000000</v>
      </c>
      <c r="L1223">
        <v>490</v>
      </c>
      <c r="M1223">
        <v>490</v>
      </c>
      <c r="N1223">
        <v>762</v>
      </c>
      <c r="O1223">
        <v>0</v>
      </c>
      <c r="P1223">
        <v>1579</v>
      </c>
      <c r="Q1223">
        <v>2047</v>
      </c>
      <c r="R1223">
        <v>1975</v>
      </c>
      <c r="S1223">
        <v>1308</v>
      </c>
      <c r="T1223">
        <v>0</v>
      </c>
      <c r="U1223">
        <v>8075</v>
      </c>
      <c r="V1223">
        <v>67506.055674000003</v>
      </c>
      <c r="AH1223">
        <f t="shared" si="176"/>
        <v>490</v>
      </c>
      <c r="AI1223">
        <f t="shared" si="177"/>
        <v>762</v>
      </c>
      <c r="AJ1223" t="str">
        <f t="shared" si="178"/>
        <v/>
      </c>
      <c r="AK1223">
        <f t="shared" si="179"/>
        <v>1579</v>
      </c>
      <c r="AL1223">
        <f t="shared" si="172"/>
        <v>2047</v>
      </c>
      <c r="AM1223">
        <f t="shared" si="173"/>
        <v>1975</v>
      </c>
      <c r="AN1223">
        <f t="shared" si="174"/>
        <v>1308</v>
      </c>
      <c r="AO1223" t="str">
        <f t="shared" si="175"/>
        <v/>
      </c>
    </row>
    <row r="1224" spans="1:41">
      <c r="A1224">
        <f t="shared" si="180"/>
        <v>1220</v>
      </c>
      <c r="B1224" t="s">
        <v>270</v>
      </c>
      <c r="C1224">
        <v>5</v>
      </c>
      <c r="D1224">
        <v>5</v>
      </c>
      <c r="E1224" t="s">
        <v>385</v>
      </c>
      <c r="F1224">
        <v>412</v>
      </c>
      <c r="G1224">
        <v>1</v>
      </c>
      <c r="H1224">
        <v>49</v>
      </c>
      <c r="I1224" t="s">
        <v>386</v>
      </c>
      <c r="J1224" t="s">
        <v>386</v>
      </c>
      <c r="K1224">
        <v>1000000</v>
      </c>
      <c r="L1224">
        <v>537</v>
      </c>
      <c r="M1224">
        <v>537</v>
      </c>
      <c r="N1224">
        <v>824</v>
      </c>
      <c r="O1224">
        <v>0</v>
      </c>
      <c r="P1224">
        <v>1716</v>
      </c>
      <c r="Q1224">
        <v>2200</v>
      </c>
      <c r="R1224">
        <v>2106</v>
      </c>
      <c r="S1224">
        <v>1392</v>
      </c>
      <c r="T1224">
        <v>0</v>
      </c>
      <c r="U1224">
        <v>8373</v>
      </c>
      <c r="V1224">
        <v>67855.769764500001</v>
      </c>
      <c r="AH1224">
        <f t="shared" si="176"/>
        <v>537</v>
      </c>
      <c r="AI1224">
        <f t="shared" si="177"/>
        <v>824</v>
      </c>
      <c r="AJ1224" t="str">
        <f t="shared" si="178"/>
        <v/>
      </c>
      <c r="AK1224">
        <f t="shared" si="179"/>
        <v>1716</v>
      </c>
      <c r="AL1224">
        <f t="shared" si="172"/>
        <v>2200</v>
      </c>
      <c r="AM1224">
        <f t="shared" si="173"/>
        <v>2106</v>
      </c>
      <c r="AN1224">
        <f t="shared" si="174"/>
        <v>1392</v>
      </c>
      <c r="AO1224" t="str">
        <f t="shared" si="175"/>
        <v/>
      </c>
    </row>
    <row r="1225" spans="1:41">
      <c r="A1225">
        <f t="shared" si="180"/>
        <v>1221</v>
      </c>
      <c r="B1225" t="s">
        <v>270</v>
      </c>
      <c r="C1225">
        <v>5</v>
      </c>
      <c r="D1225">
        <v>5</v>
      </c>
      <c r="E1225" t="s">
        <v>385</v>
      </c>
      <c r="F1225">
        <v>412</v>
      </c>
      <c r="G1225">
        <v>1</v>
      </c>
      <c r="H1225">
        <v>50</v>
      </c>
      <c r="I1225" t="s">
        <v>386</v>
      </c>
      <c r="J1225" t="s">
        <v>386</v>
      </c>
      <c r="K1225">
        <v>1000000</v>
      </c>
      <c r="L1225">
        <v>587</v>
      </c>
      <c r="M1225">
        <v>587</v>
      </c>
      <c r="N1225">
        <v>891</v>
      </c>
      <c r="O1225">
        <v>0</v>
      </c>
      <c r="P1225">
        <v>1847</v>
      </c>
      <c r="Q1225">
        <v>2348</v>
      </c>
      <c r="R1225">
        <v>2246</v>
      </c>
      <c r="S1225">
        <v>1489</v>
      </c>
      <c r="T1225">
        <v>0</v>
      </c>
      <c r="U1225">
        <v>8691</v>
      </c>
      <c r="V1225">
        <v>68197.995623109993</v>
      </c>
      <c r="AH1225">
        <f t="shared" si="176"/>
        <v>587</v>
      </c>
      <c r="AI1225">
        <f t="shared" si="177"/>
        <v>891</v>
      </c>
      <c r="AJ1225" t="str">
        <f t="shared" si="178"/>
        <v/>
      </c>
      <c r="AK1225">
        <f t="shared" si="179"/>
        <v>1847</v>
      </c>
      <c r="AL1225">
        <f t="shared" si="172"/>
        <v>2348</v>
      </c>
      <c r="AM1225">
        <f t="shared" si="173"/>
        <v>2246</v>
      </c>
      <c r="AN1225">
        <f t="shared" si="174"/>
        <v>1489</v>
      </c>
      <c r="AO1225" t="str">
        <f t="shared" si="175"/>
        <v/>
      </c>
    </row>
    <row r="1226" spans="1:41">
      <c r="A1226">
        <f t="shared" si="180"/>
        <v>1222</v>
      </c>
      <c r="B1226" t="s">
        <v>270</v>
      </c>
      <c r="C1226">
        <v>5</v>
      </c>
      <c r="D1226">
        <v>5</v>
      </c>
      <c r="E1226" t="s">
        <v>385</v>
      </c>
      <c r="F1226">
        <v>412</v>
      </c>
      <c r="G1226">
        <v>1</v>
      </c>
      <c r="H1226">
        <v>51</v>
      </c>
      <c r="I1226" t="s">
        <v>386</v>
      </c>
      <c r="J1226" t="s">
        <v>386</v>
      </c>
      <c r="K1226">
        <v>1000000</v>
      </c>
      <c r="L1226">
        <v>640</v>
      </c>
      <c r="M1226">
        <v>640</v>
      </c>
      <c r="N1226">
        <v>963</v>
      </c>
      <c r="O1226">
        <v>0</v>
      </c>
      <c r="P1226">
        <v>1987</v>
      </c>
      <c r="Q1226">
        <v>2524</v>
      </c>
      <c r="R1226">
        <v>2426</v>
      </c>
      <c r="S1226">
        <v>1618</v>
      </c>
      <c r="T1226">
        <v>0</v>
      </c>
      <c r="U1226">
        <v>9032</v>
      </c>
      <c r="V1226">
        <v>68542.43991252</v>
      </c>
      <c r="AH1226">
        <f t="shared" si="176"/>
        <v>640</v>
      </c>
      <c r="AI1226">
        <f t="shared" si="177"/>
        <v>963</v>
      </c>
      <c r="AJ1226" t="str">
        <f t="shared" si="178"/>
        <v/>
      </c>
      <c r="AK1226">
        <f t="shared" si="179"/>
        <v>1987</v>
      </c>
      <c r="AL1226">
        <f t="shared" si="172"/>
        <v>2524</v>
      </c>
      <c r="AM1226">
        <f t="shared" si="173"/>
        <v>2426</v>
      </c>
      <c r="AN1226">
        <f t="shared" si="174"/>
        <v>1618</v>
      </c>
      <c r="AO1226" t="str">
        <f t="shared" si="175"/>
        <v/>
      </c>
    </row>
    <row r="1227" spans="1:41">
      <c r="A1227">
        <f t="shared" si="180"/>
        <v>1223</v>
      </c>
      <c r="B1227" t="s">
        <v>270</v>
      </c>
      <c r="C1227">
        <v>5</v>
      </c>
      <c r="D1227">
        <v>5</v>
      </c>
      <c r="E1227" t="s">
        <v>385</v>
      </c>
      <c r="F1227">
        <v>412</v>
      </c>
      <c r="G1227">
        <v>1</v>
      </c>
      <c r="H1227">
        <v>52</v>
      </c>
      <c r="I1227" t="s">
        <v>386</v>
      </c>
      <c r="J1227" t="s">
        <v>386</v>
      </c>
      <c r="K1227">
        <v>1000000</v>
      </c>
      <c r="L1227">
        <v>698</v>
      </c>
      <c r="M1227">
        <v>698</v>
      </c>
      <c r="N1227">
        <v>1040</v>
      </c>
      <c r="O1227">
        <v>0</v>
      </c>
      <c r="P1227">
        <v>2154</v>
      </c>
      <c r="Q1227">
        <v>2745</v>
      </c>
      <c r="R1227">
        <v>2651</v>
      </c>
      <c r="S1227">
        <v>1771</v>
      </c>
      <c r="T1227">
        <v>0</v>
      </c>
      <c r="U1227">
        <v>9401</v>
      </c>
      <c r="V1227">
        <v>68908.1542414</v>
      </c>
      <c r="AH1227">
        <f t="shared" si="176"/>
        <v>698</v>
      </c>
      <c r="AI1227">
        <f t="shared" si="177"/>
        <v>1040</v>
      </c>
      <c r="AJ1227" t="str">
        <f t="shared" si="178"/>
        <v/>
      </c>
      <c r="AK1227">
        <f t="shared" si="179"/>
        <v>2154</v>
      </c>
      <c r="AL1227">
        <f t="shared" si="172"/>
        <v>2745</v>
      </c>
      <c r="AM1227">
        <f t="shared" si="173"/>
        <v>2651</v>
      </c>
      <c r="AN1227">
        <f t="shared" si="174"/>
        <v>1771</v>
      </c>
      <c r="AO1227" t="str">
        <f t="shared" si="175"/>
        <v/>
      </c>
    </row>
    <row r="1228" spans="1:41">
      <c r="A1228">
        <f t="shared" si="180"/>
        <v>1224</v>
      </c>
      <c r="B1228" t="s">
        <v>270</v>
      </c>
      <c r="C1228">
        <v>5</v>
      </c>
      <c r="D1228">
        <v>5</v>
      </c>
      <c r="E1228" t="s">
        <v>385</v>
      </c>
      <c r="F1228">
        <v>412</v>
      </c>
      <c r="G1228">
        <v>1</v>
      </c>
      <c r="H1228">
        <v>53</v>
      </c>
      <c r="I1228" t="s">
        <v>386</v>
      </c>
      <c r="J1228" t="s">
        <v>386</v>
      </c>
      <c r="K1228">
        <v>1000000</v>
      </c>
      <c r="L1228">
        <v>760</v>
      </c>
      <c r="M1228">
        <v>760</v>
      </c>
      <c r="N1228">
        <v>1125</v>
      </c>
      <c r="O1228">
        <v>0</v>
      </c>
      <c r="P1228">
        <v>2352</v>
      </c>
      <c r="Q1228">
        <v>3010</v>
      </c>
      <c r="R1228">
        <v>2908</v>
      </c>
      <c r="S1228">
        <v>1944</v>
      </c>
      <c r="T1228">
        <v>0</v>
      </c>
      <c r="U1228">
        <v>9803</v>
      </c>
      <c r="V1228">
        <v>69318.875584089998</v>
      </c>
      <c r="AH1228">
        <f t="shared" si="176"/>
        <v>760</v>
      </c>
      <c r="AI1228">
        <f t="shared" si="177"/>
        <v>1125</v>
      </c>
      <c r="AJ1228" t="str">
        <f t="shared" si="178"/>
        <v/>
      </c>
      <c r="AK1228">
        <f t="shared" si="179"/>
        <v>2352</v>
      </c>
      <c r="AL1228">
        <f t="shared" si="172"/>
        <v>3010</v>
      </c>
      <c r="AM1228">
        <f t="shared" si="173"/>
        <v>2908</v>
      </c>
      <c r="AN1228">
        <f t="shared" si="174"/>
        <v>1944</v>
      </c>
      <c r="AO1228" t="str">
        <f t="shared" si="175"/>
        <v/>
      </c>
    </row>
    <row r="1229" spans="1:41">
      <c r="A1229">
        <f t="shared" si="180"/>
        <v>1225</v>
      </c>
      <c r="B1229" t="s">
        <v>270</v>
      </c>
      <c r="C1229">
        <v>5</v>
      </c>
      <c r="D1229">
        <v>5</v>
      </c>
      <c r="E1229" t="s">
        <v>385</v>
      </c>
      <c r="F1229">
        <v>412</v>
      </c>
      <c r="G1229">
        <v>1</v>
      </c>
      <c r="H1229">
        <v>54</v>
      </c>
      <c r="I1229" t="s">
        <v>386</v>
      </c>
      <c r="J1229" t="s">
        <v>386</v>
      </c>
      <c r="K1229">
        <v>1000000</v>
      </c>
      <c r="L1229">
        <v>829</v>
      </c>
      <c r="M1229">
        <v>829</v>
      </c>
      <c r="N1229">
        <v>1217</v>
      </c>
      <c r="O1229">
        <v>0</v>
      </c>
      <c r="P1229">
        <v>2574</v>
      </c>
      <c r="Q1229">
        <v>3297</v>
      </c>
      <c r="R1229">
        <v>3187</v>
      </c>
      <c r="S1229">
        <v>2129</v>
      </c>
      <c r="T1229">
        <v>0</v>
      </c>
      <c r="U1229">
        <v>10244</v>
      </c>
      <c r="V1229">
        <v>69787.8517422</v>
      </c>
      <c r="AH1229">
        <f t="shared" si="176"/>
        <v>829</v>
      </c>
      <c r="AI1229">
        <f t="shared" si="177"/>
        <v>1217</v>
      </c>
      <c r="AJ1229" t="str">
        <f t="shared" si="178"/>
        <v/>
      </c>
      <c r="AK1229">
        <f t="shared" si="179"/>
        <v>2574</v>
      </c>
      <c r="AL1229">
        <f t="shared" si="172"/>
        <v>3297</v>
      </c>
      <c r="AM1229">
        <f t="shared" si="173"/>
        <v>3187</v>
      </c>
      <c r="AN1229">
        <f t="shared" si="174"/>
        <v>2129</v>
      </c>
      <c r="AO1229" t="str">
        <f t="shared" si="175"/>
        <v/>
      </c>
    </row>
    <row r="1230" spans="1:41">
      <c r="A1230">
        <f t="shared" si="180"/>
        <v>1226</v>
      </c>
      <c r="B1230" t="s">
        <v>270</v>
      </c>
      <c r="C1230">
        <v>5</v>
      </c>
      <c r="D1230">
        <v>5</v>
      </c>
      <c r="E1230" t="s">
        <v>385</v>
      </c>
      <c r="F1230">
        <v>412</v>
      </c>
      <c r="G1230">
        <v>1</v>
      </c>
      <c r="H1230">
        <v>55</v>
      </c>
      <c r="I1230" t="s">
        <v>386</v>
      </c>
      <c r="J1230" t="s">
        <v>386</v>
      </c>
      <c r="K1230">
        <v>1000000</v>
      </c>
      <c r="L1230">
        <v>905</v>
      </c>
      <c r="M1230">
        <v>905</v>
      </c>
      <c r="N1230">
        <v>1319</v>
      </c>
      <c r="O1230">
        <v>0</v>
      </c>
      <c r="P1230">
        <v>2802</v>
      </c>
      <c r="Q1230">
        <v>3591</v>
      </c>
      <c r="R1230">
        <v>3465</v>
      </c>
      <c r="S1230">
        <v>2304</v>
      </c>
      <c r="T1230">
        <v>0</v>
      </c>
      <c r="U1230">
        <v>10725</v>
      </c>
      <c r="V1230">
        <v>70313.100522359993</v>
      </c>
      <c r="AH1230">
        <f t="shared" si="176"/>
        <v>905</v>
      </c>
      <c r="AI1230">
        <f t="shared" si="177"/>
        <v>1319</v>
      </c>
      <c r="AJ1230" t="str">
        <f t="shared" si="178"/>
        <v/>
      </c>
      <c r="AK1230">
        <f t="shared" si="179"/>
        <v>2802</v>
      </c>
      <c r="AL1230">
        <f t="shared" si="172"/>
        <v>3591</v>
      </c>
      <c r="AM1230">
        <f t="shared" si="173"/>
        <v>3465</v>
      </c>
      <c r="AN1230">
        <f t="shared" si="174"/>
        <v>2304</v>
      </c>
      <c r="AO1230" t="str">
        <f t="shared" si="175"/>
        <v/>
      </c>
    </row>
    <row r="1231" spans="1:41">
      <c r="A1231">
        <f t="shared" si="180"/>
        <v>1227</v>
      </c>
      <c r="B1231" t="s">
        <v>270</v>
      </c>
      <c r="C1231">
        <v>5</v>
      </c>
      <c r="D1231">
        <v>5</v>
      </c>
      <c r="E1231" t="s">
        <v>385</v>
      </c>
      <c r="F1231">
        <v>412</v>
      </c>
      <c r="G1231">
        <v>1</v>
      </c>
      <c r="H1231">
        <v>56</v>
      </c>
      <c r="I1231" t="s">
        <v>386</v>
      </c>
      <c r="J1231" t="s">
        <v>386</v>
      </c>
      <c r="K1231">
        <v>1000000</v>
      </c>
      <c r="L1231">
        <v>986</v>
      </c>
      <c r="M1231">
        <v>986</v>
      </c>
      <c r="N1231">
        <v>1428</v>
      </c>
      <c r="O1231">
        <v>0</v>
      </c>
      <c r="P1231">
        <v>3032</v>
      </c>
      <c r="Q1231">
        <v>3876</v>
      </c>
      <c r="R1231">
        <v>3723</v>
      </c>
      <c r="S1231">
        <v>2466</v>
      </c>
      <c r="T1231">
        <v>0</v>
      </c>
      <c r="U1231">
        <v>11244</v>
      </c>
      <c r="V1231">
        <v>70886.948374390005</v>
      </c>
      <c r="AH1231">
        <f t="shared" si="176"/>
        <v>986</v>
      </c>
      <c r="AI1231">
        <f t="shared" si="177"/>
        <v>1428</v>
      </c>
      <c r="AJ1231" t="str">
        <f t="shared" si="178"/>
        <v/>
      </c>
      <c r="AK1231">
        <f t="shared" si="179"/>
        <v>3032</v>
      </c>
      <c r="AL1231">
        <f t="shared" si="172"/>
        <v>3876</v>
      </c>
      <c r="AM1231">
        <f t="shared" si="173"/>
        <v>3723</v>
      </c>
      <c r="AN1231">
        <f t="shared" si="174"/>
        <v>2466</v>
      </c>
      <c r="AO1231" t="str">
        <f t="shared" si="175"/>
        <v/>
      </c>
    </row>
    <row r="1232" spans="1:41">
      <c r="A1232">
        <f t="shared" si="180"/>
        <v>1228</v>
      </c>
      <c r="B1232" t="s">
        <v>270</v>
      </c>
      <c r="C1232">
        <v>5</v>
      </c>
      <c r="D1232">
        <v>5</v>
      </c>
      <c r="E1232" t="s">
        <v>385</v>
      </c>
      <c r="F1232">
        <v>412</v>
      </c>
      <c r="G1232">
        <v>1</v>
      </c>
      <c r="H1232">
        <v>57</v>
      </c>
      <c r="I1232" t="s">
        <v>386</v>
      </c>
      <c r="J1232" t="s">
        <v>386</v>
      </c>
      <c r="K1232">
        <v>1000000</v>
      </c>
      <c r="L1232">
        <v>1073</v>
      </c>
      <c r="M1232">
        <v>1073</v>
      </c>
      <c r="N1232">
        <v>1546</v>
      </c>
      <c r="O1232">
        <v>0</v>
      </c>
      <c r="P1232">
        <v>3256</v>
      </c>
      <c r="Q1232">
        <v>4140</v>
      </c>
      <c r="R1232">
        <v>3962</v>
      </c>
      <c r="S1232">
        <v>2619</v>
      </c>
      <c r="T1232">
        <v>0</v>
      </c>
      <c r="U1232">
        <v>11801</v>
      </c>
      <c r="V1232">
        <v>71512.262099950007</v>
      </c>
      <c r="AH1232">
        <f t="shared" si="176"/>
        <v>1073</v>
      </c>
      <c r="AI1232">
        <f t="shared" si="177"/>
        <v>1546</v>
      </c>
      <c r="AJ1232" t="str">
        <f t="shared" si="178"/>
        <v/>
      </c>
      <c r="AK1232">
        <f t="shared" si="179"/>
        <v>3256</v>
      </c>
      <c r="AL1232">
        <f t="shared" si="172"/>
        <v>4140</v>
      </c>
      <c r="AM1232">
        <f t="shared" si="173"/>
        <v>3962</v>
      </c>
      <c r="AN1232">
        <f t="shared" si="174"/>
        <v>2619</v>
      </c>
      <c r="AO1232" t="str">
        <f t="shared" si="175"/>
        <v/>
      </c>
    </row>
    <row r="1233" spans="1:41">
      <c r="A1233">
        <f t="shared" si="180"/>
        <v>1229</v>
      </c>
      <c r="B1233" t="s">
        <v>270</v>
      </c>
      <c r="C1233">
        <v>5</v>
      </c>
      <c r="D1233">
        <v>5</v>
      </c>
      <c r="E1233" t="s">
        <v>385</v>
      </c>
      <c r="F1233">
        <v>412</v>
      </c>
      <c r="G1233">
        <v>1</v>
      </c>
      <c r="H1233">
        <v>58</v>
      </c>
      <c r="I1233" t="s">
        <v>386</v>
      </c>
      <c r="J1233" t="s">
        <v>386</v>
      </c>
      <c r="K1233">
        <v>1000000</v>
      </c>
      <c r="L1233">
        <v>1166</v>
      </c>
      <c r="M1233">
        <v>1166</v>
      </c>
      <c r="N1233">
        <v>1671</v>
      </c>
      <c r="O1233">
        <v>0</v>
      </c>
      <c r="P1233">
        <v>3471</v>
      </c>
      <c r="Q1233">
        <v>4395</v>
      </c>
      <c r="R1233">
        <v>4199</v>
      </c>
      <c r="S1233">
        <v>2775</v>
      </c>
      <c r="T1233">
        <v>0</v>
      </c>
      <c r="U1233">
        <v>12391</v>
      </c>
      <c r="V1233">
        <v>72206.624252399997</v>
      </c>
      <c r="AH1233">
        <f t="shared" si="176"/>
        <v>1166</v>
      </c>
      <c r="AI1233">
        <f t="shared" si="177"/>
        <v>1671</v>
      </c>
      <c r="AJ1233" t="str">
        <f t="shared" si="178"/>
        <v/>
      </c>
      <c r="AK1233">
        <f t="shared" si="179"/>
        <v>3471</v>
      </c>
      <c r="AL1233">
        <f t="shared" si="172"/>
        <v>4395</v>
      </c>
      <c r="AM1233">
        <f t="shared" si="173"/>
        <v>4199</v>
      </c>
      <c r="AN1233">
        <f t="shared" si="174"/>
        <v>2775</v>
      </c>
      <c r="AO1233" t="str">
        <f t="shared" si="175"/>
        <v/>
      </c>
    </row>
    <row r="1234" spans="1:41">
      <c r="A1234">
        <f t="shared" si="180"/>
        <v>1230</v>
      </c>
      <c r="B1234" t="s">
        <v>270</v>
      </c>
      <c r="C1234">
        <v>5</v>
      </c>
      <c r="D1234">
        <v>5</v>
      </c>
      <c r="E1234" t="s">
        <v>385</v>
      </c>
      <c r="F1234">
        <v>412</v>
      </c>
      <c r="G1234">
        <v>1</v>
      </c>
      <c r="H1234">
        <v>59</v>
      </c>
      <c r="I1234" t="s">
        <v>386</v>
      </c>
      <c r="J1234" t="s">
        <v>386</v>
      </c>
      <c r="K1234">
        <v>1000000</v>
      </c>
      <c r="L1234">
        <v>1264</v>
      </c>
      <c r="M1234">
        <v>1264</v>
      </c>
      <c r="N1234">
        <v>1803</v>
      </c>
      <c r="O1234">
        <v>0</v>
      </c>
      <c r="P1234">
        <v>3698</v>
      </c>
      <c r="Q1234">
        <v>4666</v>
      </c>
      <c r="R1234">
        <v>4455</v>
      </c>
      <c r="S1234">
        <v>2947</v>
      </c>
      <c r="T1234">
        <v>0</v>
      </c>
      <c r="U1234">
        <v>13016</v>
      </c>
      <c r="V1234">
        <v>73003.083964270001</v>
      </c>
      <c r="AH1234">
        <f t="shared" si="176"/>
        <v>1264</v>
      </c>
      <c r="AI1234">
        <f t="shared" si="177"/>
        <v>1803</v>
      </c>
      <c r="AJ1234" t="str">
        <f t="shared" si="178"/>
        <v/>
      </c>
      <c r="AK1234">
        <f t="shared" si="179"/>
        <v>3698</v>
      </c>
      <c r="AL1234">
        <f t="shared" si="172"/>
        <v>4666</v>
      </c>
      <c r="AM1234">
        <f t="shared" si="173"/>
        <v>4455</v>
      </c>
      <c r="AN1234">
        <f t="shared" si="174"/>
        <v>2947</v>
      </c>
      <c r="AO1234" t="str">
        <f t="shared" si="175"/>
        <v/>
      </c>
    </row>
    <row r="1235" spans="1:41">
      <c r="A1235">
        <f t="shared" si="180"/>
        <v>1231</v>
      </c>
      <c r="B1235" t="s">
        <v>270</v>
      </c>
      <c r="C1235">
        <v>5</v>
      </c>
      <c r="D1235">
        <v>5</v>
      </c>
      <c r="E1235" t="s">
        <v>385</v>
      </c>
      <c r="F1235">
        <v>412</v>
      </c>
      <c r="G1235">
        <v>1</v>
      </c>
      <c r="H1235">
        <v>60</v>
      </c>
      <c r="I1235" t="s">
        <v>386</v>
      </c>
      <c r="J1235" t="s">
        <v>386</v>
      </c>
      <c r="K1235">
        <v>1000000</v>
      </c>
      <c r="L1235">
        <v>1367</v>
      </c>
      <c r="M1235">
        <v>1367</v>
      </c>
      <c r="N1235">
        <v>1942</v>
      </c>
      <c r="O1235">
        <v>0</v>
      </c>
      <c r="P1235">
        <v>3943</v>
      </c>
      <c r="Q1235">
        <v>4961</v>
      </c>
      <c r="R1235">
        <v>4735</v>
      </c>
      <c r="S1235">
        <v>3128</v>
      </c>
      <c r="T1235">
        <v>0</v>
      </c>
      <c r="U1235">
        <v>13674</v>
      </c>
      <c r="V1235">
        <v>73927.078463290003</v>
      </c>
      <c r="AH1235">
        <f t="shared" si="176"/>
        <v>1367</v>
      </c>
      <c r="AI1235">
        <f t="shared" si="177"/>
        <v>1942</v>
      </c>
      <c r="AJ1235" t="str">
        <f t="shared" si="178"/>
        <v/>
      </c>
      <c r="AK1235">
        <f t="shared" si="179"/>
        <v>3943</v>
      </c>
      <c r="AL1235">
        <f t="shared" si="172"/>
        <v>4961</v>
      </c>
      <c r="AM1235">
        <f t="shared" si="173"/>
        <v>4735</v>
      </c>
      <c r="AN1235">
        <f t="shared" si="174"/>
        <v>3128</v>
      </c>
      <c r="AO1235" t="str">
        <f t="shared" si="175"/>
        <v/>
      </c>
    </row>
    <row r="1236" spans="1:41">
      <c r="A1236">
        <f t="shared" si="180"/>
        <v>1232</v>
      </c>
      <c r="B1236" t="s">
        <v>270</v>
      </c>
      <c r="C1236">
        <v>5</v>
      </c>
      <c r="D1236">
        <v>5</v>
      </c>
      <c r="E1236" t="s">
        <v>385</v>
      </c>
      <c r="F1236">
        <v>412</v>
      </c>
      <c r="G1236">
        <v>1</v>
      </c>
      <c r="H1236">
        <v>61</v>
      </c>
      <c r="I1236" t="s">
        <v>386</v>
      </c>
      <c r="J1236" t="s">
        <v>386</v>
      </c>
      <c r="K1236">
        <v>1000000</v>
      </c>
      <c r="L1236">
        <v>1476</v>
      </c>
      <c r="M1236">
        <v>1476</v>
      </c>
      <c r="N1236">
        <v>2089</v>
      </c>
      <c r="O1236">
        <v>0</v>
      </c>
      <c r="P1236">
        <v>4207</v>
      </c>
      <c r="Q1236">
        <v>5273</v>
      </c>
      <c r="R1236">
        <v>5017</v>
      </c>
      <c r="S1236">
        <v>3303</v>
      </c>
      <c r="T1236">
        <v>0</v>
      </c>
      <c r="U1236">
        <v>14367</v>
      </c>
      <c r="V1236">
        <v>74985.542344849993</v>
      </c>
      <c r="AH1236">
        <f t="shared" si="176"/>
        <v>1476</v>
      </c>
      <c r="AI1236">
        <f t="shared" si="177"/>
        <v>2089</v>
      </c>
      <c r="AJ1236" t="str">
        <f t="shared" si="178"/>
        <v/>
      </c>
      <c r="AK1236">
        <f t="shared" si="179"/>
        <v>4207</v>
      </c>
      <c r="AL1236">
        <f t="shared" si="172"/>
        <v>5273</v>
      </c>
      <c r="AM1236">
        <f t="shared" si="173"/>
        <v>5017</v>
      </c>
      <c r="AN1236">
        <f t="shared" si="174"/>
        <v>3303</v>
      </c>
      <c r="AO1236" t="str">
        <f t="shared" si="175"/>
        <v/>
      </c>
    </row>
    <row r="1237" spans="1:41">
      <c r="A1237">
        <f t="shared" si="180"/>
        <v>1233</v>
      </c>
      <c r="B1237" t="s">
        <v>270</v>
      </c>
      <c r="C1237">
        <v>5</v>
      </c>
      <c r="D1237">
        <v>5</v>
      </c>
      <c r="E1237" t="s">
        <v>385</v>
      </c>
      <c r="F1237">
        <v>412</v>
      </c>
      <c r="G1237">
        <v>1</v>
      </c>
      <c r="H1237">
        <v>62</v>
      </c>
      <c r="I1237" t="s">
        <v>386</v>
      </c>
      <c r="J1237" t="s">
        <v>386</v>
      </c>
      <c r="K1237">
        <v>1000000</v>
      </c>
      <c r="L1237">
        <v>1590</v>
      </c>
      <c r="M1237">
        <v>1590</v>
      </c>
      <c r="N1237">
        <v>2243</v>
      </c>
      <c r="O1237">
        <v>0</v>
      </c>
      <c r="P1237">
        <v>4476</v>
      </c>
      <c r="Q1237">
        <v>5574</v>
      </c>
      <c r="R1237">
        <v>5277</v>
      </c>
      <c r="S1237">
        <v>3459</v>
      </c>
      <c r="T1237">
        <v>0</v>
      </c>
      <c r="U1237">
        <v>15092</v>
      </c>
      <c r="V1237">
        <v>76182.037574810005</v>
      </c>
      <c r="AH1237">
        <f t="shared" si="176"/>
        <v>1590</v>
      </c>
      <c r="AI1237">
        <f t="shared" si="177"/>
        <v>2243</v>
      </c>
      <c r="AJ1237" t="str">
        <f t="shared" si="178"/>
        <v/>
      </c>
      <c r="AK1237">
        <f t="shared" si="179"/>
        <v>4476</v>
      </c>
      <c r="AL1237">
        <f t="shared" si="172"/>
        <v>5574</v>
      </c>
      <c r="AM1237">
        <f t="shared" si="173"/>
        <v>5277</v>
      </c>
      <c r="AN1237">
        <f t="shared" si="174"/>
        <v>3459</v>
      </c>
      <c r="AO1237" t="str">
        <f t="shared" si="175"/>
        <v/>
      </c>
    </row>
    <row r="1238" spans="1:41">
      <c r="A1238">
        <f t="shared" si="180"/>
        <v>1234</v>
      </c>
      <c r="B1238" t="s">
        <v>270</v>
      </c>
      <c r="C1238">
        <v>5</v>
      </c>
      <c r="D1238">
        <v>5</v>
      </c>
      <c r="E1238" t="s">
        <v>385</v>
      </c>
      <c r="F1238">
        <v>412</v>
      </c>
      <c r="G1238">
        <v>1</v>
      </c>
      <c r="H1238">
        <v>63</v>
      </c>
      <c r="I1238" t="s">
        <v>386</v>
      </c>
      <c r="J1238" t="s">
        <v>386</v>
      </c>
      <c r="K1238">
        <v>1000000</v>
      </c>
      <c r="L1238">
        <v>1709</v>
      </c>
      <c r="M1238">
        <v>1709</v>
      </c>
      <c r="N1238">
        <v>2404</v>
      </c>
      <c r="O1238">
        <v>0</v>
      </c>
      <c r="P1238">
        <v>4735</v>
      </c>
      <c r="Q1238">
        <v>5848</v>
      </c>
      <c r="R1238">
        <v>5509</v>
      </c>
      <c r="S1238">
        <v>3602</v>
      </c>
      <c r="T1238">
        <v>0</v>
      </c>
      <c r="U1238">
        <v>15849</v>
      </c>
      <c r="V1238">
        <v>77547.965059349997</v>
      </c>
      <c r="AH1238">
        <f t="shared" si="176"/>
        <v>1709</v>
      </c>
      <c r="AI1238">
        <f t="shared" si="177"/>
        <v>2404</v>
      </c>
      <c r="AJ1238" t="str">
        <f t="shared" si="178"/>
        <v/>
      </c>
      <c r="AK1238">
        <f t="shared" si="179"/>
        <v>4735</v>
      </c>
      <c r="AL1238">
        <f t="shared" si="172"/>
        <v>5848</v>
      </c>
      <c r="AM1238">
        <f t="shared" si="173"/>
        <v>5509</v>
      </c>
      <c r="AN1238">
        <f t="shared" si="174"/>
        <v>3602</v>
      </c>
      <c r="AO1238" t="str">
        <f t="shared" si="175"/>
        <v/>
      </c>
    </row>
    <row r="1239" spans="1:41">
      <c r="A1239">
        <f t="shared" si="180"/>
        <v>1235</v>
      </c>
      <c r="B1239" t="s">
        <v>270</v>
      </c>
      <c r="C1239">
        <v>5</v>
      </c>
      <c r="D1239">
        <v>5</v>
      </c>
      <c r="E1239" t="s">
        <v>385</v>
      </c>
      <c r="F1239">
        <v>412</v>
      </c>
      <c r="G1239">
        <v>1</v>
      </c>
      <c r="H1239">
        <v>64</v>
      </c>
      <c r="I1239" t="s">
        <v>386</v>
      </c>
      <c r="J1239" t="s">
        <v>386</v>
      </c>
      <c r="K1239">
        <v>1000000</v>
      </c>
      <c r="L1239">
        <v>1832</v>
      </c>
      <c r="M1239">
        <v>1832</v>
      </c>
      <c r="N1239">
        <v>2571</v>
      </c>
      <c r="O1239">
        <v>0</v>
      </c>
      <c r="P1239">
        <v>4981</v>
      </c>
      <c r="Q1239">
        <v>6105</v>
      </c>
      <c r="R1239">
        <v>5733</v>
      </c>
      <c r="S1239">
        <v>3747</v>
      </c>
      <c r="T1239">
        <v>0</v>
      </c>
      <c r="U1239">
        <v>16633</v>
      </c>
      <c r="V1239">
        <v>79162.336090779994</v>
      </c>
      <c r="AH1239">
        <f t="shared" si="176"/>
        <v>1832</v>
      </c>
      <c r="AI1239">
        <f t="shared" si="177"/>
        <v>2571</v>
      </c>
      <c r="AJ1239" t="str">
        <f t="shared" si="178"/>
        <v/>
      </c>
      <c r="AK1239">
        <f t="shared" si="179"/>
        <v>4981</v>
      </c>
      <c r="AL1239">
        <f t="shared" si="172"/>
        <v>6105</v>
      </c>
      <c r="AM1239">
        <f t="shared" si="173"/>
        <v>5733</v>
      </c>
      <c r="AN1239">
        <f t="shared" si="174"/>
        <v>3747</v>
      </c>
      <c r="AO1239" t="str">
        <f t="shared" si="175"/>
        <v/>
      </c>
    </row>
    <row r="1240" spans="1:41">
      <c r="A1240">
        <f t="shared" si="180"/>
        <v>1236</v>
      </c>
      <c r="B1240" t="s">
        <v>270</v>
      </c>
      <c r="C1240">
        <v>5</v>
      </c>
      <c r="D1240">
        <v>5</v>
      </c>
      <c r="E1240" t="s">
        <v>385</v>
      </c>
      <c r="F1240">
        <v>412</v>
      </c>
      <c r="G1240">
        <v>1</v>
      </c>
      <c r="H1240">
        <v>65</v>
      </c>
      <c r="I1240" t="s">
        <v>386</v>
      </c>
      <c r="J1240" t="s">
        <v>386</v>
      </c>
      <c r="K1240">
        <v>1000000</v>
      </c>
      <c r="L1240">
        <v>1960</v>
      </c>
      <c r="M1240">
        <v>1960</v>
      </c>
      <c r="N1240">
        <v>2744</v>
      </c>
      <c r="O1240">
        <v>0</v>
      </c>
      <c r="P1240">
        <v>5224</v>
      </c>
      <c r="Q1240">
        <v>6363</v>
      </c>
      <c r="R1240">
        <v>5964</v>
      </c>
      <c r="S1240">
        <v>3891</v>
      </c>
      <c r="T1240">
        <v>0</v>
      </c>
      <c r="U1240">
        <v>17442</v>
      </c>
      <c r="V1240">
        <v>81142.693452289997</v>
      </c>
      <c r="AH1240">
        <f t="shared" si="176"/>
        <v>1960</v>
      </c>
      <c r="AI1240">
        <f t="shared" si="177"/>
        <v>2744</v>
      </c>
      <c r="AJ1240" t="str">
        <f t="shared" si="178"/>
        <v/>
      </c>
      <c r="AK1240">
        <f t="shared" si="179"/>
        <v>5224</v>
      </c>
      <c r="AL1240">
        <f t="shared" si="172"/>
        <v>6363</v>
      </c>
      <c r="AM1240">
        <f t="shared" si="173"/>
        <v>5964</v>
      </c>
      <c r="AN1240">
        <f t="shared" si="174"/>
        <v>3891</v>
      </c>
      <c r="AO1240" t="str">
        <f t="shared" si="175"/>
        <v/>
      </c>
    </row>
    <row r="1241" spans="1:41">
      <c r="A1241">
        <f t="shared" si="180"/>
        <v>1237</v>
      </c>
      <c r="B1241" t="s">
        <v>270</v>
      </c>
      <c r="C1241">
        <v>5</v>
      </c>
      <c r="D1241">
        <v>5</v>
      </c>
      <c r="E1241" t="s">
        <v>385</v>
      </c>
      <c r="F1241">
        <v>412</v>
      </c>
      <c r="G1241">
        <v>1</v>
      </c>
      <c r="H1241">
        <v>66</v>
      </c>
      <c r="I1241" t="s">
        <v>386</v>
      </c>
      <c r="J1241" t="s">
        <v>386</v>
      </c>
      <c r="K1241">
        <v>1000000</v>
      </c>
      <c r="L1241">
        <v>2091</v>
      </c>
      <c r="M1241">
        <v>2091</v>
      </c>
      <c r="N1241">
        <v>2921</v>
      </c>
      <c r="O1241">
        <v>0</v>
      </c>
      <c r="P1241">
        <v>5473</v>
      </c>
      <c r="Q1241">
        <v>6625</v>
      </c>
      <c r="R1241">
        <v>6186</v>
      </c>
      <c r="S1241">
        <v>4020</v>
      </c>
      <c r="T1241">
        <v>0</v>
      </c>
      <c r="U1241">
        <v>18273</v>
      </c>
      <c r="V1241">
        <v>83586.514044240001</v>
      </c>
      <c r="AH1241">
        <f t="shared" si="176"/>
        <v>2091</v>
      </c>
      <c r="AI1241">
        <f t="shared" si="177"/>
        <v>2921</v>
      </c>
      <c r="AJ1241" t="str">
        <f t="shared" si="178"/>
        <v/>
      </c>
      <c r="AK1241">
        <f t="shared" si="179"/>
        <v>5473</v>
      </c>
      <c r="AL1241">
        <f t="shared" si="172"/>
        <v>6625</v>
      </c>
      <c r="AM1241">
        <f t="shared" si="173"/>
        <v>6186</v>
      </c>
      <c r="AN1241">
        <f t="shared" si="174"/>
        <v>4020</v>
      </c>
      <c r="AO1241" t="str">
        <f t="shared" si="175"/>
        <v/>
      </c>
    </row>
    <row r="1242" spans="1:41">
      <c r="A1242">
        <f t="shared" si="180"/>
        <v>1238</v>
      </c>
      <c r="B1242" t="s">
        <v>270</v>
      </c>
      <c r="C1242">
        <v>5</v>
      </c>
      <c r="D1242">
        <v>5</v>
      </c>
      <c r="E1242" t="s">
        <v>385</v>
      </c>
      <c r="F1242">
        <v>412</v>
      </c>
      <c r="G1242">
        <v>1</v>
      </c>
      <c r="H1242">
        <v>67</v>
      </c>
      <c r="I1242" t="s">
        <v>386</v>
      </c>
      <c r="J1242" t="s">
        <v>386</v>
      </c>
      <c r="K1242">
        <v>1000000</v>
      </c>
      <c r="L1242">
        <v>2225</v>
      </c>
      <c r="M1242">
        <v>2225</v>
      </c>
      <c r="N1242">
        <v>3103</v>
      </c>
      <c r="O1242">
        <v>0</v>
      </c>
      <c r="P1242">
        <v>5719</v>
      </c>
      <c r="Q1242">
        <v>6865</v>
      </c>
      <c r="R1242">
        <v>6370</v>
      </c>
      <c r="S1242">
        <v>4118</v>
      </c>
      <c r="T1242">
        <v>0</v>
      </c>
      <c r="U1242">
        <v>19122</v>
      </c>
      <c r="V1242">
        <v>86502.963691240002</v>
      </c>
      <c r="AH1242">
        <f t="shared" si="176"/>
        <v>2225</v>
      </c>
      <c r="AI1242">
        <f t="shared" si="177"/>
        <v>3103</v>
      </c>
      <c r="AJ1242" t="str">
        <f t="shared" si="178"/>
        <v/>
      </c>
      <c r="AK1242">
        <f t="shared" si="179"/>
        <v>5719</v>
      </c>
      <c r="AL1242">
        <f t="shared" si="172"/>
        <v>6865</v>
      </c>
      <c r="AM1242">
        <f t="shared" si="173"/>
        <v>6370</v>
      </c>
      <c r="AN1242">
        <f t="shared" si="174"/>
        <v>4118</v>
      </c>
      <c r="AO1242" t="str">
        <f t="shared" si="175"/>
        <v/>
      </c>
    </row>
    <row r="1243" spans="1:41">
      <c r="A1243">
        <f t="shared" si="180"/>
        <v>1239</v>
      </c>
      <c r="B1243" t="s">
        <v>270</v>
      </c>
      <c r="C1243">
        <v>5</v>
      </c>
      <c r="D1243">
        <v>5</v>
      </c>
      <c r="E1243" t="s">
        <v>385</v>
      </c>
      <c r="F1243">
        <v>412</v>
      </c>
      <c r="G1243">
        <v>1</v>
      </c>
      <c r="H1243">
        <v>68</v>
      </c>
      <c r="I1243" t="s">
        <v>386</v>
      </c>
      <c r="J1243" t="s">
        <v>386</v>
      </c>
      <c r="K1243">
        <v>1000000</v>
      </c>
      <c r="L1243">
        <v>2360</v>
      </c>
      <c r="M1243">
        <v>2360</v>
      </c>
      <c r="N1243">
        <v>3287</v>
      </c>
      <c r="O1243">
        <v>0</v>
      </c>
      <c r="P1243">
        <v>5945</v>
      </c>
      <c r="Q1243">
        <v>7056</v>
      </c>
      <c r="R1243">
        <v>6499</v>
      </c>
      <c r="S1243">
        <v>4179</v>
      </c>
      <c r="T1243">
        <v>0</v>
      </c>
      <c r="U1243">
        <v>19982</v>
      </c>
      <c r="V1243">
        <v>89790.828877859996</v>
      </c>
      <c r="AH1243">
        <f t="shared" si="176"/>
        <v>2360</v>
      </c>
      <c r="AI1243">
        <f t="shared" si="177"/>
        <v>3287</v>
      </c>
      <c r="AJ1243" t="str">
        <f t="shared" si="178"/>
        <v/>
      </c>
      <c r="AK1243">
        <f t="shared" si="179"/>
        <v>5945</v>
      </c>
      <c r="AL1243">
        <f t="shared" si="172"/>
        <v>7056</v>
      </c>
      <c r="AM1243">
        <f t="shared" si="173"/>
        <v>6499</v>
      </c>
      <c r="AN1243">
        <f t="shared" si="174"/>
        <v>4179</v>
      </c>
      <c r="AO1243" t="str">
        <f t="shared" si="175"/>
        <v/>
      </c>
    </row>
    <row r="1244" spans="1:41">
      <c r="A1244">
        <f t="shared" si="180"/>
        <v>1240</v>
      </c>
      <c r="B1244" t="s">
        <v>270</v>
      </c>
      <c r="C1244">
        <v>5</v>
      </c>
      <c r="D1244">
        <v>5</v>
      </c>
      <c r="E1244" t="s">
        <v>385</v>
      </c>
      <c r="F1244">
        <v>412</v>
      </c>
      <c r="G1244">
        <v>1</v>
      </c>
      <c r="H1244">
        <v>69</v>
      </c>
      <c r="I1244" t="s">
        <v>386</v>
      </c>
      <c r="J1244" t="s">
        <v>386</v>
      </c>
      <c r="K1244">
        <v>1000000</v>
      </c>
      <c r="L1244">
        <v>2497</v>
      </c>
      <c r="M1244">
        <v>2497</v>
      </c>
      <c r="N1244">
        <v>3473</v>
      </c>
      <c r="O1244">
        <v>0</v>
      </c>
      <c r="P1244">
        <v>6142</v>
      </c>
      <c r="Q1244">
        <v>7199</v>
      </c>
      <c r="R1244">
        <v>6587</v>
      </c>
      <c r="S1244">
        <v>4221</v>
      </c>
      <c r="T1244">
        <v>0</v>
      </c>
      <c r="U1244">
        <v>20847</v>
      </c>
      <c r="V1244">
        <v>93279.358196219997</v>
      </c>
      <c r="AH1244">
        <f t="shared" si="176"/>
        <v>2497</v>
      </c>
      <c r="AI1244">
        <f t="shared" si="177"/>
        <v>3473</v>
      </c>
      <c r="AJ1244" t="str">
        <f t="shared" si="178"/>
        <v/>
      </c>
      <c r="AK1244">
        <f t="shared" si="179"/>
        <v>6142</v>
      </c>
      <c r="AL1244">
        <f t="shared" si="172"/>
        <v>7199</v>
      </c>
      <c r="AM1244">
        <f t="shared" si="173"/>
        <v>6587</v>
      </c>
      <c r="AN1244">
        <f t="shared" si="174"/>
        <v>4221</v>
      </c>
      <c r="AO1244" t="str">
        <f t="shared" si="175"/>
        <v/>
      </c>
    </row>
    <row r="1245" spans="1:41">
      <c r="A1245">
        <f t="shared" si="180"/>
        <v>1241</v>
      </c>
      <c r="B1245" t="s">
        <v>270</v>
      </c>
      <c r="C1245">
        <v>5</v>
      </c>
      <c r="D1245">
        <v>5</v>
      </c>
      <c r="E1245" t="s">
        <v>385</v>
      </c>
      <c r="F1245">
        <v>412</v>
      </c>
      <c r="G1245">
        <v>1</v>
      </c>
      <c r="H1245">
        <v>70</v>
      </c>
      <c r="I1245" t="s">
        <v>386</v>
      </c>
      <c r="J1245" t="s">
        <v>386</v>
      </c>
      <c r="K1245">
        <v>1000000</v>
      </c>
      <c r="L1245">
        <v>2633</v>
      </c>
      <c r="M1245">
        <v>2633</v>
      </c>
      <c r="N1245">
        <v>3658</v>
      </c>
      <c r="O1245">
        <v>0</v>
      </c>
      <c r="P1245">
        <v>6310</v>
      </c>
      <c r="Q1245">
        <v>7308</v>
      </c>
      <c r="R1245">
        <v>6649</v>
      </c>
      <c r="S1245">
        <v>4243</v>
      </c>
      <c r="T1245">
        <v>0</v>
      </c>
      <c r="U1245">
        <v>21709</v>
      </c>
      <c r="V1245">
        <v>96811.562376269998</v>
      </c>
      <c r="AH1245">
        <f t="shared" si="176"/>
        <v>2633</v>
      </c>
      <c r="AI1245">
        <f t="shared" si="177"/>
        <v>3658</v>
      </c>
      <c r="AJ1245" t="str">
        <f t="shared" si="178"/>
        <v/>
      </c>
      <c r="AK1245">
        <f t="shared" si="179"/>
        <v>6310</v>
      </c>
      <c r="AL1245">
        <f t="shared" si="172"/>
        <v>7308</v>
      </c>
      <c r="AM1245">
        <f t="shared" si="173"/>
        <v>6649</v>
      </c>
      <c r="AN1245">
        <f t="shared" si="174"/>
        <v>4243</v>
      </c>
      <c r="AO1245" t="str">
        <f t="shared" si="175"/>
        <v/>
      </c>
    </row>
    <row r="1246" spans="1:41">
      <c r="A1246">
        <f t="shared" si="180"/>
        <v>1242</v>
      </c>
      <c r="B1246" t="s">
        <v>270</v>
      </c>
      <c r="C1246">
        <v>5</v>
      </c>
      <c r="D1246">
        <v>5</v>
      </c>
      <c r="E1246" t="s">
        <v>385</v>
      </c>
      <c r="F1246">
        <v>412</v>
      </c>
      <c r="G1246">
        <v>1</v>
      </c>
      <c r="H1246">
        <v>71</v>
      </c>
      <c r="I1246" t="s">
        <v>386</v>
      </c>
      <c r="J1246" t="s">
        <v>386</v>
      </c>
      <c r="K1246">
        <v>1000000</v>
      </c>
      <c r="L1246">
        <v>2767</v>
      </c>
      <c r="M1246">
        <v>2767</v>
      </c>
      <c r="N1246">
        <v>3841</v>
      </c>
      <c r="O1246">
        <v>0</v>
      </c>
      <c r="P1246">
        <v>6448</v>
      </c>
      <c r="Q1246">
        <v>7378</v>
      </c>
      <c r="R1246">
        <v>6659</v>
      </c>
      <c r="S1246">
        <v>4214</v>
      </c>
      <c r="T1246">
        <v>0</v>
      </c>
      <c r="U1246">
        <v>22559</v>
      </c>
      <c r="V1246">
        <v>100327.8108475</v>
      </c>
      <c r="AH1246">
        <f t="shared" si="176"/>
        <v>2767</v>
      </c>
      <c r="AI1246">
        <f t="shared" si="177"/>
        <v>3841</v>
      </c>
      <c r="AJ1246" t="str">
        <f t="shared" si="178"/>
        <v/>
      </c>
      <c r="AK1246">
        <f t="shared" si="179"/>
        <v>6448</v>
      </c>
      <c r="AL1246">
        <f t="shared" si="172"/>
        <v>7378</v>
      </c>
      <c r="AM1246">
        <f t="shared" si="173"/>
        <v>6659</v>
      </c>
      <c r="AN1246">
        <f t="shared" si="174"/>
        <v>4214</v>
      </c>
      <c r="AO1246" t="str">
        <f t="shared" si="175"/>
        <v/>
      </c>
    </row>
    <row r="1247" spans="1:41">
      <c r="A1247">
        <f t="shared" si="180"/>
        <v>1243</v>
      </c>
      <c r="B1247" t="s">
        <v>270</v>
      </c>
      <c r="C1247">
        <v>5</v>
      </c>
      <c r="D1247">
        <v>5</v>
      </c>
      <c r="E1247" t="s">
        <v>385</v>
      </c>
      <c r="F1247">
        <v>412</v>
      </c>
      <c r="G1247">
        <v>1</v>
      </c>
      <c r="H1247">
        <v>72</v>
      </c>
      <c r="I1247" t="s">
        <v>386</v>
      </c>
      <c r="J1247" t="s">
        <v>386</v>
      </c>
      <c r="K1247">
        <v>1000000</v>
      </c>
      <c r="L1247">
        <v>2897</v>
      </c>
      <c r="M1247">
        <v>2897</v>
      </c>
      <c r="N1247">
        <v>4019</v>
      </c>
      <c r="O1247">
        <v>0</v>
      </c>
      <c r="P1247">
        <v>6531</v>
      </c>
      <c r="Q1247">
        <v>7349</v>
      </c>
      <c r="R1247">
        <v>6537</v>
      </c>
      <c r="S1247">
        <v>4066</v>
      </c>
      <c r="T1247">
        <v>0</v>
      </c>
      <c r="U1247">
        <v>23381</v>
      </c>
      <c r="V1247">
        <v>103896.31144911</v>
      </c>
      <c r="AH1247">
        <f t="shared" si="176"/>
        <v>2897</v>
      </c>
      <c r="AI1247">
        <f t="shared" si="177"/>
        <v>4019</v>
      </c>
      <c r="AJ1247" t="str">
        <f t="shared" si="178"/>
        <v/>
      </c>
      <c r="AK1247">
        <f t="shared" si="179"/>
        <v>6531</v>
      </c>
      <c r="AL1247">
        <f t="shared" si="172"/>
        <v>7349</v>
      </c>
      <c r="AM1247">
        <f t="shared" si="173"/>
        <v>6537</v>
      </c>
      <c r="AN1247">
        <f t="shared" si="174"/>
        <v>4066</v>
      </c>
      <c r="AO1247" t="str">
        <f t="shared" si="175"/>
        <v/>
      </c>
    </row>
    <row r="1248" spans="1:41">
      <c r="A1248">
        <f t="shared" si="180"/>
        <v>1244</v>
      </c>
      <c r="B1248" t="s">
        <v>270</v>
      </c>
      <c r="C1248">
        <v>5</v>
      </c>
      <c r="D1248">
        <v>5</v>
      </c>
      <c r="E1248" t="s">
        <v>385</v>
      </c>
      <c r="F1248">
        <v>412</v>
      </c>
      <c r="G1248">
        <v>1</v>
      </c>
      <c r="H1248">
        <v>73</v>
      </c>
      <c r="I1248" t="s">
        <v>386</v>
      </c>
      <c r="J1248" t="s">
        <v>386</v>
      </c>
      <c r="K1248">
        <v>1000000</v>
      </c>
      <c r="L1248">
        <v>3019</v>
      </c>
      <c r="M1248">
        <v>3019</v>
      </c>
      <c r="N1248">
        <v>4185</v>
      </c>
      <c r="O1248">
        <v>0</v>
      </c>
      <c r="P1248">
        <v>6506</v>
      </c>
      <c r="Q1248">
        <v>7129</v>
      </c>
      <c r="R1248">
        <v>6186</v>
      </c>
      <c r="S1248">
        <v>3752</v>
      </c>
      <c r="T1248">
        <v>0</v>
      </c>
      <c r="U1248">
        <v>24151</v>
      </c>
      <c r="V1248">
        <v>107673.38605628999</v>
      </c>
      <c r="AH1248">
        <f t="shared" si="176"/>
        <v>3019</v>
      </c>
      <c r="AI1248">
        <f t="shared" si="177"/>
        <v>4185</v>
      </c>
      <c r="AJ1248" t="str">
        <f t="shared" si="178"/>
        <v/>
      </c>
      <c r="AK1248">
        <f t="shared" si="179"/>
        <v>6506</v>
      </c>
      <c r="AL1248">
        <f t="shared" si="172"/>
        <v>7129</v>
      </c>
      <c r="AM1248">
        <f t="shared" si="173"/>
        <v>6186</v>
      </c>
      <c r="AN1248">
        <f t="shared" si="174"/>
        <v>3752</v>
      </c>
      <c r="AO1248" t="str">
        <f t="shared" si="175"/>
        <v/>
      </c>
    </row>
    <row r="1249" spans="1:41">
      <c r="A1249">
        <f t="shared" si="180"/>
        <v>1245</v>
      </c>
      <c r="B1249" t="s">
        <v>270</v>
      </c>
      <c r="C1249">
        <v>5</v>
      </c>
      <c r="D1249">
        <v>5</v>
      </c>
      <c r="E1249" t="s">
        <v>385</v>
      </c>
      <c r="F1249">
        <v>412</v>
      </c>
      <c r="G1249">
        <v>1</v>
      </c>
      <c r="H1249">
        <v>74</v>
      </c>
      <c r="I1249" t="s">
        <v>386</v>
      </c>
      <c r="J1249" t="s">
        <v>386</v>
      </c>
      <c r="K1249">
        <v>1000000</v>
      </c>
      <c r="L1249">
        <v>3128</v>
      </c>
      <c r="M1249">
        <v>3128</v>
      </c>
      <c r="N1249">
        <v>4334</v>
      </c>
      <c r="O1249">
        <v>0</v>
      </c>
      <c r="P1249">
        <v>6329</v>
      </c>
      <c r="Q1249">
        <v>6662</v>
      </c>
      <c r="R1249">
        <v>5589</v>
      </c>
      <c r="S1249">
        <v>3291</v>
      </c>
      <c r="T1249">
        <v>0</v>
      </c>
      <c r="U1249">
        <v>24838</v>
      </c>
      <c r="V1249">
        <v>111815.13107023999</v>
      </c>
      <c r="AH1249">
        <f t="shared" si="176"/>
        <v>3128</v>
      </c>
      <c r="AI1249">
        <f t="shared" si="177"/>
        <v>4334</v>
      </c>
      <c r="AJ1249" t="str">
        <f t="shared" si="178"/>
        <v/>
      </c>
      <c r="AK1249">
        <f t="shared" si="179"/>
        <v>6329</v>
      </c>
      <c r="AL1249">
        <f t="shared" si="172"/>
        <v>6662</v>
      </c>
      <c r="AM1249">
        <f t="shared" si="173"/>
        <v>5589</v>
      </c>
      <c r="AN1249">
        <f t="shared" si="174"/>
        <v>3291</v>
      </c>
      <c r="AO1249" t="str">
        <f t="shared" si="175"/>
        <v/>
      </c>
    </row>
    <row r="1250" spans="1:41">
      <c r="A1250">
        <f t="shared" si="180"/>
        <v>1246</v>
      </c>
      <c r="B1250" t="s">
        <v>270</v>
      </c>
      <c r="C1250">
        <v>5</v>
      </c>
      <c r="D1250">
        <v>5</v>
      </c>
      <c r="E1250" t="s">
        <v>385</v>
      </c>
      <c r="F1250">
        <v>412</v>
      </c>
      <c r="G1250">
        <v>1</v>
      </c>
      <c r="H1250">
        <v>75</v>
      </c>
      <c r="I1250" t="s">
        <v>386</v>
      </c>
      <c r="J1250" t="s">
        <v>386</v>
      </c>
      <c r="K1250">
        <v>1000000</v>
      </c>
      <c r="L1250">
        <v>3219</v>
      </c>
      <c r="M1250">
        <v>3219</v>
      </c>
      <c r="N1250">
        <v>4459</v>
      </c>
      <c r="O1250">
        <v>0</v>
      </c>
      <c r="P1250">
        <v>6005</v>
      </c>
      <c r="Q1250">
        <v>6002</v>
      </c>
      <c r="R1250">
        <v>4847</v>
      </c>
      <c r="S1250">
        <v>2777</v>
      </c>
      <c r="T1250">
        <v>0</v>
      </c>
      <c r="U1250">
        <v>25415</v>
      </c>
      <c r="V1250">
        <v>116405.85376183</v>
      </c>
      <c r="AH1250">
        <f t="shared" si="176"/>
        <v>3219</v>
      </c>
      <c r="AI1250">
        <f t="shared" si="177"/>
        <v>4459</v>
      </c>
      <c r="AJ1250" t="str">
        <f t="shared" si="178"/>
        <v/>
      </c>
      <c r="AK1250">
        <f t="shared" si="179"/>
        <v>6005</v>
      </c>
      <c r="AL1250">
        <f t="shared" si="172"/>
        <v>6002</v>
      </c>
      <c r="AM1250">
        <f t="shared" si="173"/>
        <v>4847</v>
      </c>
      <c r="AN1250">
        <f t="shared" si="174"/>
        <v>2777</v>
      </c>
      <c r="AO1250" t="str">
        <f t="shared" si="175"/>
        <v/>
      </c>
    </row>
    <row r="1251" spans="1:41">
      <c r="A1251">
        <f t="shared" si="180"/>
        <v>1247</v>
      </c>
      <c r="B1251" t="s">
        <v>270</v>
      </c>
      <c r="C1251">
        <v>4</v>
      </c>
      <c r="D1251">
        <v>4</v>
      </c>
      <c r="E1251" t="s">
        <v>385</v>
      </c>
      <c r="F1251">
        <v>412</v>
      </c>
      <c r="G1251">
        <v>1</v>
      </c>
      <c r="H1251">
        <v>76</v>
      </c>
      <c r="I1251" t="s">
        <v>386</v>
      </c>
      <c r="J1251" t="s">
        <v>386</v>
      </c>
      <c r="K1251">
        <v>1000000</v>
      </c>
      <c r="L1251">
        <v>3247</v>
      </c>
      <c r="M1251">
        <v>3247</v>
      </c>
      <c r="N1251">
        <v>4648</v>
      </c>
      <c r="O1251">
        <v>0</v>
      </c>
      <c r="P1251">
        <v>5088</v>
      </c>
      <c r="Q1251">
        <v>4218</v>
      </c>
      <c r="R1251">
        <v>2453</v>
      </c>
      <c r="S1251">
        <v>0</v>
      </c>
      <c r="T1251" t="s">
        <v>386</v>
      </c>
      <c r="U1251">
        <v>26283</v>
      </c>
      <c r="V1251">
        <v>107796.17575462</v>
      </c>
      <c r="AH1251">
        <f t="shared" si="176"/>
        <v>3247</v>
      </c>
      <c r="AI1251">
        <f t="shared" si="177"/>
        <v>4648</v>
      </c>
      <c r="AJ1251" t="str">
        <f t="shared" si="178"/>
        <v/>
      </c>
      <c r="AK1251">
        <f t="shared" si="179"/>
        <v>5088</v>
      </c>
      <c r="AL1251">
        <f t="shared" si="172"/>
        <v>4218</v>
      </c>
      <c r="AM1251">
        <f t="shared" si="173"/>
        <v>2453</v>
      </c>
      <c r="AN1251" t="str">
        <f t="shared" si="174"/>
        <v/>
      </c>
      <c r="AO1251" t="e">
        <f t="shared" si="175"/>
        <v>#VALUE!</v>
      </c>
    </row>
    <row r="1252" spans="1:41">
      <c r="A1252">
        <f t="shared" si="180"/>
        <v>1248</v>
      </c>
      <c r="B1252" t="s">
        <v>270</v>
      </c>
      <c r="C1252">
        <v>3</v>
      </c>
      <c r="D1252">
        <v>3</v>
      </c>
      <c r="E1252" t="s">
        <v>385</v>
      </c>
      <c r="F1252">
        <v>412</v>
      </c>
      <c r="G1252">
        <v>1</v>
      </c>
      <c r="H1252">
        <v>77</v>
      </c>
      <c r="I1252" t="s">
        <v>386</v>
      </c>
      <c r="J1252" t="s">
        <v>386</v>
      </c>
      <c r="K1252">
        <v>1000000</v>
      </c>
      <c r="L1252">
        <v>3251</v>
      </c>
      <c r="M1252">
        <v>3251</v>
      </c>
      <c r="N1252">
        <v>4925</v>
      </c>
      <c r="O1252">
        <v>0</v>
      </c>
      <c r="P1252">
        <v>4137</v>
      </c>
      <c r="Q1252">
        <v>2411</v>
      </c>
      <c r="R1252">
        <v>0</v>
      </c>
      <c r="S1252" t="s">
        <v>386</v>
      </c>
      <c r="T1252" t="s">
        <v>386</v>
      </c>
      <c r="U1252">
        <v>27545</v>
      </c>
      <c r="V1252">
        <v>98288.614985799999</v>
      </c>
      <c r="AH1252">
        <f t="shared" si="176"/>
        <v>3251</v>
      </c>
      <c r="AI1252">
        <f t="shared" si="177"/>
        <v>4925</v>
      </c>
      <c r="AJ1252" t="str">
        <f t="shared" si="178"/>
        <v/>
      </c>
      <c r="AK1252">
        <f t="shared" si="179"/>
        <v>4137</v>
      </c>
      <c r="AL1252">
        <f t="shared" si="172"/>
        <v>2411</v>
      </c>
      <c r="AM1252" t="str">
        <f t="shared" si="173"/>
        <v/>
      </c>
      <c r="AN1252" t="e">
        <f t="shared" si="174"/>
        <v>#VALUE!</v>
      </c>
      <c r="AO1252" t="e">
        <f t="shared" si="175"/>
        <v>#VALUE!</v>
      </c>
    </row>
    <row r="1253" spans="1:41">
      <c r="A1253">
        <f t="shared" si="180"/>
        <v>1249</v>
      </c>
      <c r="B1253" t="s">
        <v>270</v>
      </c>
      <c r="C1253">
        <v>2</v>
      </c>
      <c r="D1253">
        <v>2</v>
      </c>
      <c r="E1253" t="s">
        <v>385</v>
      </c>
      <c r="F1253">
        <v>412</v>
      </c>
      <c r="G1253">
        <v>1</v>
      </c>
      <c r="H1253">
        <v>78</v>
      </c>
      <c r="I1253" t="s">
        <v>386</v>
      </c>
      <c r="J1253" t="s">
        <v>386</v>
      </c>
      <c r="K1253">
        <v>1000000</v>
      </c>
      <c r="L1253">
        <v>3207</v>
      </c>
      <c r="M1253">
        <v>3207</v>
      </c>
      <c r="N1253">
        <v>5308</v>
      </c>
      <c r="O1253">
        <v>0</v>
      </c>
      <c r="P1253">
        <v>2913</v>
      </c>
      <c r="Q1253">
        <v>0</v>
      </c>
      <c r="R1253" t="s">
        <v>386</v>
      </c>
      <c r="S1253" t="s">
        <v>386</v>
      </c>
      <c r="T1253" t="s">
        <v>386</v>
      </c>
      <c r="U1253">
        <v>26897</v>
      </c>
      <c r="V1253">
        <v>87773.030832529999</v>
      </c>
      <c r="AH1253">
        <f t="shared" si="176"/>
        <v>3207</v>
      </c>
      <c r="AI1253">
        <f t="shared" si="177"/>
        <v>5308</v>
      </c>
      <c r="AJ1253" t="str">
        <f t="shared" si="178"/>
        <v/>
      </c>
      <c r="AK1253">
        <f t="shared" si="179"/>
        <v>2913</v>
      </c>
      <c r="AL1253" t="str">
        <f t="shared" si="172"/>
        <v/>
      </c>
      <c r="AM1253" t="e">
        <f t="shared" si="173"/>
        <v>#VALUE!</v>
      </c>
      <c r="AN1253" t="e">
        <f t="shared" si="174"/>
        <v>#VALUE!</v>
      </c>
      <c r="AO1253" t="e">
        <f t="shared" si="175"/>
        <v>#VALUE!</v>
      </c>
    </row>
    <row r="1254" spans="1:41">
      <c r="A1254">
        <f t="shared" si="180"/>
        <v>1250</v>
      </c>
      <c r="B1254" t="s">
        <v>270</v>
      </c>
      <c r="C1254">
        <v>1</v>
      </c>
      <c r="D1254">
        <v>1</v>
      </c>
      <c r="E1254" t="s">
        <v>385</v>
      </c>
      <c r="F1254">
        <v>412</v>
      </c>
      <c r="G1254">
        <v>1</v>
      </c>
      <c r="H1254">
        <v>79</v>
      </c>
      <c r="I1254" t="s">
        <v>386</v>
      </c>
      <c r="J1254" t="s">
        <v>386</v>
      </c>
      <c r="K1254">
        <v>1000000</v>
      </c>
      <c r="L1254">
        <v>3003</v>
      </c>
      <c r="M1254">
        <v>3003</v>
      </c>
      <c r="N1254">
        <v>6217</v>
      </c>
      <c r="O1254">
        <v>0</v>
      </c>
      <c r="P1254">
        <v>0</v>
      </c>
      <c r="Q1254" t="s">
        <v>386</v>
      </c>
      <c r="R1254" t="s">
        <v>386</v>
      </c>
      <c r="S1254" t="s">
        <v>386</v>
      </c>
      <c r="T1254" t="s">
        <v>386</v>
      </c>
      <c r="U1254">
        <v>24679</v>
      </c>
      <c r="V1254">
        <v>76159.297138719994</v>
      </c>
      <c r="AH1254">
        <f t="shared" si="176"/>
        <v>3003</v>
      </c>
      <c r="AI1254">
        <f t="shared" si="177"/>
        <v>6217</v>
      </c>
      <c r="AJ1254" t="str">
        <f t="shared" si="178"/>
        <v/>
      </c>
      <c r="AK1254" t="str">
        <f t="shared" si="179"/>
        <v/>
      </c>
      <c r="AL1254" t="e">
        <f t="shared" si="172"/>
        <v>#VALUE!</v>
      </c>
      <c r="AM1254" t="e">
        <f t="shared" si="173"/>
        <v>#VALUE!</v>
      </c>
      <c r="AN1254" t="e">
        <f t="shared" si="174"/>
        <v>#VALUE!</v>
      </c>
      <c r="AO1254" t="e">
        <f t="shared" si="175"/>
        <v>#VALUE!</v>
      </c>
    </row>
    <row r="1255" spans="1:41">
      <c r="A1255">
        <f t="shared" si="180"/>
        <v>1251</v>
      </c>
      <c r="B1255" t="s">
        <v>270</v>
      </c>
      <c r="C1255">
        <v>5</v>
      </c>
      <c r="D1255">
        <v>5</v>
      </c>
      <c r="E1255" t="s">
        <v>387</v>
      </c>
      <c r="F1255">
        <v>412</v>
      </c>
      <c r="G1255">
        <v>1</v>
      </c>
      <c r="H1255">
        <v>30</v>
      </c>
      <c r="I1255" t="s">
        <v>386</v>
      </c>
      <c r="J1255" t="s">
        <v>386</v>
      </c>
      <c r="K1255">
        <v>1000000</v>
      </c>
      <c r="L1255">
        <v>76</v>
      </c>
      <c r="M1255">
        <v>76</v>
      </c>
      <c r="N1255">
        <v>206</v>
      </c>
      <c r="O1255">
        <v>0</v>
      </c>
      <c r="P1255">
        <v>240</v>
      </c>
      <c r="Q1255">
        <v>322</v>
      </c>
      <c r="R1255">
        <v>322</v>
      </c>
      <c r="S1255">
        <v>218</v>
      </c>
      <c r="T1255">
        <v>0</v>
      </c>
      <c r="U1255">
        <v>5418</v>
      </c>
      <c r="V1255">
        <v>63839.332332270002</v>
      </c>
      <c r="AH1255">
        <f t="shared" si="176"/>
        <v>76</v>
      </c>
      <c r="AI1255">
        <f t="shared" si="177"/>
        <v>206</v>
      </c>
      <c r="AJ1255" t="str">
        <f t="shared" si="178"/>
        <v/>
      </c>
      <c r="AK1255">
        <f t="shared" si="179"/>
        <v>240</v>
      </c>
      <c r="AL1255">
        <f t="shared" si="172"/>
        <v>322</v>
      </c>
      <c r="AM1255">
        <f t="shared" si="173"/>
        <v>322</v>
      </c>
      <c r="AN1255">
        <f t="shared" si="174"/>
        <v>218</v>
      </c>
      <c r="AO1255" t="str">
        <f t="shared" si="175"/>
        <v/>
      </c>
    </row>
    <row r="1256" spans="1:41">
      <c r="A1256">
        <f t="shared" si="180"/>
        <v>1252</v>
      </c>
      <c r="B1256" t="s">
        <v>270</v>
      </c>
      <c r="C1256">
        <v>5</v>
      </c>
      <c r="D1256">
        <v>5</v>
      </c>
      <c r="E1256" t="s">
        <v>387</v>
      </c>
      <c r="F1256">
        <v>412</v>
      </c>
      <c r="G1256">
        <v>1</v>
      </c>
      <c r="H1256">
        <v>31</v>
      </c>
      <c r="I1256" t="s">
        <v>386</v>
      </c>
      <c r="J1256" t="s">
        <v>386</v>
      </c>
      <c r="K1256">
        <v>1000000</v>
      </c>
      <c r="L1256">
        <v>83</v>
      </c>
      <c r="M1256">
        <v>83</v>
      </c>
      <c r="N1256">
        <v>216</v>
      </c>
      <c r="O1256">
        <v>0</v>
      </c>
      <c r="P1256">
        <v>274</v>
      </c>
      <c r="Q1256">
        <v>367</v>
      </c>
      <c r="R1256">
        <v>359</v>
      </c>
      <c r="S1256">
        <v>240</v>
      </c>
      <c r="T1256">
        <v>0</v>
      </c>
      <c r="U1256">
        <v>5468</v>
      </c>
      <c r="V1256">
        <v>63880.879442329999</v>
      </c>
      <c r="AH1256">
        <f t="shared" si="176"/>
        <v>83</v>
      </c>
      <c r="AI1256">
        <f t="shared" si="177"/>
        <v>216</v>
      </c>
      <c r="AJ1256" t="str">
        <f t="shared" si="178"/>
        <v/>
      </c>
      <c r="AK1256">
        <f t="shared" si="179"/>
        <v>274</v>
      </c>
      <c r="AL1256">
        <f t="shared" si="172"/>
        <v>367</v>
      </c>
      <c r="AM1256">
        <f t="shared" si="173"/>
        <v>359</v>
      </c>
      <c r="AN1256">
        <f t="shared" si="174"/>
        <v>240</v>
      </c>
      <c r="AO1256" t="str">
        <f t="shared" si="175"/>
        <v/>
      </c>
    </row>
    <row r="1257" spans="1:41">
      <c r="A1257">
        <f t="shared" si="180"/>
        <v>1253</v>
      </c>
      <c r="B1257" t="s">
        <v>270</v>
      </c>
      <c r="C1257">
        <v>5</v>
      </c>
      <c r="D1257">
        <v>5</v>
      </c>
      <c r="E1257" t="s">
        <v>387</v>
      </c>
      <c r="F1257">
        <v>412</v>
      </c>
      <c r="G1257">
        <v>1</v>
      </c>
      <c r="H1257">
        <v>32</v>
      </c>
      <c r="I1257" t="s">
        <v>386</v>
      </c>
      <c r="J1257" t="s">
        <v>386</v>
      </c>
      <c r="K1257">
        <v>1000000</v>
      </c>
      <c r="L1257">
        <v>92</v>
      </c>
      <c r="M1257">
        <v>92</v>
      </c>
      <c r="N1257">
        <v>228</v>
      </c>
      <c r="O1257">
        <v>0</v>
      </c>
      <c r="P1257">
        <v>307</v>
      </c>
      <c r="Q1257">
        <v>404</v>
      </c>
      <c r="R1257">
        <v>391</v>
      </c>
      <c r="S1257">
        <v>261</v>
      </c>
      <c r="T1257">
        <v>0</v>
      </c>
      <c r="U1257">
        <v>5524</v>
      </c>
      <c r="V1257">
        <v>63926.202304289996</v>
      </c>
      <c r="AH1257">
        <f t="shared" si="176"/>
        <v>92</v>
      </c>
      <c r="AI1257">
        <f t="shared" si="177"/>
        <v>228</v>
      </c>
      <c r="AJ1257" t="str">
        <f t="shared" si="178"/>
        <v/>
      </c>
      <c r="AK1257">
        <f t="shared" si="179"/>
        <v>307</v>
      </c>
      <c r="AL1257">
        <f t="shared" si="172"/>
        <v>404</v>
      </c>
      <c r="AM1257">
        <f t="shared" si="173"/>
        <v>391</v>
      </c>
      <c r="AN1257">
        <f t="shared" si="174"/>
        <v>261</v>
      </c>
      <c r="AO1257" t="str">
        <f t="shared" si="175"/>
        <v/>
      </c>
    </row>
    <row r="1258" spans="1:41">
      <c r="A1258">
        <f t="shared" si="180"/>
        <v>1254</v>
      </c>
      <c r="B1258" t="s">
        <v>270</v>
      </c>
      <c r="C1258">
        <v>5</v>
      </c>
      <c r="D1258">
        <v>5</v>
      </c>
      <c r="E1258" t="s">
        <v>387</v>
      </c>
      <c r="F1258">
        <v>412</v>
      </c>
      <c r="G1258">
        <v>1</v>
      </c>
      <c r="H1258">
        <v>33</v>
      </c>
      <c r="I1258" t="s">
        <v>386</v>
      </c>
      <c r="J1258" t="s">
        <v>386</v>
      </c>
      <c r="K1258">
        <v>1000000</v>
      </c>
      <c r="L1258">
        <v>102</v>
      </c>
      <c r="M1258">
        <v>102</v>
      </c>
      <c r="N1258">
        <v>241</v>
      </c>
      <c r="O1258">
        <v>0</v>
      </c>
      <c r="P1258">
        <v>338</v>
      </c>
      <c r="Q1258">
        <v>441</v>
      </c>
      <c r="R1258">
        <v>429</v>
      </c>
      <c r="S1258">
        <v>290</v>
      </c>
      <c r="T1258">
        <v>0</v>
      </c>
      <c r="U1258">
        <v>5585</v>
      </c>
      <c r="V1258">
        <v>63976.22096631</v>
      </c>
      <c r="AH1258">
        <f t="shared" si="176"/>
        <v>102</v>
      </c>
      <c r="AI1258">
        <f t="shared" si="177"/>
        <v>241</v>
      </c>
      <c r="AJ1258" t="str">
        <f t="shared" si="178"/>
        <v/>
      </c>
      <c r="AK1258">
        <f t="shared" si="179"/>
        <v>338</v>
      </c>
      <c r="AL1258">
        <f t="shared" si="172"/>
        <v>441</v>
      </c>
      <c r="AM1258">
        <f t="shared" si="173"/>
        <v>429</v>
      </c>
      <c r="AN1258">
        <f t="shared" si="174"/>
        <v>290</v>
      </c>
      <c r="AO1258" t="str">
        <f t="shared" si="175"/>
        <v/>
      </c>
    </row>
    <row r="1259" spans="1:41">
      <c r="A1259">
        <f t="shared" si="180"/>
        <v>1255</v>
      </c>
      <c r="B1259" t="s">
        <v>270</v>
      </c>
      <c r="C1259">
        <v>5</v>
      </c>
      <c r="D1259">
        <v>5</v>
      </c>
      <c r="E1259" t="s">
        <v>387</v>
      </c>
      <c r="F1259">
        <v>412</v>
      </c>
      <c r="G1259">
        <v>1</v>
      </c>
      <c r="H1259">
        <v>34</v>
      </c>
      <c r="I1259" t="s">
        <v>386</v>
      </c>
      <c r="J1259" t="s">
        <v>386</v>
      </c>
      <c r="K1259">
        <v>1000000</v>
      </c>
      <c r="L1259">
        <v>113</v>
      </c>
      <c r="M1259">
        <v>113</v>
      </c>
      <c r="N1259">
        <v>256</v>
      </c>
      <c r="O1259">
        <v>0</v>
      </c>
      <c r="P1259">
        <v>380</v>
      </c>
      <c r="Q1259">
        <v>502</v>
      </c>
      <c r="R1259">
        <v>501</v>
      </c>
      <c r="S1259">
        <v>352</v>
      </c>
      <c r="T1259">
        <v>0</v>
      </c>
      <c r="U1259">
        <v>5657</v>
      </c>
      <c r="V1259">
        <v>64030.641335159999</v>
      </c>
      <c r="AH1259">
        <f t="shared" si="176"/>
        <v>113</v>
      </c>
      <c r="AI1259">
        <f t="shared" si="177"/>
        <v>256</v>
      </c>
      <c r="AJ1259" t="str">
        <f t="shared" si="178"/>
        <v/>
      </c>
      <c r="AK1259">
        <f t="shared" si="179"/>
        <v>380</v>
      </c>
      <c r="AL1259">
        <f t="shared" si="172"/>
        <v>502</v>
      </c>
      <c r="AM1259">
        <f t="shared" si="173"/>
        <v>501</v>
      </c>
      <c r="AN1259">
        <f t="shared" si="174"/>
        <v>352</v>
      </c>
      <c r="AO1259" t="str">
        <f t="shared" si="175"/>
        <v/>
      </c>
    </row>
    <row r="1260" spans="1:41">
      <c r="A1260">
        <f t="shared" si="180"/>
        <v>1256</v>
      </c>
      <c r="B1260" t="s">
        <v>270</v>
      </c>
      <c r="C1260">
        <v>5</v>
      </c>
      <c r="D1260">
        <v>5</v>
      </c>
      <c r="E1260" t="s">
        <v>387</v>
      </c>
      <c r="F1260">
        <v>412</v>
      </c>
      <c r="G1260">
        <v>1</v>
      </c>
      <c r="H1260">
        <v>35</v>
      </c>
      <c r="I1260" t="s">
        <v>386</v>
      </c>
      <c r="J1260" t="s">
        <v>386</v>
      </c>
      <c r="K1260">
        <v>1000000</v>
      </c>
      <c r="L1260">
        <v>126</v>
      </c>
      <c r="M1260">
        <v>126</v>
      </c>
      <c r="N1260">
        <v>274</v>
      </c>
      <c r="O1260">
        <v>0</v>
      </c>
      <c r="P1260">
        <v>444</v>
      </c>
      <c r="Q1260">
        <v>604</v>
      </c>
      <c r="R1260">
        <v>622</v>
      </c>
      <c r="S1260">
        <v>441</v>
      </c>
      <c r="T1260">
        <v>0</v>
      </c>
      <c r="U1260">
        <v>5743</v>
      </c>
      <c r="V1260">
        <v>64087.815196750002</v>
      </c>
      <c r="AH1260">
        <f t="shared" si="176"/>
        <v>126</v>
      </c>
      <c r="AI1260">
        <f t="shared" si="177"/>
        <v>274</v>
      </c>
      <c r="AJ1260" t="str">
        <f t="shared" si="178"/>
        <v/>
      </c>
      <c r="AK1260">
        <f t="shared" si="179"/>
        <v>444</v>
      </c>
      <c r="AL1260">
        <f t="shared" si="172"/>
        <v>604</v>
      </c>
      <c r="AM1260">
        <f t="shared" si="173"/>
        <v>622</v>
      </c>
      <c r="AN1260">
        <f t="shared" si="174"/>
        <v>441</v>
      </c>
      <c r="AO1260" t="str">
        <f t="shared" si="175"/>
        <v/>
      </c>
    </row>
    <row r="1261" spans="1:41">
      <c r="A1261">
        <f t="shared" si="180"/>
        <v>1257</v>
      </c>
      <c r="B1261" t="s">
        <v>270</v>
      </c>
      <c r="C1261">
        <v>5</v>
      </c>
      <c r="D1261">
        <v>5</v>
      </c>
      <c r="E1261" t="s">
        <v>387</v>
      </c>
      <c r="F1261">
        <v>412</v>
      </c>
      <c r="G1261">
        <v>1</v>
      </c>
      <c r="H1261">
        <v>36</v>
      </c>
      <c r="I1261" t="s">
        <v>386</v>
      </c>
      <c r="J1261" t="s">
        <v>386</v>
      </c>
      <c r="K1261">
        <v>1000000</v>
      </c>
      <c r="L1261">
        <v>143</v>
      </c>
      <c r="M1261">
        <v>143</v>
      </c>
      <c r="N1261">
        <v>296</v>
      </c>
      <c r="O1261">
        <v>0</v>
      </c>
      <c r="P1261">
        <v>535</v>
      </c>
      <c r="Q1261">
        <v>750</v>
      </c>
      <c r="R1261">
        <v>772</v>
      </c>
      <c r="S1261">
        <v>539</v>
      </c>
      <c r="T1261">
        <v>0</v>
      </c>
      <c r="U1261">
        <v>5848</v>
      </c>
      <c r="V1261">
        <v>64147.290393739997</v>
      </c>
      <c r="AH1261">
        <f t="shared" si="176"/>
        <v>143</v>
      </c>
      <c r="AI1261">
        <f t="shared" si="177"/>
        <v>296</v>
      </c>
      <c r="AJ1261" t="str">
        <f t="shared" si="178"/>
        <v/>
      </c>
      <c r="AK1261">
        <f t="shared" si="179"/>
        <v>535</v>
      </c>
      <c r="AL1261">
        <f t="shared" si="172"/>
        <v>750</v>
      </c>
      <c r="AM1261">
        <f t="shared" si="173"/>
        <v>772</v>
      </c>
      <c r="AN1261">
        <f t="shared" si="174"/>
        <v>539</v>
      </c>
      <c r="AO1261" t="str">
        <f t="shared" si="175"/>
        <v/>
      </c>
    </row>
    <row r="1262" spans="1:41">
      <c r="A1262">
        <f t="shared" si="180"/>
        <v>1258</v>
      </c>
      <c r="B1262" t="s">
        <v>270</v>
      </c>
      <c r="C1262">
        <v>5</v>
      </c>
      <c r="D1262">
        <v>5</v>
      </c>
      <c r="E1262" t="s">
        <v>387</v>
      </c>
      <c r="F1262">
        <v>412</v>
      </c>
      <c r="G1262">
        <v>1</v>
      </c>
      <c r="H1262">
        <v>37</v>
      </c>
      <c r="I1262" t="s">
        <v>386</v>
      </c>
      <c r="J1262" t="s">
        <v>386</v>
      </c>
      <c r="K1262">
        <v>1000000</v>
      </c>
      <c r="L1262">
        <v>162</v>
      </c>
      <c r="M1262">
        <v>162</v>
      </c>
      <c r="N1262">
        <v>322</v>
      </c>
      <c r="O1262">
        <v>0</v>
      </c>
      <c r="P1262">
        <v>644</v>
      </c>
      <c r="Q1262">
        <v>901</v>
      </c>
      <c r="R1262">
        <v>909</v>
      </c>
      <c r="S1262">
        <v>618</v>
      </c>
      <c r="T1262">
        <v>0</v>
      </c>
      <c r="U1262">
        <v>5973</v>
      </c>
      <c r="V1262">
        <v>64208.43823082</v>
      </c>
      <c r="AH1262">
        <f t="shared" si="176"/>
        <v>162</v>
      </c>
      <c r="AI1262">
        <f t="shared" si="177"/>
        <v>322</v>
      </c>
      <c r="AJ1262" t="str">
        <f t="shared" si="178"/>
        <v/>
      </c>
      <c r="AK1262">
        <f t="shared" si="179"/>
        <v>644</v>
      </c>
      <c r="AL1262">
        <f t="shared" si="172"/>
        <v>901</v>
      </c>
      <c r="AM1262">
        <f t="shared" si="173"/>
        <v>909</v>
      </c>
      <c r="AN1262">
        <f t="shared" si="174"/>
        <v>618</v>
      </c>
      <c r="AO1262" t="str">
        <f t="shared" si="175"/>
        <v/>
      </c>
    </row>
    <row r="1263" spans="1:41">
      <c r="A1263">
        <f t="shared" si="180"/>
        <v>1259</v>
      </c>
      <c r="B1263" t="s">
        <v>270</v>
      </c>
      <c r="C1263">
        <v>5</v>
      </c>
      <c r="D1263">
        <v>5</v>
      </c>
      <c r="E1263" t="s">
        <v>387</v>
      </c>
      <c r="F1263">
        <v>412</v>
      </c>
      <c r="G1263">
        <v>1</v>
      </c>
      <c r="H1263">
        <v>38</v>
      </c>
      <c r="I1263" t="s">
        <v>386</v>
      </c>
      <c r="J1263" t="s">
        <v>386</v>
      </c>
      <c r="K1263">
        <v>1000000</v>
      </c>
      <c r="L1263">
        <v>184</v>
      </c>
      <c r="M1263">
        <v>184</v>
      </c>
      <c r="N1263">
        <v>352</v>
      </c>
      <c r="O1263">
        <v>0</v>
      </c>
      <c r="P1263">
        <v>739</v>
      </c>
      <c r="Q1263">
        <v>1013</v>
      </c>
      <c r="R1263">
        <v>996</v>
      </c>
      <c r="S1263">
        <v>659</v>
      </c>
      <c r="T1263">
        <v>0</v>
      </c>
      <c r="U1263">
        <v>6116</v>
      </c>
      <c r="V1263">
        <v>64273.665295730003</v>
      </c>
      <c r="AH1263">
        <f t="shared" si="176"/>
        <v>184</v>
      </c>
      <c r="AI1263">
        <f t="shared" si="177"/>
        <v>352</v>
      </c>
      <c r="AJ1263" t="str">
        <f t="shared" si="178"/>
        <v/>
      </c>
      <c r="AK1263">
        <f t="shared" si="179"/>
        <v>739</v>
      </c>
      <c r="AL1263">
        <f t="shared" si="172"/>
        <v>1013</v>
      </c>
      <c r="AM1263">
        <f t="shared" si="173"/>
        <v>996</v>
      </c>
      <c r="AN1263">
        <f t="shared" si="174"/>
        <v>659</v>
      </c>
      <c r="AO1263" t="str">
        <f t="shared" si="175"/>
        <v/>
      </c>
    </row>
    <row r="1264" spans="1:41">
      <c r="A1264">
        <f t="shared" si="180"/>
        <v>1260</v>
      </c>
      <c r="B1264" t="s">
        <v>270</v>
      </c>
      <c r="C1264">
        <v>5</v>
      </c>
      <c r="D1264">
        <v>5</v>
      </c>
      <c r="E1264" t="s">
        <v>387</v>
      </c>
      <c r="F1264">
        <v>412</v>
      </c>
      <c r="G1264">
        <v>1</v>
      </c>
      <c r="H1264">
        <v>39</v>
      </c>
      <c r="I1264" t="s">
        <v>386</v>
      </c>
      <c r="J1264" t="s">
        <v>386</v>
      </c>
      <c r="K1264">
        <v>1000000</v>
      </c>
      <c r="L1264">
        <v>208</v>
      </c>
      <c r="M1264">
        <v>208</v>
      </c>
      <c r="N1264">
        <v>384</v>
      </c>
      <c r="O1264">
        <v>0</v>
      </c>
      <c r="P1264">
        <v>800</v>
      </c>
      <c r="Q1264">
        <v>1068</v>
      </c>
      <c r="R1264">
        <v>1025</v>
      </c>
      <c r="S1264">
        <v>668</v>
      </c>
      <c r="T1264">
        <v>0</v>
      </c>
      <c r="U1264">
        <v>6270</v>
      </c>
      <c r="V1264">
        <v>64345.603760309998</v>
      </c>
      <c r="AH1264">
        <f t="shared" si="176"/>
        <v>208</v>
      </c>
      <c r="AI1264">
        <f t="shared" si="177"/>
        <v>384</v>
      </c>
      <c r="AJ1264" t="str">
        <f t="shared" si="178"/>
        <v/>
      </c>
      <c r="AK1264">
        <f t="shared" si="179"/>
        <v>800</v>
      </c>
      <c r="AL1264">
        <f t="shared" si="172"/>
        <v>1068</v>
      </c>
      <c r="AM1264">
        <f t="shared" si="173"/>
        <v>1025</v>
      </c>
      <c r="AN1264">
        <f t="shared" si="174"/>
        <v>668</v>
      </c>
      <c r="AO1264" t="str">
        <f t="shared" si="175"/>
        <v/>
      </c>
    </row>
    <row r="1265" spans="1:41">
      <c r="A1265">
        <f t="shared" si="180"/>
        <v>1261</v>
      </c>
      <c r="B1265" t="s">
        <v>270</v>
      </c>
      <c r="C1265">
        <v>5</v>
      </c>
      <c r="D1265">
        <v>5</v>
      </c>
      <c r="E1265" t="s">
        <v>387</v>
      </c>
      <c r="F1265">
        <v>412</v>
      </c>
      <c r="G1265">
        <v>1</v>
      </c>
      <c r="H1265">
        <v>40</v>
      </c>
      <c r="I1265" t="s">
        <v>386</v>
      </c>
      <c r="J1265" t="s">
        <v>386</v>
      </c>
      <c r="K1265">
        <v>1000000</v>
      </c>
      <c r="L1265">
        <v>233</v>
      </c>
      <c r="M1265">
        <v>233</v>
      </c>
      <c r="N1265">
        <v>417</v>
      </c>
      <c r="O1265">
        <v>0</v>
      </c>
      <c r="P1265">
        <v>829</v>
      </c>
      <c r="Q1265">
        <v>1081</v>
      </c>
      <c r="R1265">
        <v>1027</v>
      </c>
      <c r="S1265">
        <v>671</v>
      </c>
      <c r="T1265">
        <v>0</v>
      </c>
      <c r="U1265">
        <v>6429</v>
      </c>
      <c r="V1265">
        <v>64424.94617019</v>
      </c>
      <c r="AH1265">
        <f t="shared" si="176"/>
        <v>233</v>
      </c>
      <c r="AI1265">
        <f t="shared" si="177"/>
        <v>417</v>
      </c>
      <c r="AJ1265" t="str">
        <f t="shared" si="178"/>
        <v/>
      </c>
      <c r="AK1265">
        <f t="shared" si="179"/>
        <v>829</v>
      </c>
      <c r="AL1265">
        <f t="shared" si="172"/>
        <v>1081</v>
      </c>
      <c r="AM1265">
        <f t="shared" si="173"/>
        <v>1027</v>
      </c>
      <c r="AN1265">
        <f t="shared" si="174"/>
        <v>671</v>
      </c>
      <c r="AO1265" t="str">
        <f t="shared" si="175"/>
        <v/>
      </c>
    </row>
    <row r="1266" spans="1:41">
      <c r="A1266">
        <f t="shared" si="180"/>
        <v>1262</v>
      </c>
      <c r="B1266" t="s">
        <v>270</v>
      </c>
      <c r="C1266">
        <v>5</v>
      </c>
      <c r="D1266">
        <v>5</v>
      </c>
      <c r="E1266" t="s">
        <v>387</v>
      </c>
      <c r="F1266">
        <v>412</v>
      </c>
      <c r="G1266">
        <v>1</v>
      </c>
      <c r="H1266">
        <v>41</v>
      </c>
      <c r="I1266" t="s">
        <v>386</v>
      </c>
      <c r="J1266" t="s">
        <v>386</v>
      </c>
      <c r="K1266">
        <v>1000000</v>
      </c>
      <c r="L1266">
        <v>258</v>
      </c>
      <c r="M1266">
        <v>258</v>
      </c>
      <c r="N1266">
        <v>451</v>
      </c>
      <c r="O1266">
        <v>0</v>
      </c>
      <c r="P1266">
        <v>847</v>
      </c>
      <c r="Q1266">
        <v>1093</v>
      </c>
      <c r="R1266">
        <v>1046</v>
      </c>
      <c r="S1266">
        <v>692</v>
      </c>
      <c r="T1266">
        <v>0</v>
      </c>
      <c r="U1266">
        <v>6590</v>
      </c>
      <c r="V1266">
        <v>64510.176615440003</v>
      </c>
      <c r="AH1266">
        <f t="shared" si="176"/>
        <v>258</v>
      </c>
      <c r="AI1266">
        <f t="shared" si="177"/>
        <v>451</v>
      </c>
      <c r="AJ1266" t="str">
        <f t="shared" si="178"/>
        <v/>
      </c>
      <c r="AK1266">
        <f t="shared" si="179"/>
        <v>847</v>
      </c>
      <c r="AL1266">
        <f t="shared" si="172"/>
        <v>1093</v>
      </c>
      <c r="AM1266">
        <f t="shared" si="173"/>
        <v>1046</v>
      </c>
      <c r="AN1266">
        <f t="shared" si="174"/>
        <v>692</v>
      </c>
      <c r="AO1266" t="str">
        <f t="shared" si="175"/>
        <v/>
      </c>
    </row>
    <row r="1267" spans="1:41">
      <c r="A1267">
        <f t="shared" si="180"/>
        <v>1263</v>
      </c>
      <c r="B1267" t="s">
        <v>270</v>
      </c>
      <c r="C1267">
        <v>5</v>
      </c>
      <c r="D1267">
        <v>5</v>
      </c>
      <c r="E1267" t="s">
        <v>387</v>
      </c>
      <c r="F1267">
        <v>412</v>
      </c>
      <c r="G1267">
        <v>1</v>
      </c>
      <c r="H1267">
        <v>42</v>
      </c>
      <c r="I1267" t="s">
        <v>386</v>
      </c>
      <c r="J1267" t="s">
        <v>386</v>
      </c>
      <c r="K1267">
        <v>1000000</v>
      </c>
      <c r="L1267">
        <v>284</v>
      </c>
      <c r="M1267">
        <v>284</v>
      </c>
      <c r="N1267">
        <v>485</v>
      </c>
      <c r="O1267">
        <v>0</v>
      </c>
      <c r="P1267">
        <v>879</v>
      </c>
      <c r="Q1267">
        <v>1137</v>
      </c>
      <c r="R1267">
        <v>1097</v>
      </c>
      <c r="S1267">
        <v>729</v>
      </c>
      <c r="T1267">
        <v>0</v>
      </c>
      <c r="U1267">
        <v>6754</v>
      </c>
      <c r="V1267">
        <v>64600.812670790001</v>
      </c>
      <c r="AH1267">
        <f t="shared" si="176"/>
        <v>284</v>
      </c>
      <c r="AI1267">
        <f t="shared" si="177"/>
        <v>485</v>
      </c>
      <c r="AJ1267" t="str">
        <f t="shared" si="178"/>
        <v/>
      </c>
      <c r="AK1267">
        <f t="shared" si="179"/>
        <v>879</v>
      </c>
      <c r="AL1267">
        <f t="shared" si="172"/>
        <v>1137</v>
      </c>
      <c r="AM1267">
        <f t="shared" si="173"/>
        <v>1097</v>
      </c>
      <c r="AN1267">
        <f t="shared" si="174"/>
        <v>729</v>
      </c>
      <c r="AO1267" t="str">
        <f t="shared" si="175"/>
        <v/>
      </c>
    </row>
    <row r="1268" spans="1:41">
      <c r="A1268">
        <f t="shared" si="180"/>
        <v>1264</v>
      </c>
      <c r="B1268" t="s">
        <v>270</v>
      </c>
      <c r="C1268">
        <v>5</v>
      </c>
      <c r="D1268">
        <v>5</v>
      </c>
      <c r="E1268" t="s">
        <v>387</v>
      </c>
      <c r="F1268">
        <v>412</v>
      </c>
      <c r="G1268">
        <v>1</v>
      </c>
      <c r="H1268">
        <v>43</v>
      </c>
      <c r="I1268" t="s">
        <v>386</v>
      </c>
      <c r="J1268" t="s">
        <v>386</v>
      </c>
      <c r="K1268">
        <v>1000000</v>
      </c>
      <c r="L1268">
        <v>311</v>
      </c>
      <c r="M1268">
        <v>311</v>
      </c>
      <c r="N1268">
        <v>521</v>
      </c>
      <c r="O1268">
        <v>0</v>
      </c>
      <c r="P1268">
        <v>941</v>
      </c>
      <c r="Q1268">
        <v>1222</v>
      </c>
      <c r="R1268">
        <v>1183</v>
      </c>
      <c r="S1268">
        <v>794</v>
      </c>
      <c r="T1268">
        <v>0</v>
      </c>
      <c r="U1268">
        <v>6926</v>
      </c>
      <c r="V1268">
        <v>64692.015014409997</v>
      </c>
      <c r="AH1268">
        <f t="shared" si="176"/>
        <v>311</v>
      </c>
      <c r="AI1268">
        <f t="shared" si="177"/>
        <v>521</v>
      </c>
      <c r="AJ1268" t="str">
        <f t="shared" si="178"/>
        <v/>
      </c>
      <c r="AK1268">
        <f t="shared" si="179"/>
        <v>941</v>
      </c>
      <c r="AL1268">
        <f t="shared" si="172"/>
        <v>1222</v>
      </c>
      <c r="AM1268">
        <f t="shared" si="173"/>
        <v>1183</v>
      </c>
      <c r="AN1268">
        <f t="shared" si="174"/>
        <v>794</v>
      </c>
      <c r="AO1268" t="str">
        <f t="shared" si="175"/>
        <v/>
      </c>
    </row>
    <row r="1269" spans="1:41">
      <c r="A1269">
        <f t="shared" si="180"/>
        <v>1265</v>
      </c>
      <c r="B1269" t="s">
        <v>270</v>
      </c>
      <c r="C1269">
        <v>5</v>
      </c>
      <c r="D1269">
        <v>5</v>
      </c>
      <c r="E1269" t="s">
        <v>387</v>
      </c>
      <c r="F1269">
        <v>412</v>
      </c>
      <c r="G1269">
        <v>1</v>
      </c>
      <c r="H1269">
        <v>44</v>
      </c>
      <c r="I1269" t="s">
        <v>386</v>
      </c>
      <c r="J1269" t="s">
        <v>386</v>
      </c>
      <c r="K1269">
        <v>1000000</v>
      </c>
      <c r="L1269">
        <v>340</v>
      </c>
      <c r="M1269">
        <v>340</v>
      </c>
      <c r="N1269">
        <v>560</v>
      </c>
      <c r="O1269">
        <v>0</v>
      </c>
      <c r="P1269">
        <v>1030</v>
      </c>
      <c r="Q1269">
        <v>1339</v>
      </c>
      <c r="R1269">
        <v>1306</v>
      </c>
      <c r="S1269">
        <v>880</v>
      </c>
      <c r="T1269">
        <v>0</v>
      </c>
      <c r="U1269">
        <v>7112</v>
      </c>
      <c r="V1269">
        <v>64776.101145799999</v>
      </c>
      <c r="AH1269">
        <f t="shared" si="176"/>
        <v>340</v>
      </c>
      <c r="AI1269">
        <f t="shared" si="177"/>
        <v>560</v>
      </c>
      <c r="AJ1269" t="str">
        <f t="shared" si="178"/>
        <v/>
      </c>
      <c r="AK1269">
        <f t="shared" si="179"/>
        <v>1030</v>
      </c>
      <c r="AL1269">
        <f t="shared" si="172"/>
        <v>1339</v>
      </c>
      <c r="AM1269">
        <f t="shared" si="173"/>
        <v>1306</v>
      </c>
      <c r="AN1269">
        <f t="shared" si="174"/>
        <v>880</v>
      </c>
      <c r="AO1269" t="str">
        <f t="shared" si="175"/>
        <v/>
      </c>
    </row>
    <row r="1270" spans="1:41">
      <c r="A1270">
        <f t="shared" si="180"/>
        <v>1266</v>
      </c>
      <c r="B1270" t="s">
        <v>270</v>
      </c>
      <c r="C1270">
        <v>5</v>
      </c>
      <c r="D1270">
        <v>5</v>
      </c>
      <c r="E1270" t="s">
        <v>387</v>
      </c>
      <c r="F1270">
        <v>412</v>
      </c>
      <c r="G1270">
        <v>1</v>
      </c>
      <c r="H1270">
        <v>45</v>
      </c>
      <c r="I1270" t="s">
        <v>386</v>
      </c>
      <c r="J1270" t="s">
        <v>386</v>
      </c>
      <c r="K1270">
        <v>1000000</v>
      </c>
      <c r="L1270">
        <v>372</v>
      </c>
      <c r="M1270">
        <v>372</v>
      </c>
      <c r="N1270">
        <v>603</v>
      </c>
      <c r="O1270">
        <v>0</v>
      </c>
      <c r="P1270">
        <v>1141</v>
      </c>
      <c r="Q1270">
        <v>1493</v>
      </c>
      <c r="R1270">
        <v>1463</v>
      </c>
      <c r="S1270">
        <v>991</v>
      </c>
      <c r="T1270">
        <v>0</v>
      </c>
      <c r="U1270">
        <v>7317</v>
      </c>
      <c r="V1270">
        <v>64847.586883429998</v>
      </c>
      <c r="AH1270">
        <f t="shared" si="176"/>
        <v>372</v>
      </c>
      <c r="AI1270">
        <f t="shared" si="177"/>
        <v>603</v>
      </c>
      <c r="AJ1270" t="str">
        <f t="shared" si="178"/>
        <v/>
      </c>
      <c r="AK1270">
        <f t="shared" si="179"/>
        <v>1141</v>
      </c>
      <c r="AL1270">
        <f t="shared" si="172"/>
        <v>1493</v>
      </c>
      <c r="AM1270">
        <f t="shared" si="173"/>
        <v>1463</v>
      </c>
      <c r="AN1270">
        <f t="shared" si="174"/>
        <v>991</v>
      </c>
      <c r="AO1270" t="str">
        <f t="shared" si="175"/>
        <v/>
      </c>
    </row>
    <row r="1271" spans="1:41">
      <c r="A1271">
        <f t="shared" si="180"/>
        <v>1267</v>
      </c>
      <c r="B1271" t="s">
        <v>270</v>
      </c>
      <c r="C1271">
        <v>5</v>
      </c>
      <c r="D1271">
        <v>5</v>
      </c>
      <c r="E1271" t="s">
        <v>387</v>
      </c>
      <c r="F1271">
        <v>412</v>
      </c>
      <c r="G1271">
        <v>1</v>
      </c>
      <c r="H1271">
        <v>46</v>
      </c>
      <c r="I1271" t="s">
        <v>386</v>
      </c>
      <c r="J1271" t="s">
        <v>386</v>
      </c>
      <c r="K1271">
        <v>1000000</v>
      </c>
      <c r="L1271">
        <v>408</v>
      </c>
      <c r="M1271">
        <v>408</v>
      </c>
      <c r="N1271">
        <v>651</v>
      </c>
      <c r="O1271">
        <v>0</v>
      </c>
      <c r="P1271">
        <v>1279</v>
      </c>
      <c r="Q1271">
        <v>1676</v>
      </c>
      <c r="R1271">
        <v>1645</v>
      </c>
      <c r="S1271">
        <v>1108</v>
      </c>
      <c r="T1271">
        <v>0</v>
      </c>
      <c r="U1271">
        <v>7546</v>
      </c>
      <c r="V1271">
        <v>64903.844005669998</v>
      </c>
      <c r="AH1271">
        <f t="shared" si="176"/>
        <v>408</v>
      </c>
      <c r="AI1271">
        <f t="shared" si="177"/>
        <v>651</v>
      </c>
      <c r="AJ1271" t="str">
        <f t="shared" si="178"/>
        <v/>
      </c>
      <c r="AK1271">
        <f t="shared" si="179"/>
        <v>1279</v>
      </c>
      <c r="AL1271">
        <f t="shared" si="172"/>
        <v>1676</v>
      </c>
      <c r="AM1271">
        <f t="shared" si="173"/>
        <v>1645</v>
      </c>
      <c r="AN1271">
        <f t="shared" si="174"/>
        <v>1108</v>
      </c>
      <c r="AO1271" t="str">
        <f t="shared" si="175"/>
        <v/>
      </c>
    </row>
    <row r="1272" spans="1:41">
      <c r="A1272">
        <f t="shared" si="180"/>
        <v>1268</v>
      </c>
      <c r="B1272" t="s">
        <v>270</v>
      </c>
      <c r="C1272">
        <v>5</v>
      </c>
      <c r="D1272">
        <v>5</v>
      </c>
      <c r="E1272" t="s">
        <v>387</v>
      </c>
      <c r="F1272">
        <v>412</v>
      </c>
      <c r="G1272">
        <v>1</v>
      </c>
      <c r="H1272">
        <v>47</v>
      </c>
      <c r="I1272" t="s">
        <v>386</v>
      </c>
      <c r="J1272" t="s">
        <v>386</v>
      </c>
      <c r="K1272">
        <v>1000000</v>
      </c>
      <c r="L1272">
        <v>447</v>
      </c>
      <c r="M1272">
        <v>447</v>
      </c>
      <c r="N1272">
        <v>704</v>
      </c>
      <c r="O1272">
        <v>0</v>
      </c>
      <c r="P1272">
        <v>1428</v>
      </c>
      <c r="Q1272">
        <v>1870</v>
      </c>
      <c r="R1272">
        <v>1821</v>
      </c>
      <c r="S1272">
        <v>1217</v>
      </c>
      <c r="T1272">
        <v>0</v>
      </c>
      <c r="U1272">
        <v>7799</v>
      </c>
      <c r="V1272">
        <v>64944.726097799998</v>
      </c>
      <c r="AH1272">
        <f t="shared" si="176"/>
        <v>447</v>
      </c>
      <c r="AI1272">
        <f t="shared" si="177"/>
        <v>704</v>
      </c>
      <c r="AJ1272" t="str">
        <f t="shared" si="178"/>
        <v/>
      </c>
      <c r="AK1272">
        <f t="shared" si="179"/>
        <v>1428</v>
      </c>
      <c r="AL1272">
        <f t="shared" si="172"/>
        <v>1870</v>
      </c>
      <c r="AM1272">
        <f t="shared" si="173"/>
        <v>1821</v>
      </c>
      <c r="AN1272">
        <f t="shared" si="174"/>
        <v>1217</v>
      </c>
      <c r="AO1272" t="str">
        <f t="shared" si="175"/>
        <v/>
      </c>
    </row>
    <row r="1273" spans="1:41">
      <c r="A1273">
        <f t="shared" si="180"/>
        <v>1269</v>
      </c>
      <c r="B1273" t="s">
        <v>270</v>
      </c>
      <c r="C1273">
        <v>5</v>
      </c>
      <c r="D1273">
        <v>5</v>
      </c>
      <c r="E1273" t="s">
        <v>387</v>
      </c>
      <c r="F1273">
        <v>412</v>
      </c>
      <c r="G1273">
        <v>1</v>
      </c>
      <c r="H1273">
        <v>48</v>
      </c>
      <c r="I1273" t="s">
        <v>386</v>
      </c>
      <c r="J1273" t="s">
        <v>386</v>
      </c>
      <c r="K1273">
        <v>1000000</v>
      </c>
      <c r="L1273">
        <v>490</v>
      </c>
      <c r="M1273">
        <v>490</v>
      </c>
      <c r="N1273">
        <v>762</v>
      </c>
      <c r="O1273">
        <v>0</v>
      </c>
      <c r="P1273">
        <v>1579</v>
      </c>
      <c r="Q1273">
        <v>2047</v>
      </c>
      <c r="R1273">
        <v>1975</v>
      </c>
      <c r="S1273">
        <v>1308</v>
      </c>
      <c r="T1273">
        <v>0</v>
      </c>
      <c r="U1273">
        <v>8075</v>
      </c>
      <c r="V1273">
        <v>64976.597857790002</v>
      </c>
      <c r="AH1273">
        <f t="shared" si="176"/>
        <v>490</v>
      </c>
      <c r="AI1273">
        <f t="shared" si="177"/>
        <v>762</v>
      </c>
      <c r="AJ1273" t="str">
        <f t="shared" si="178"/>
        <v/>
      </c>
      <c r="AK1273">
        <f t="shared" si="179"/>
        <v>1579</v>
      </c>
      <c r="AL1273">
        <f t="shared" si="172"/>
        <v>2047</v>
      </c>
      <c r="AM1273">
        <f t="shared" si="173"/>
        <v>1975</v>
      </c>
      <c r="AN1273">
        <f t="shared" si="174"/>
        <v>1308</v>
      </c>
      <c r="AO1273" t="str">
        <f t="shared" si="175"/>
        <v/>
      </c>
    </row>
    <row r="1274" spans="1:41">
      <c r="A1274">
        <f t="shared" si="180"/>
        <v>1270</v>
      </c>
      <c r="B1274" t="s">
        <v>270</v>
      </c>
      <c r="C1274">
        <v>5</v>
      </c>
      <c r="D1274">
        <v>5</v>
      </c>
      <c r="E1274" t="s">
        <v>387</v>
      </c>
      <c r="F1274">
        <v>412</v>
      </c>
      <c r="G1274">
        <v>1</v>
      </c>
      <c r="H1274">
        <v>49</v>
      </c>
      <c r="I1274" t="s">
        <v>386</v>
      </c>
      <c r="J1274" t="s">
        <v>386</v>
      </c>
      <c r="K1274">
        <v>1000000</v>
      </c>
      <c r="L1274">
        <v>537</v>
      </c>
      <c r="M1274">
        <v>537</v>
      </c>
      <c r="N1274">
        <v>824</v>
      </c>
      <c r="O1274">
        <v>0</v>
      </c>
      <c r="P1274">
        <v>1716</v>
      </c>
      <c r="Q1274">
        <v>2200</v>
      </c>
      <c r="R1274">
        <v>2106</v>
      </c>
      <c r="S1274">
        <v>1392</v>
      </c>
      <c r="T1274">
        <v>0</v>
      </c>
      <c r="U1274">
        <v>8373</v>
      </c>
      <c r="V1274">
        <v>65011.079275650001</v>
      </c>
      <c r="AH1274">
        <f t="shared" si="176"/>
        <v>537</v>
      </c>
      <c r="AI1274">
        <f t="shared" si="177"/>
        <v>824</v>
      </c>
      <c r="AJ1274" t="str">
        <f t="shared" si="178"/>
        <v/>
      </c>
      <c r="AK1274">
        <f t="shared" si="179"/>
        <v>1716</v>
      </c>
      <c r="AL1274">
        <f t="shared" si="172"/>
        <v>2200</v>
      </c>
      <c r="AM1274">
        <f t="shared" si="173"/>
        <v>2106</v>
      </c>
      <c r="AN1274">
        <f t="shared" si="174"/>
        <v>1392</v>
      </c>
      <c r="AO1274" t="str">
        <f t="shared" si="175"/>
        <v/>
      </c>
    </row>
    <row r="1275" spans="1:41">
      <c r="A1275">
        <f t="shared" si="180"/>
        <v>1271</v>
      </c>
      <c r="B1275" t="s">
        <v>270</v>
      </c>
      <c r="C1275">
        <v>5</v>
      </c>
      <c r="D1275">
        <v>5</v>
      </c>
      <c r="E1275" t="s">
        <v>387</v>
      </c>
      <c r="F1275">
        <v>412</v>
      </c>
      <c r="G1275">
        <v>1</v>
      </c>
      <c r="H1275">
        <v>50</v>
      </c>
      <c r="I1275" t="s">
        <v>386</v>
      </c>
      <c r="J1275" t="s">
        <v>386</v>
      </c>
      <c r="K1275">
        <v>1000000</v>
      </c>
      <c r="L1275">
        <v>587</v>
      </c>
      <c r="M1275">
        <v>587</v>
      </c>
      <c r="N1275">
        <v>891</v>
      </c>
      <c r="O1275">
        <v>0</v>
      </c>
      <c r="P1275">
        <v>1847</v>
      </c>
      <c r="Q1275">
        <v>2348</v>
      </c>
      <c r="R1275">
        <v>2246</v>
      </c>
      <c r="S1275">
        <v>1489</v>
      </c>
      <c r="T1275">
        <v>0</v>
      </c>
      <c r="U1275">
        <v>8691</v>
      </c>
      <c r="V1275">
        <v>65058.497018709997</v>
      </c>
      <c r="AH1275">
        <f t="shared" si="176"/>
        <v>587</v>
      </c>
      <c r="AI1275">
        <f t="shared" si="177"/>
        <v>891</v>
      </c>
      <c r="AJ1275" t="str">
        <f t="shared" si="178"/>
        <v/>
      </c>
      <c r="AK1275">
        <f t="shared" si="179"/>
        <v>1847</v>
      </c>
      <c r="AL1275">
        <f t="shared" si="172"/>
        <v>2348</v>
      </c>
      <c r="AM1275">
        <f t="shared" si="173"/>
        <v>2246</v>
      </c>
      <c r="AN1275">
        <f t="shared" si="174"/>
        <v>1489</v>
      </c>
      <c r="AO1275" t="str">
        <f t="shared" si="175"/>
        <v/>
      </c>
    </row>
    <row r="1276" spans="1:41">
      <c r="A1276">
        <f t="shared" si="180"/>
        <v>1272</v>
      </c>
      <c r="B1276" t="s">
        <v>270</v>
      </c>
      <c r="C1276">
        <v>5</v>
      </c>
      <c r="D1276">
        <v>5</v>
      </c>
      <c r="E1276" t="s">
        <v>387</v>
      </c>
      <c r="F1276">
        <v>412</v>
      </c>
      <c r="G1276">
        <v>1</v>
      </c>
      <c r="H1276">
        <v>51</v>
      </c>
      <c r="I1276" t="s">
        <v>386</v>
      </c>
      <c r="J1276" t="s">
        <v>386</v>
      </c>
      <c r="K1276">
        <v>1000000</v>
      </c>
      <c r="L1276">
        <v>640</v>
      </c>
      <c r="M1276">
        <v>640</v>
      </c>
      <c r="N1276">
        <v>963</v>
      </c>
      <c r="O1276">
        <v>0</v>
      </c>
      <c r="P1276">
        <v>1987</v>
      </c>
      <c r="Q1276">
        <v>2524</v>
      </c>
      <c r="R1276">
        <v>2426</v>
      </c>
      <c r="S1276">
        <v>1618</v>
      </c>
      <c r="T1276">
        <v>0</v>
      </c>
      <c r="U1276">
        <v>9032</v>
      </c>
      <c r="V1276">
        <v>65125.043321869998</v>
      </c>
      <c r="AH1276">
        <f t="shared" si="176"/>
        <v>640</v>
      </c>
      <c r="AI1276">
        <f t="shared" si="177"/>
        <v>963</v>
      </c>
      <c r="AJ1276" t="str">
        <f t="shared" si="178"/>
        <v/>
      </c>
      <c r="AK1276">
        <f t="shared" si="179"/>
        <v>1987</v>
      </c>
      <c r="AL1276">
        <f t="shared" si="172"/>
        <v>2524</v>
      </c>
      <c r="AM1276">
        <f t="shared" si="173"/>
        <v>2426</v>
      </c>
      <c r="AN1276">
        <f t="shared" si="174"/>
        <v>1618</v>
      </c>
      <c r="AO1276" t="str">
        <f t="shared" si="175"/>
        <v/>
      </c>
    </row>
    <row r="1277" spans="1:41">
      <c r="A1277">
        <f t="shared" si="180"/>
        <v>1273</v>
      </c>
      <c r="B1277" t="s">
        <v>270</v>
      </c>
      <c r="C1277">
        <v>5</v>
      </c>
      <c r="D1277">
        <v>5</v>
      </c>
      <c r="E1277" t="s">
        <v>387</v>
      </c>
      <c r="F1277">
        <v>412</v>
      </c>
      <c r="G1277">
        <v>1</v>
      </c>
      <c r="H1277">
        <v>52</v>
      </c>
      <c r="I1277" t="s">
        <v>386</v>
      </c>
      <c r="J1277" t="s">
        <v>386</v>
      </c>
      <c r="K1277">
        <v>1000000</v>
      </c>
      <c r="L1277">
        <v>698</v>
      </c>
      <c r="M1277">
        <v>698</v>
      </c>
      <c r="N1277">
        <v>1040</v>
      </c>
      <c r="O1277">
        <v>0</v>
      </c>
      <c r="P1277">
        <v>2154</v>
      </c>
      <c r="Q1277">
        <v>2745</v>
      </c>
      <c r="R1277">
        <v>2651</v>
      </c>
      <c r="S1277">
        <v>1771</v>
      </c>
      <c r="T1277">
        <v>0</v>
      </c>
      <c r="U1277">
        <v>9401</v>
      </c>
      <c r="V1277">
        <v>65215.93156053</v>
      </c>
      <c r="AH1277">
        <f t="shared" si="176"/>
        <v>698</v>
      </c>
      <c r="AI1277">
        <f t="shared" si="177"/>
        <v>1040</v>
      </c>
      <c r="AJ1277" t="str">
        <f t="shared" si="178"/>
        <v/>
      </c>
      <c r="AK1277">
        <f t="shared" si="179"/>
        <v>2154</v>
      </c>
      <c r="AL1277">
        <f t="shared" si="172"/>
        <v>2745</v>
      </c>
      <c r="AM1277">
        <f t="shared" si="173"/>
        <v>2651</v>
      </c>
      <c r="AN1277">
        <f t="shared" si="174"/>
        <v>1771</v>
      </c>
      <c r="AO1277" t="str">
        <f t="shared" si="175"/>
        <v/>
      </c>
    </row>
    <row r="1278" spans="1:41">
      <c r="A1278">
        <f t="shared" si="180"/>
        <v>1274</v>
      </c>
      <c r="B1278" t="s">
        <v>270</v>
      </c>
      <c r="C1278">
        <v>5</v>
      </c>
      <c r="D1278">
        <v>5</v>
      </c>
      <c r="E1278" t="s">
        <v>387</v>
      </c>
      <c r="F1278">
        <v>412</v>
      </c>
      <c r="G1278">
        <v>1</v>
      </c>
      <c r="H1278">
        <v>53</v>
      </c>
      <c r="I1278" t="s">
        <v>386</v>
      </c>
      <c r="J1278" t="s">
        <v>386</v>
      </c>
      <c r="K1278">
        <v>1000000</v>
      </c>
      <c r="L1278">
        <v>760</v>
      </c>
      <c r="M1278">
        <v>760</v>
      </c>
      <c r="N1278">
        <v>1125</v>
      </c>
      <c r="O1278">
        <v>0</v>
      </c>
      <c r="P1278">
        <v>2352</v>
      </c>
      <c r="Q1278">
        <v>3010</v>
      </c>
      <c r="R1278">
        <v>2908</v>
      </c>
      <c r="S1278">
        <v>1944</v>
      </c>
      <c r="T1278">
        <v>0</v>
      </c>
      <c r="U1278">
        <v>9803</v>
      </c>
      <c r="V1278">
        <v>65330.648720079997</v>
      </c>
      <c r="AH1278">
        <f t="shared" si="176"/>
        <v>760</v>
      </c>
      <c r="AI1278">
        <f t="shared" si="177"/>
        <v>1125</v>
      </c>
      <c r="AJ1278" t="str">
        <f t="shared" si="178"/>
        <v/>
      </c>
      <c r="AK1278">
        <f t="shared" si="179"/>
        <v>2352</v>
      </c>
      <c r="AL1278">
        <f t="shared" si="172"/>
        <v>3010</v>
      </c>
      <c r="AM1278">
        <f t="shared" si="173"/>
        <v>2908</v>
      </c>
      <c r="AN1278">
        <f t="shared" si="174"/>
        <v>1944</v>
      </c>
      <c r="AO1278" t="str">
        <f t="shared" si="175"/>
        <v/>
      </c>
    </row>
    <row r="1279" spans="1:41">
      <c r="A1279">
        <f t="shared" si="180"/>
        <v>1275</v>
      </c>
      <c r="B1279" t="s">
        <v>270</v>
      </c>
      <c r="C1279">
        <v>5</v>
      </c>
      <c r="D1279">
        <v>5</v>
      </c>
      <c r="E1279" t="s">
        <v>387</v>
      </c>
      <c r="F1279">
        <v>412</v>
      </c>
      <c r="G1279">
        <v>1</v>
      </c>
      <c r="H1279">
        <v>54</v>
      </c>
      <c r="I1279" t="s">
        <v>386</v>
      </c>
      <c r="J1279" t="s">
        <v>386</v>
      </c>
      <c r="K1279">
        <v>1000000</v>
      </c>
      <c r="L1279">
        <v>829</v>
      </c>
      <c r="M1279">
        <v>829</v>
      </c>
      <c r="N1279">
        <v>1217</v>
      </c>
      <c r="O1279">
        <v>0</v>
      </c>
      <c r="P1279">
        <v>2574</v>
      </c>
      <c r="Q1279">
        <v>3297</v>
      </c>
      <c r="R1279">
        <v>3187</v>
      </c>
      <c r="S1279">
        <v>2129</v>
      </c>
      <c r="T1279">
        <v>0</v>
      </c>
      <c r="U1279">
        <v>10244</v>
      </c>
      <c r="V1279">
        <v>65466.55202581</v>
      </c>
      <c r="AH1279">
        <f t="shared" si="176"/>
        <v>829</v>
      </c>
      <c r="AI1279">
        <f t="shared" si="177"/>
        <v>1217</v>
      </c>
      <c r="AJ1279" t="str">
        <f t="shared" si="178"/>
        <v/>
      </c>
      <c r="AK1279">
        <f t="shared" si="179"/>
        <v>2574</v>
      </c>
      <c r="AL1279">
        <f t="shared" si="172"/>
        <v>3297</v>
      </c>
      <c r="AM1279">
        <f t="shared" si="173"/>
        <v>3187</v>
      </c>
      <c r="AN1279">
        <f t="shared" si="174"/>
        <v>2129</v>
      </c>
      <c r="AO1279" t="str">
        <f t="shared" si="175"/>
        <v/>
      </c>
    </row>
    <row r="1280" spans="1:41">
      <c r="A1280">
        <f t="shared" si="180"/>
        <v>1276</v>
      </c>
      <c r="B1280" t="s">
        <v>270</v>
      </c>
      <c r="C1280">
        <v>5</v>
      </c>
      <c r="D1280">
        <v>5</v>
      </c>
      <c r="E1280" t="s">
        <v>387</v>
      </c>
      <c r="F1280">
        <v>412</v>
      </c>
      <c r="G1280">
        <v>1</v>
      </c>
      <c r="H1280">
        <v>55</v>
      </c>
      <c r="I1280" t="s">
        <v>386</v>
      </c>
      <c r="J1280" t="s">
        <v>386</v>
      </c>
      <c r="K1280">
        <v>1000000</v>
      </c>
      <c r="L1280">
        <v>905</v>
      </c>
      <c r="M1280">
        <v>905</v>
      </c>
      <c r="N1280">
        <v>1319</v>
      </c>
      <c r="O1280">
        <v>0</v>
      </c>
      <c r="P1280">
        <v>2802</v>
      </c>
      <c r="Q1280">
        <v>3591</v>
      </c>
      <c r="R1280">
        <v>3465</v>
      </c>
      <c r="S1280">
        <v>2304</v>
      </c>
      <c r="T1280">
        <v>0</v>
      </c>
      <c r="U1280">
        <v>10725</v>
      </c>
      <c r="V1280">
        <v>65619.152185619998</v>
      </c>
      <c r="AH1280">
        <f t="shared" si="176"/>
        <v>905</v>
      </c>
      <c r="AI1280">
        <f t="shared" si="177"/>
        <v>1319</v>
      </c>
      <c r="AJ1280" t="str">
        <f t="shared" si="178"/>
        <v/>
      </c>
      <c r="AK1280">
        <f t="shared" si="179"/>
        <v>2802</v>
      </c>
      <c r="AL1280">
        <f t="shared" si="172"/>
        <v>3591</v>
      </c>
      <c r="AM1280">
        <f t="shared" si="173"/>
        <v>3465</v>
      </c>
      <c r="AN1280">
        <f t="shared" si="174"/>
        <v>2304</v>
      </c>
      <c r="AO1280" t="str">
        <f t="shared" si="175"/>
        <v/>
      </c>
    </row>
    <row r="1281" spans="1:41">
      <c r="A1281">
        <f t="shared" si="180"/>
        <v>1277</v>
      </c>
      <c r="B1281" t="s">
        <v>270</v>
      </c>
      <c r="C1281">
        <v>5</v>
      </c>
      <c r="D1281">
        <v>5</v>
      </c>
      <c r="E1281" t="s">
        <v>387</v>
      </c>
      <c r="F1281">
        <v>412</v>
      </c>
      <c r="G1281">
        <v>1</v>
      </c>
      <c r="H1281">
        <v>56</v>
      </c>
      <c r="I1281" t="s">
        <v>386</v>
      </c>
      <c r="J1281" t="s">
        <v>386</v>
      </c>
      <c r="K1281">
        <v>1000000</v>
      </c>
      <c r="L1281">
        <v>986</v>
      </c>
      <c r="M1281">
        <v>986</v>
      </c>
      <c r="N1281">
        <v>1428</v>
      </c>
      <c r="O1281">
        <v>0</v>
      </c>
      <c r="P1281">
        <v>3032</v>
      </c>
      <c r="Q1281">
        <v>3876</v>
      </c>
      <c r="R1281">
        <v>3723</v>
      </c>
      <c r="S1281">
        <v>2466</v>
      </c>
      <c r="T1281">
        <v>0</v>
      </c>
      <c r="U1281">
        <v>11244</v>
      </c>
      <c r="V1281">
        <v>65788.65905591</v>
      </c>
      <c r="AH1281">
        <f t="shared" si="176"/>
        <v>986</v>
      </c>
      <c r="AI1281">
        <f t="shared" si="177"/>
        <v>1428</v>
      </c>
      <c r="AJ1281" t="str">
        <f t="shared" si="178"/>
        <v/>
      </c>
      <c r="AK1281">
        <f t="shared" si="179"/>
        <v>3032</v>
      </c>
      <c r="AL1281">
        <f t="shared" si="172"/>
        <v>3876</v>
      </c>
      <c r="AM1281">
        <f t="shared" si="173"/>
        <v>3723</v>
      </c>
      <c r="AN1281">
        <f t="shared" si="174"/>
        <v>2466</v>
      </c>
      <c r="AO1281" t="str">
        <f t="shared" si="175"/>
        <v/>
      </c>
    </row>
    <row r="1282" spans="1:41">
      <c r="A1282">
        <f t="shared" si="180"/>
        <v>1278</v>
      </c>
      <c r="B1282" t="s">
        <v>270</v>
      </c>
      <c r="C1282">
        <v>5</v>
      </c>
      <c r="D1282">
        <v>5</v>
      </c>
      <c r="E1282" t="s">
        <v>387</v>
      </c>
      <c r="F1282">
        <v>412</v>
      </c>
      <c r="G1282">
        <v>1</v>
      </c>
      <c r="H1282">
        <v>57</v>
      </c>
      <c r="I1282" t="s">
        <v>386</v>
      </c>
      <c r="J1282" t="s">
        <v>386</v>
      </c>
      <c r="K1282">
        <v>1000000</v>
      </c>
      <c r="L1282">
        <v>1073</v>
      </c>
      <c r="M1282">
        <v>1073</v>
      </c>
      <c r="N1282">
        <v>1546</v>
      </c>
      <c r="O1282">
        <v>0</v>
      </c>
      <c r="P1282">
        <v>3256</v>
      </c>
      <c r="Q1282">
        <v>4140</v>
      </c>
      <c r="R1282">
        <v>3962</v>
      </c>
      <c r="S1282">
        <v>2619</v>
      </c>
      <c r="T1282">
        <v>0</v>
      </c>
      <c r="U1282">
        <v>11801</v>
      </c>
      <c r="V1282">
        <v>65975.022438970002</v>
      </c>
      <c r="AH1282">
        <f t="shared" si="176"/>
        <v>1073</v>
      </c>
      <c r="AI1282">
        <f t="shared" si="177"/>
        <v>1546</v>
      </c>
      <c r="AJ1282" t="str">
        <f t="shared" si="178"/>
        <v/>
      </c>
      <c r="AK1282">
        <f t="shared" si="179"/>
        <v>3256</v>
      </c>
      <c r="AL1282">
        <f t="shared" si="172"/>
        <v>4140</v>
      </c>
      <c r="AM1282">
        <f t="shared" si="173"/>
        <v>3962</v>
      </c>
      <c r="AN1282">
        <f t="shared" si="174"/>
        <v>2619</v>
      </c>
      <c r="AO1282" t="str">
        <f t="shared" si="175"/>
        <v/>
      </c>
    </row>
    <row r="1283" spans="1:41">
      <c r="A1283">
        <f t="shared" si="180"/>
        <v>1279</v>
      </c>
      <c r="B1283" t="s">
        <v>270</v>
      </c>
      <c r="C1283">
        <v>5</v>
      </c>
      <c r="D1283">
        <v>5</v>
      </c>
      <c r="E1283" t="s">
        <v>387</v>
      </c>
      <c r="F1283">
        <v>412</v>
      </c>
      <c r="G1283">
        <v>1</v>
      </c>
      <c r="H1283">
        <v>58</v>
      </c>
      <c r="I1283" t="s">
        <v>386</v>
      </c>
      <c r="J1283" t="s">
        <v>386</v>
      </c>
      <c r="K1283">
        <v>1000000</v>
      </c>
      <c r="L1283">
        <v>1166</v>
      </c>
      <c r="M1283">
        <v>1166</v>
      </c>
      <c r="N1283">
        <v>1671</v>
      </c>
      <c r="O1283">
        <v>0</v>
      </c>
      <c r="P1283">
        <v>3471</v>
      </c>
      <c r="Q1283">
        <v>4395</v>
      </c>
      <c r="R1283">
        <v>4199</v>
      </c>
      <c r="S1283">
        <v>2775</v>
      </c>
      <c r="T1283">
        <v>0</v>
      </c>
      <c r="U1283">
        <v>12391</v>
      </c>
      <c r="V1283">
        <v>66187.880885549996</v>
      </c>
      <c r="AH1283">
        <f t="shared" si="176"/>
        <v>1166</v>
      </c>
      <c r="AI1283">
        <f t="shared" si="177"/>
        <v>1671</v>
      </c>
      <c r="AJ1283" t="str">
        <f t="shared" si="178"/>
        <v/>
      </c>
      <c r="AK1283">
        <f t="shared" si="179"/>
        <v>3471</v>
      </c>
      <c r="AL1283">
        <f t="shared" si="172"/>
        <v>4395</v>
      </c>
      <c r="AM1283">
        <f t="shared" si="173"/>
        <v>4199</v>
      </c>
      <c r="AN1283">
        <f t="shared" si="174"/>
        <v>2775</v>
      </c>
      <c r="AO1283" t="str">
        <f t="shared" si="175"/>
        <v/>
      </c>
    </row>
    <row r="1284" spans="1:41">
      <c r="A1284">
        <f t="shared" si="180"/>
        <v>1280</v>
      </c>
      <c r="B1284" t="s">
        <v>270</v>
      </c>
      <c r="C1284">
        <v>5</v>
      </c>
      <c r="D1284">
        <v>5</v>
      </c>
      <c r="E1284" t="s">
        <v>387</v>
      </c>
      <c r="F1284">
        <v>412</v>
      </c>
      <c r="G1284">
        <v>1</v>
      </c>
      <c r="H1284">
        <v>59</v>
      </c>
      <c r="I1284" t="s">
        <v>386</v>
      </c>
      <c r="J1284" t="s">
        <v>386</v>
      </c>
      <c r="K1284">
        <v>1000000</v>
      </c>
      <c r="L1284">
        <v>1264</v>
      </c>
      <c r="M1284">
        <v>1264</v>
      </c>
      <c r="N1284">
        <v>1803</v>
      </c>
      <c r="O1284">
        <v>0</v>
      </c>
      <c r="P1284">
        <v>3698</v>
      </c>
      <c r="Q1284">
        <v>4666</v>
      </c>
      <c r="R1284">
        <v>4455</v>
      </c>
      <c r="S1284">
        <v>2947</v>
      </c>
      <c r="T1284">
        <v>0</v>
      </c>
      <c r="U1284">
        <v>13016</v>
      </c>
      <c r="V1284">
        <v>66440.634867510002</v>
      </c>
      <c r="AH1284">
        <f t="shared" si="176"/>
        <v>1264</v>
      </c>
      <c r="AI1284">
        <f t="shared" si="177"/>
        <v>1803</v>
      </c>
      <c r="AJ1284" t="str">
        <f t="shared" si="178"/>
        <v/>
      </c>
      <c r="AK1284">
        <f t="shared" si="179"/>
        <v>3698</v>
      </c>
      <c r="AL1284">
        <f t="shared" si="172"/>
        <v>4666</v>
      </c>
      <c r="AM1284">
        <f t="shared" si="173"/>
        <v>4455</v>
      </c>
      <c r="AN1284">
        <f t="shared" si="174"/>
        <v>2947</v>
      </c>
      <c r="AO1284" t="str">
        <f t="shared" si="175"/>
        <v/>
      </c>
    </row>
    <row r="1285" spans="1:41">
      <c r="A1285">
        <f t="shared" si="180"/>
        <v>1281</v>
      </c>
      <c r="B1285" t="s">
        <v>270</v>
      </c>
      <c r="C1285">
        <v>5</v>
      </c>
      <c r="D1285">
        <v>5</v>
      </c>
      <c r="E1285" t="s">
        <v>387</v>
      </c>
      <c r="F1285">
        <v>412</v>
      </c>
      <c r="G1285">
        <v>1</v>
      </c>
      <c r="H1285">
        <v>60</v>
      </c>
      <c r="I1285" t="s">
        <v>386</v>
      </c>
      <c r="J1285" t="s">
        <v>386</v>
      </c>
      <c r="K1285">
        <v>1000000</v>
      </c>
      <c r="L1285">
        <v>1367</v>
      </c>
      <c r="M1285">
        <v>1367</v>
      </c>
      <c r="N1285">
        <v>1942</v>
      </c>
      <c r="O1285">
        <v>0</v>
      </c>
      <c r="P1285">
        <v>3943</v>
      </c>
      <c r="Q1285">
        <v>4961</v>
      </c>
      <c r="R1285">
        <v>4735</v>
      </c>
      <c r="S1285">
        <v>3128</v>
      </c>
      <c r="T1285">
        <v>0</v>
      </c>
      <c r="U1285">
        <v>13674</v>
      </c>
      <c r="V1285">
        <v>66746.776334420007</v>
      </c>
      <c r="AH1285">
        <f t="shared" si="176"/>
        <v>1367</v>
      </c>
      <c r="AI1285">
        <f t="shared" si="177"/>
        <v>1942</v>
      </c>
      <c r="AJ1285" t="str">
        <f t="shared" si="178"/>
        <v/>
      </c>
      <c r="AK1285">
        <f t="shared" si="179"/>
        <v>3943</v>
      </c>
      <c r="AL1285">
        <f t="shared" ref="AL1285:AL1348" si="181">IF(Q1285=AC1285, "", Q1285-AC1285)</f>
        <v>4961</v>
      </c>
      <c r="AM1285">
        <f t="shared" ref="AM1285:AM1348" si="182">IF(R1285=AD1285, "", R1285-AD1285)</f>
        <v>4735</v>
      </c>
      <c r="AN1285">
        <f t="shared" ref="AN1285:AN1348" si="183">IF(S1285=AE1285, "", S1285-AE1285)</f>
        <v>3128</v>
      </c>
      <c r="AO1285" t="str">
        <f t="shared" ref="AO1285:AO1348" si="184">IF(T1285=AF1285, "", T1285-AF1285)</f>
        <v/>
      </c>
    </row>
    <row r="1286" spans="1:41">
      <c r="A1286">
        <f t="shared" si="180"/>
        <v>1282</v>
      </c>
      <c r="B1286" t="s">
        <v>270</v>
      </c>
      <c r="C1286">
        <v>5</v>
      </c>
      <c r="D1286">
        <v>5</v>
      </c>
      <c r="E1286" t="s">
        <v>387</v>
      </c>
      <c r="F1286">
        <v>412</v>
      </c>
      <c r="G1286">
        <v>1</v>
      </c>
      <c r="H1286">
        <v>61</v>
      </c>
      <c r="I1286" t="s">
        <v>386</v>
      </c>
      <c r="J1286" t="s">
        <v>386</v>
      </c>
      <c r="K1286">
        <v>1000000</v>
      </c>
      <c r="L1286">
        <v>1476</v>
      </c>
      <c r="M1286">
        <v>1476</v>
      </c>
      <c r="N1286">
        <v>2089</v>
      </c>
      <c r="O1286">
        <v>0</v>
      </c>
      <c r="P1286">
        <v>4207</v>
      </c>
      <c r="Q1286">
        <v>5273</v>
      </c>
      <c r="R1286">
        <v>5017</v>
      </c>
      <c r="S1286">
        <v>3303</v>
      </c>
      <c r="T1286">
        <v>0</v>
      </c>
      <c r="U1286">
        <v>14367</v>
      </c>
      <c r="V1286">
        <v>67111.174556049999</v>
      </c>
      <c r="AH1286">
        <f t="shared" ref="AH1286:AH1349" si="185">IF(L1286=Y1286, "",L1286-Y1286)</f>
        <v>1476</v>
      </c>
      <c r="AI1286">
        <f t="shared" ref="AI1286:AI1349" si="186">IF(N1286=Z1286, "", N1286-Z1286)</f>
        <v>2089</v>
      </c>
      <c r="AJ1286" t="str">
        <f t="shared" ref="AJ1286:AJ1349" si="187">IF(O1286=AA1286, "", O1286-AA1286)</f>
        <v/>
      </c>
      <c r="AK1286">
        <f t="shared" ref="AK1286:AK1349" si="188">IF(P1286=AB1286, "", P1286-AB1286)</f>
        <v>4207</v>
      </c>
      <c r="AL1286">
        <f t="shared" si="181"/>
        <v>5273</v>
      </c>
      <c r="AM1286">
        <f t="shared" si="182"/>
        <v>5017</v>
      </c>
      <c r="AN1286">
        <f t="shared" si="183"/>
        <v>3303</v>
      </c>
      <c r="AO1286" t="str">
        <f t="shared" si="184"/>
        <v/>
      </c>
    </row>
    <row r="1287" spans="1:41">
      <c r="A1287">
        <f t="shared" ref="A1287:A1350" si="189">A1286+1</f>
        <v>1283</v>
      </c>
      <c r="B1287" t="s">
        <v>270</v>
      </c>
      <c r="C1287">
        <v>5</v>
      </c>
      <c r="D1287">
        <v>5</v>
      </c>
      <c r="E1287" t="s">
        <v>387</v>
      </c>
      <c r="F1287">
        <v>412</v>
      </c>
      <c r="G1287">
        <v>1</v>
      </c>
      <c r="H1287">
        <v>62</v>
      </c>
      <c r="I1287" t="s">
        <v>386</v>
      </c>
      <c r="J1287" t="s">
        <v>386</v>
      </c>
      <c r="K1287">
        <v>1000000</v>
      </c>
      <c r="L1287">
        <v>1590</v>
      </c>
      <c r="M1287">
        <v>1590</v>
      </c>
      <c r="N1287">
        <v>2243</v>
      </c>
      <c r="O1287">
        <v>0</v>
      </c>
      <c r="P1287">
        <v>4476</v>
      </c>
      <c r="Q1287">
        <v>5574</v>
      </c>
      <c r="R1287">
        <v>5277</v>
      </c>
      <c r="S1287">
        <v>3459</v>
      </c>
      <c r="T1287">
        <v>0</v>
      </c>
      <c r="U1287">
        <v>15092</v>
      </c>
      <c r="V1287">
        <v>67542.206882679995</v>
      </c>
      <c r="AH1287">
        <f t="shared" si="185"/>
        <v>1590</v>
      </c>
      <c r="AI1287">
        <f t="shared" si="186"/>
        <v>2243</v>
      </c>
      <c r="AJ1287" t="str">
        <f t="shared" si="187"/>
        <v/>
      </c>
      <c r="AK1287">
        <f t="shared" si="188"/>
        <v>4476</v>
      </c>
      <c r="AL1287">
        <f t="shared" si="181"/>
        <v>5574</v>
      </c>
      <c r="AM1287">
        <f t="shared" si="182"/>
        <v>5277</v>
      </c>
      <c r="AN1287">
        <f t="shared" si="183"/>
        <v>3459</v>
      </c>
      <c r="AO1287" t="str">
        <f t="shared" si="184"/>
        <v/>
      </c>
    </row>
    <row r="1288" spans="1:41">
      <c r="A1288">
        <f t="shared" si="189"/>
        <v>1284</v>
      </c>
      <c r="B1288" t="s">
        <v>270</v>
      </c>
      <c r="C1288">
        <v>5</v>
      </c>
      <c r="D1288">
        <v>5</v>
      </c>
      <c r="E1288" t="s">
        <v>387</v>
      </c>
      <c r="F1288">
        <v>412</v>
      </c>
      <c r="G1288">
        <v>1</v>
      </c>
      <c r="H1288">
        <v>63</v>
      </c>
      <c r="I1288" t="s">
        <v>386</v>
      </c>
      <c r="J1288" t="s">
        <v>386</v>
      </c>
      <c r="K1288">
        <v>1000000</v>
      </c>
      <c r="L1288">
        <v>1709</v>
      </c>
      <c r="M1288">
        <v>1709</v>
      </c>
      <c r="N1288">
        <v>2404</v>
      </c>
      <c r="O1288">
        <v>0</v>
      </c>
      <c r="P1288">
        <v>4735</v>
      </c>
      <c r="Q1288">
        <v>5848</v>
      </c>
      <c r="R1288">
        <v>5509</v>
      </c>
      <c r="S1288">
        <v>3602</v>
      </c>
      <c r="T1288">
        <v>0</v>
      </c>
      <c r="U1288">
        <v>15849</v>
      </c>
      <c r="V1288">
        <v>68066.273097159996</v>
      </c>
      <c r="AH1288">
        <f t="shared" si="185"/>
        <v>1709</v>
      </c>
      <c r="AI1288">
        <f t="shared" si="186"/>
        <v>2404</v>
      </c>
      <c r="AJ1288" t="str">
        <f t="shared" si="187"/>
        <v/>
      </c>
      <c r="AK1288">
        <f t="shared" si="188"/>
        <v>4735</v>
      </c>
      <c r="AL1288">
        <f t="shared" si="181"/>
        <v>5848</v>
      </c>
      <c r="AM1288">
        <f t="shared" si="182"/>
        <v>5509</v>
      </c>
      <c r="AN1288">
        <f t="shared" si="183"/>
        <v>3602</v>
      </c>
      <c r="AO1288" t="str">
        <f t="shared" si="184"/>
        <v/>
      </c>
    </row>
    <row r="1289" spans="1:41">
      <c r="A1289">
        <f t="shared" si="189"/>
        <v>1285</v>
      </c>
      <c r="B1289" t="s">
        <v>270</v>
      </c>
      <c r="C1289">
        <v>5</v>
      </c>
      <c r="D1289">
        <v>5</v>
      </c>
      <c r="E1289" t="s">
        <v>387</v>
      </c>
      <c r="F1289">
        <v>412</v>
      </c>
      <c r="G1289">
        <v>1</v>
      </c>
      <c r="H1289">
        <v>64</v>
      </c>
      <c r="I1289" t="s">
        <v>386</v>
      </c>
      <c r="J1289" t="s">
        <v>386</v>
      </c>
      <c r="K1289">
        <v>1000000</v>
      </c>
      <c r="L1289">
        <v>1832</v>
      </c>
      <c r="M1289">
        <v>1832</v>
      </c>
      <c r="N1289">
        <v>2571</v>
      </c>
      <c r="O1289">
        <v>0</v>
      </c>
      <c r="P1289">
        <v>4981</v>
      </c>
      <c r="Q1289">
        <v>6105</v>
      </c>
      <c r="R1289">
        <v>5733</v>
      </c>
      <c r="S1289">
        <v>3747</v>
      </c>
      <c r="T1289">
        <v>0</v>
      </c>
      <c r="U1289">
        <v>16633</v>
      </c>
      <c r="V1289">
        <v>68738.522833769995</v>
      </c>
      <c r="AH1289">
        <f t="shared" si="185"/>
        <v>1832</v>
      </c>
      <c r="AI1289">
        <f t="shared" si="186"/>
        <v>2571</v>
      </c>
      <c r="AJ1289" t="str">
        <f t="shared" si="187"/>
        <v/>
      </c>
      <c r="AK1289">
        <f t="shared" si="188"/>
        <v>4981</v>
      </c>
      <c r="AL1289">
        <f t="shared" si="181"/>
        <v>6105</v>
      </c>
      <c r="AM1289">
        <f t="shared" si="182"/>
        <v>5733</v>
      </c>
      <c r="AN1289">
        <f t="shared" si="183"/>
        <v>3747</v>
      </c>
      <c r="AO1289" t="str">
        <f t="shared" si="184"/>
        <v/>
      </c>
    </row>
    <row r="1290" spans="1:41">
      <c r="A1290">
        <f t="shared" si="189"/>
        <v>1286</v>
      </c>
      <c r="B1290" t="s">
        <v>270</v>
      </c>
      <c r="C1290">
        <v>5</v>
      </c>
      <c r="D1290">
        <v>5</v>
      </c>
      <c r="E1290" t="s">
        <v>387</v>
      </c>
      <c r="F1290">
        <v>412</v>
      </c>
      <c r="G1290">
        <v>1</v>
      </c>
      <c r="H1290">
        <v>65</v>
      </c>
      <c r="I1290" t="s">
        <v>386</v>
      </c>
      <c r="J1290" t="s">
        <v>386</v>
      </c>
      <c r="K1290">
        <v>1000000</v>
      </c>
      <c r="L1290">
        <v>1960</v>
      </c>
      <c r="M1290">
        <v>1960</v>
      </c>
      <c r="N1290">
        <v>2744</v>
      </c>
      <c r="O1290">
        <v>0</v>
      </c>
      <c r="P1290">
        <v>5224</v>
      </c>
      <c r="Q1290">
        <v>6363</v>
      </c>
      <c r="R1290">
        <v>5964</v>
      </c>
      <c r="S1290">
        <v>3891</v>
      </c>
      <c r="T1290">
        <v>0</v>
      </c>
      <c r="U1290">
        <v>17442</v>
      </c>
      <c r="V1290">
        <v>69632.16199968</v>
      </c>
      <c r="AH1290">
        <f t="shared" si="185"/>
        <v>1960</v>
      </c>
      <c r="AI1290">
        <f t="shared" si="186"/>
        <v>2744</v>
      </c>
      <c r="AJ1290" t="str">
        <f t="shared" si="187"/>
        <v/>
      </c>
      <c r="AK1290">
        <f t="shared" si="188"/>
        <v>5224</v>
      </c>
      <c r="AL1290">
        <f t="shared" si="181"/>
        <v>6363</v>
      </c>
      <c r="AM1290">
        <f t="shared" si="182"/>
        <v>5964</v>
      </c>
      <c r="AN1290">
        <f t="shared" si="183"/>
        <v>3891</v>
      </c>
      <c r="AO1290" t="str">
        <f t="shared" si="184"/>
        <v/>
      </c>
    </row>
    <row r="1291" spans="1:41">
      <c r="A1291">
        <f t="shared" si="189"/>
        <v>1287</v>
      </c>
      <c r="B1291" t="s">
        <v>270</v>
      </c>
      <c r="C1291">
        <v>5</v>
      </c>
      <c r="D1291">
        <v>5</v>
      </c>
      <c r="E1291" t="s">
        <v>387</v>
      </c>
      <c r="F1291">
        <v>412</v>
      </c>
      <c r="G1291">
        <v>1</v>
      </c>
      <c r="H1291">
        <v>66</v>
      </c>
      <c r="I1291" t="s">
        <v>386</v>
      </c>
      <c r="J1291" t="s">
        <v>386</v>
      </c>
      <c r="K1291">
        <v>1000000</v>
      </c>
      <c r="L1291">
        <v>2091</v>
      </c>
      <c r="M1291">
        <v>2091</v>
      </c>
      <c r="N1291">
        <v>2921</v>
      </c>
      <c r="O1291">
        <v>0</v>
      </c>
      <c r="P1291">
        <v>5473</v>
      </c>
      <c r="Q1291">
        <v>6625</v>
      </c>
      <c r="R1291">
        <v>6186</v>
      </c>
      <c r="S1291">
        <v>4020</v>
      </c>
      <c r="T1291">
        <v>0</v>
      </c>
      <c r="U1291">
        <v>18273</v>
      </c>
      <c r="V1291">
        <v>70810.810923359997</v>
      </c>
      <c r="AH1291">
        <f t="shared" si="185"/>
        <v>2091</v>
      </c>
      <c r="AI1291">
        <f t="shared" si="186"/>
        <v>2921</v>
      </c>
      <c r="AJ1291" t="str">
        <f t="shared" si="187"/>
        <v/>
      </c>
      <c r="AK1291">
        <f t="shared" si="188"/>
        <v>5473</v>
      </c>
      <c r="AL1291">
        <f t="shared" si="181"/>
        <v>6625</v>
      </c>
      <c r="AM1291">
        <f t="shared" si="182"/>
        <v>6186</v>
      </c>
      <c r="AN1291">
        <f t="shared" si="183"/>
        <v>4020</v>
      </c>
      <c r="AO1291" t="str">
        <f t="shared" si="184"/>
        <v/>
      </c>
    </row>
    <row r="1292" spans="1:41">
      <c r="A1292">
        <f t="shared" si="189"/>
        <v>1288</v>
      </c>
      <c r="B1292" t="s">
        <v>270</v>
      </c>
      <c r="C1292">
        <v>5</v>
      </c>
      <c r="D1292">
        <v>5</v>
      </c>
      <c r="E1292" t="s">
        <v>387</v>
      </c>
      <c r="F1292">
        <v>412</v>
      </c>
      <c r="G1292">
        <v>1</v>
      </c>
      <c r="H1292">
        <v>67</v>
      </c>
      <c r="I1292" t="s">
        <v>386</v>
      </c>
      <c r="J1292" t="s">
        <v>386</v>
      </c>
      <c r="K1292">
        <v>1000000</v>
      </c>
      <c r="L1292">
        <v>2225</v>
      </c>
      <c r="M1292">
        <v>2225</v>
      </c>
      <c r="N1292">
        <v>3103</v>
      </c>
      <c r="O1292">
        <v>0</v>
      </c>
      <c r="P1292">
        <v>5719</v>
      </c>
      <c r="Q1292">
        <v>6865</v>
      </c>
      <c r="R1292">
        <v>6370</v>
      </c>
      <c r="S1292">
        <v>4118</v>
      </c>
      <c r="T1292">
        <v>0</v>
      </c>
      <c r="U1292">
        <v>19122</v>
      </c>
      <c r="V1292">
        <v>72288.902855680004</v>
      </c>
      <c r="AH1292">
        <f t="shared" si="185"/>
        <v>2225</v>
      </c>
      <c r="AI1292">
        <f t="shared" si="186"/>
        <v>3103</v>
      </c>
      <c r="AJ1292" t="str">
        <f t="shared" si="187"/>
        <v/>
      </c>
      <c r="AK1292">
        <f t="shared" si="188"/>
        <v>5719</v>
      </c>
      <c r="AL1292">
        <f t="shared" si="181"/>
        <v>6865</v>
      </c>
      <c r="AM1292">
        <f t="shared" si="182"/>
        <v>6370</v>
      </c>
      <c r="AN1292">
        <f t="shared" si="183"/>
        <v>4118</v>
      </c>
      <c r="AO1292" t="str">
        <f t="shared" si="184"/>
        <v/>
      </c>
    </row>
    <row r="1293" spans="1:41">
      <c r="A1293">
        <f t="shared" si="189"/>
        <v>1289</v>
      </c>
      <c r="B1293" t="s">
        <v>270</v>
      </c>
      <c r="C1293">
        <v>5</v>
      </c>
      <c r="D1293">
        <v>5</v>
      </c>
      <c r="E1293" t="s">
        <v>387</v>
      </c>
      <c r="F1293">
        <v>412</v>
      </c>
      <c r="G1293">
        <v>1</v>
      </c>
      <c r="H1293">
        <v>68</v>
      </c>
      <c r="I1293" t="s">
        <v>386</v>
      </c>
      <c r="J1293" t="s">
        <v>386</v>
      </c>
      <c r="K1293">
        <v>1000000</v>
      </c>
      <c r="L1293">
        <v>2360</v>
      </c>
      <c r="M1293">
        <v>2360</v>
      </c>
      <c r="N1293">
        <v>3287</v>
      </c>
      <c r="O1293">
        <v>0</v>
      </c>
      <c r="P1293">
        <v>5945</v>
      </c>
      <c r="Q1293">
        <v>7056</v>
      </c>
      <c r="R1293">
        <v>6499</v>
      </c>
      <c r="S1293">
        <v>4179</v>
      </c>
      <c r="T1293">
        <v>0</v>
      </c>
      <c r="U1293">
        <v>19982</v>
      </c>
      <c r="V1293">
        <v>74024.075680189999</v>
      </c>
      <c r="AH1293">
        <f t="shared" si="185"/>
        <v>2360</v>
      </c>
      <c r="AI1293">
        <f t="shared" si="186"/>
        <v>3287</v>
      </c>
      <c r="AJ1293" t="str">
        <f t="shared" si="187"/>
        <v/>
      </c>
      <c r="AK1293">
        <f t="shared" si="188"/>
        <v>5945</v>
      </c>
      <c r="AL1293">
        <f t="shared" si="181"/>
        <v>7056</v>
      </c>
      <c r="AM1293">
        <f t="shared" si="182"/>
        <v>6499</v>
      </c>
      <c r="AN1293">
        <f t="shared" si="183"/>
        <v>4179</v>
      </c>
      <c r="AO1293" t="str">
        <f t="shared" si="184"/>
        <v/>
      </c>
    </row>
    <row r="1294" spans="1:41">
      <c r="A1294">
        <f t="shared" si="189"/>
        <v>1290</v>
      </c>
      <c r="B1294" t="s">
        <v>270</v>
      </c>
      <c r="C1294">
        <v>5</v>
      </c>
      <c r="D1294">
        <v>5</v>
      </c>
      <c r="E1294" t="s">
        <v>387</v>
      </c>
      <c r="F1294">
        <v>412</v>
      </c>
      <c r="G1294">
        <v>1</v>
      </c>
      <c r="H1294">
        <v>69</v>
      </c>
      <c r="I1294" t="s">
        <v>386</v>
      </c>
      <c r="J1294" t="s">
        <v>386</v>
      </c>
      <c r="K1294">
        <v>1000000</v>
      </c>
      <c r="L1294">
        <v>2497</v>
      </c>
      <c r="M1294">
        <v>2497</v>
      </c>
      <c r="N1294">
        <v>3473</v>
      </c>
      <c r="O1294">
        <v>0</v>
      </c>
      <c r="P1294">
        <v>6142</v>
      </c>
      <c r="Q1294">
        <v>7199</v>
      </c>
      <c r="R1294">
        <v>6587</v>
      </c>
      <c r="S1294">
        <v>4221</v>
      </c>
      <c r="T1294">
        <v>0</v>
      </c>
      <c r="U1294">
        <v>20847</v>
      </c>
      <c r="V1294">
        <v>75938.026300629994</v>
      </c>
      <c r="AH1294">
        <f t="shared" si="185"/>
        <v>2497</v>
      </c>
      <c r="AI1294">
        <f t="shared" si="186"/>
        <v>3473</v>
      </c>
      <c r="AJ1294" t="str">
        <f t="shared" si="187"/>
        <v/>
      </c>
      <c r="AK1294">
        <f t="shared" si="188"/>
        <v>6142</v>
      </c>
      <c r="AL1294">
        <f t="shared" si="181"/>
        <v>7199</v>
      </c>
      <c r="AM1294">
        <f t="shared" si="182"/>
        <v>6587</v>
      </c>
      <c r="AN1294">
        <f t="shared" si="183"/>
        <v>4221</v>
      </c>
      <c r="AO1294" t="str">
        <f t="shared" si="184"/>
        <v/>
      </c>
    </row>
    <row r="1295" spans="1:41">
      <c r="A1295">
        <f t="shared" si="189"/>
        <v>1291</v>
      </c>
      <c r="B1295" t="s">
        <v>270</v>
      </c>
      <c r="C1295">
        <v>5</v>
      </c>
      <c r="D1295">
        <v>5</v>
      </c>
      <c r="E1295" t="s">
        <v>387</v>
      </c>
      <c r="F1295">
        <v>412</v>
      </c>
      <c r="G1295">
        <v>1</v>
      </c>
      <c r="H1295">
        <v>70</v>
      </c>
      <c r="I1295" t="s">
        <v>386</v>
      </c>
      <c r="J1295" t="s">
        <v>386</v>
      </c>
      <c r="K1295">
        <v>1000000</v>
      </c>
      <c r="L1295">
        <v>2633</v>
      </c>
      <c r="M1295">
        <v>2633</v>
      </c>
      <c r="N1295">
        <v>3658</v>
      </c>
      <c r="O1295">
        <v>0</v>
      </c>
      <c r="P1295">
        <v>6310</v>
      </c>
      <c r="Q1295">
        <v>7308</v>
      </c>
      <c r="R1295">
        <v>6649</v>
      </c>
      <c r="S1295">
        <v>4243</v>
      </c>
      <c r="T1295">
        <v>0</v>
      </c>
      <c r="U1295">
        <v>21709</v>
      </c>
      <c r="V1295">
        <v>77962.35726053</v>
      </c>
      <c r="AH1295">
        <f t="shared" si="185"/>
        <v>2633</v>
      </c>
      <c r="AI1295">
        <f t="shared" si="186"/>
        <v>3658</v>
      </c>
      <c r="AJ1295" t="str">
        <f t="shared" si="187"/>
        <v/>
      </c>
      <c r="AK1295">
        <f t="shared" si="188"/>
        <v>6310</v>
      </c>
      <c r="AL1295">
        <f t="shared" si="181"/>
        <v>7308</v>
      </c>
      <c r="AM1295">
        <f t="shared" si="182"/>
        <v>6649</v>
      </c>
      <c r="AN1295">
        <f t="shared" si="183"/>
        <v>4243</v>
      </c>
      <c r="AO1295" t="str">
        <f t="shared" si="184"/>
        <v/>
      </c>
    </row>
    <row r="1296" spans="1:41">
      <c r="A1296">
        <f t="shared" si="189"/>
        <v>1292</v>
      </c>
      <c r="B1296" t="s">
        <v>270</v>
      </c>
      <c r="C1296">
        <v>5</v>
      </c>
      <c r="D1296">
        <v>5</v>
      </c>
      <c r="E1296" t="s">
        <v>387</v>
      </c>
      <c r="F1296">
        <v>412</v>
      </c>
      <c r="G1296">
        <v>1</v>
      </c>
      <c r="H1296">
        <v>71</v>
      </c>
      <c r="I1296" t="s">
        <v>386</v>
      </c>
      <c r="J1296" t="s">
        <v>386</v>
      </c>
      <c r="K1296">
        <v>1000000</v>
      </c>
      <c r="L1296">
        <v>2767</v>
      </c>
      <c r="M1296">
        <v>2767</v>
      </c>
      <c r="N1296">
        <v>3841</v>
      </c>
      <c r="O1296">
        <v>0</v>
      </c>
      <c r="P1296">
        <v>6448</v>
      </c>
      <c r="Q1296">
        <v>7378</v>
      </c>
      <c r="R1296">
        <v>6659</v>
      </c>
      <c r="S1296">
        <v>4214</v>
      </c>
      <c r="T1296">
        <v>0</v>
      </c>
      <c r="U1296">
        <v>22559</v>
      </c>
      <c r="V1296">
        <v>80077.945995629998</v>
      </c>
      <c r="AH1296">
        <f t="shared" si="185"/>
        <v>2767</v>
      </c>
      <c r="AI1296">
        <f t="shared" si="186"/>
        <v>3841</v>
      </c>
      <c r="AJ1296" t="str">
        <f t="shared" si="187"/>
        <v/>
      </c>
      <c r="AK1296">
        <f t="shared" si="188"/>
        <v>6448</v>
      </c>
      <c r="AL1296">
        <f t="shared" si="181"/>
        <v>7378</v>
      </c>
      <c r="AM1296">
        <f t="shared" si="182"/>
        <v>6659</v>
      </c>
      <c r="AN1296">
        <f t="shared" si="183"/>
        <v>4214</v>
      </c>
      <c r="AO1296" t="str">
        <f t="shared" si="184"/>
        <v/>
      </c>
    </row>
    <row r="1297" spans="1:41">
      <c r="A1297">
        <f t="shared" si="189"/>
        <v>1293</v>
      </c>
      <c r="B1297" t="s">
        <v>270</v>
      </c>
      <c r="C1297">
        <v>5</v>
      </c>
      <c r="D1297">
        <v>5</v>
      </c>
      <c r="E1297" t="s">
        <v>387</v>
      </c>
      <c r="F1297">
        <v>412</v>
      </c>
      <c r="G1297">
        <v>1</v>
      </c>
      <c r="H1297">
        <v>72</v>
      </c>
      <c r="I1297" t="s">
        <v>386</v>
      </c>
      <c r="J1297" t="s">
        <v>386</v>
      </c>
      <c r="K1297">
        <v>1000000</v>
      </c>
      <c r="L1297">
        <v>2897</v>
      </c>
      <c r="M1297">
        <v>2897</v>
      </c>
      <c r="N1297">
        <v>4019</v>
      </c>
      <c r="O1297">
        <v>0</v>
      </c>
      <c r="P1297">
        <v>6531</v>
      </c>
      <c r="Q1297">
        <v>7349</v>
      </c>
      <c r="R1297">
        <v>6537</v>
      </c>
      <c r="S1297">
        <v>4066</v>
      </c>
      <c r="T1297">
        <v>0</v>
      </c>
      <c r="U1297">
        <v>23381</v>
      </c>
      <c r="V1297">
        <v>82334.489629539996</v>
      </c>
      <c r="AH1297">
        <f t="shared" si="185"/>
        <v>2897</v>
      </c>
      <c r="AI1297">
        <f t="shared" si="186"/>
        <v>4019</v>
      </c>
      <c r="AJ1297" t="str">
        <f t="shared" si="187"/>
        <v/>
      </c>
      <c r="AK1297">
        <f t="shared" si="188"/>
        <v>6531</v>
      </c>
      <c r="AL1297">
        <f t="shared" si="181"/>
        <v>7349</v>
      </c>
      <c r="AM1297">
        <f t="shared" si="182"/>
        <v>6537</v>
      </c>
      <c r="AN1297">
        <f t="shared" si="183"/>
        <v>4066</v>
      </c>
      <c r="AO1297" t="str">
        <f t="shared" si="184"/>
        <v/>
      </c>
    </row>
    <row r="1298" spans="1:41">
      <c r="A1298">
        <f t="shared" si="189"/>
        <v>1294</v>
      </c>
      <c r="B1298" t="s">
        <v>270</v>
      </c>
      <c r="C1298">
        <v>5</v>
      </c>
      <c r="D1298">
        <v>5</v>
      </c>
      <c r="E1298" t="s">
        <v>387</v>
      </c>
      <c r="F1298">
        <v>412</v>
      </c>
      <c r="G1298">
        <v>1</v>
      </c>
      <c r="H1298">
        <v>73</v>
      </c>
      <c r="I1298" t="s">
        <v>386</v>
      </c>
      <c r="J1298" t="s">
        <v>386</v>
      </c>
      <c r="K1298">
        <v>1000000</v>
      </c>
      <c r="L1298">
        <v>3019</v>
      </c>
      <c r="M1298">
        <v>3019</v>
      </c>
      <c r="N1298">
        <v>4185</v>
      </c>
      <c r="O1298">
        <v>0</v>
      </c>
      <c r="P1298">
        <v>6506</v>
      </c>
      <c r="Q1298">
        <v>7129</v>
      </c>
      <c r="R1298">
        <v>6186</v>
      </c>
      <c r="S1298">
        <v>3752</v>
      </c>
      <c r="T1298">
        <v>0</v>
      </c>
      <c r="U1298">
        <v>24151</v>
      </c>
      <c r="V1298">
        <v>84824.398232580003</v>
      </c>
      <c r="AH1298">
        <f t="shared" si="185"/>
        <v>3019</v>
      </c>
      <c r="AI1298">
        <f t="shared" si="186"/>
        <v>4185</v>
      </c>
      <c r="AJ1298" t="str">
        <f t="shared" si="187"/>
        <v/>
      </c>
      <c r="AK1298">
        <f t="shared" si="188"/>
        <v>6506</v>
      </c>
      <c r="AL1298">
        <f t="shared" si="181"/>
        <v>7129</v>
      </c>
      <c r="AM1298">
        <f t="shared" si="182"/>
        <v>6186</v>
      </c>
      <c r="AN1298">
        <f t="shared" si="183"/>
        <v>3752</v>
      </c>
      <c r="AO1298" t="str">
        <f t="shared" si="184"/>
        <v/>
      </c>
    </row>
    <row r="1299" spans="1:41">
      <c r="A1299">
        <f t="shared" si="189"/>
        <v>1295</v>
      </c>
      <c r="B1299" t="s">
        <v>270</v>
      </c>
      <c r="C1299">
        <v>5</v>
      </c>
      <c r="D1299">
        <v>5</v>
      </c>
      <c r="E1299" t="s">
        <v>387</v>
      </c>
      <c r="F1299">
        <v>412</v>
      </c>
      <c r="G1299">
        <v>1</v>
      </c>
      <c r="H1299">
        <v>74</v>
      </c>
      <c r="I1299" t="s">
        <v>386</v>
      </c>
      <c r="J1299" t="s">
        <v>386</v>
      </c>
      <c r="K1299">
        <v>1000000</v>
      </c>
      <c r="L1299">
        <v>3128</v>
      </c>
      <c r="M1299">
        <v>3128</v>
      </c>
      <c r="N1299">
        <v>4334</v>
      </c>
      <c r="O1299">
        <v>0</v>
      </c>
      <c r="P1299">
        <v>6329</v>
      </c>
      <c r="Q1299">
        <v>6662</v>
      </c>
      <c r="R1299">
        <v>5589</v>
      </c>
      <c r="S1299">
        <v>3291</v>
      </c>
      <c r="T1299">
        <v>0</v>
      </c>
      <c r="U1299">
        <v>24838</v>
      </c>
      <c r="V1299">
        <v>87636.33962513</v>
      </c>
      <c r="AH1299">
        <f t="shared" si="185"/>
        <v>3128</v>
      </c>
      <c r="AI1299">
        <f t="shared" si="186"/>
        <v>4334</v>
      </c>
      <c r="AJ1299" t="str">
        <f t="shared" si="187"/>
        <v/>
      </c>
      <c r="AK1299">
        <f t="shared" si="188"/>
        <v>6329</v>
      </c>
      <c r="AL1299">
        <f t="shared" si="181"/>
        <v>6662</v>
      </c>
      <c r="AM1299">
        <f t="shared" si="182"/>
        <v>5589</v>
      </c>
      <c r="AN1299">
        <f t="shared" si="183"/>
        <v>3291</v>
      </c>
      <c r="AO1299" t="str">
        <f t="shared" si="184"/>
        <v/>
      </c>
    </row>
    <row r="1300" spans="1:41">
      <c r="A1300">
        <f t="shared" si="189"/>
        <v>1296</v>
      </c>
      <c r="B1300" t="s">
        <v>270</v>
      </c>
      <c r="C1300">
        <v>5</v>
      </c>
      <c r="D1300">
        <v>5</v>
      </c>
      <c r="E1300" t="s">
        <v>387</v>
      </c>
      <c r="F1300">
        <v>412</v>
      </c>
      <c r="G1300">
        <v>1</v>
      </c>
      <c r="H1300">
        <v>75</v>
      </c>
      <c r="I1300" t="s">
        <v>386</v>
      </c>
      <c r="J1300" t="s">
        <v>386</v>
      </c>
      <c r="K1300">
        <v>1000000</v>
      </c>
      <c r="L1300">
        <v>3219</v>
      </c>
      <c r="M1300">
        <v>3219</v>
      </c>
      <c r="N1300">
        <v>4459</v>
      </c>
      <c r="O1300">
        <v>0</v>
      </c>
      <c r="P1300">
        <v>6005</v>
      </c>
      <c r="Q1300">
        <v>6002</v>
      </c>
      <c r="R1300">
        <v>4847</v>
      </c>
      <c r="S1300">
        <v>2777</v>
      </c>
      <c r="T1300">
        <v>0</v>
      </c>
      <c r="U1300">
        <v>25415</v>
      </c>
      <c r="V1300">
        <v>90810.956756269996</v>
      </c>
      <c r="AH1300">
        <f t="shared" si="185"/>
        <v>3219</v>
      </c>
      <c r="AI1300">
        <f t="shared" si="186"/>
        <v>4459</v>
      </c>
      <c r="AJ1300" t="str">
        <f t="shared" si="187"/>
        <v/>
      </c>
      <c r="AK1300">
        <f t="shared" si="188"/>
        <v>6005</v>
      </c>
      <c r="AL1300">
        <f t="shared" si="181"/>
        <v>6002</v>
      </c>
      <c r="AM1300">
        <f t="shared" si="182"/>
        <v>4847</v>
      </c>
      <c r="AN1300">
        <f t="shared" si="183"/>
        <v>2777</v>
      </c>
      <c r="AO1300" t="str">
        <f t="shared" si="184"/>
        <v/>
      </c>
    </row>
    <row r="1301" spans="1:41">
      <c r="A1301">
        <f t="shared" si="189"/>
        <v>1297</v>
      </c>
      <c r="B1301" t="s">
        <v>270</v>
      </c>
      <c r="C1301">
        <v>5</v>
      </c>
      <c r="D1301">
        <v>5</v>
      </c>
      <c r="E1301" t="s">
        <v>387</v>
      </c>
      <c r="F1301">
        <v>412</v>
      </c>
      <c r="G1301">
        <v>1</v>
      </c>
      <c r="H1301">
        <v>76</v>
      </c>
      <c r="I1301" t="s">
        <v>386</v>
      </c>
      <c r="J1301" t="s">
        <v>386</v>
      </c>
      <c r="K1301">
        <v>1000000</v>
      </c>
      <c r="L1301">
        <v>3290</v>
      </c>
      <c r="M1301">
        <v>3290</v>
      </c>
      <c r="N1301">
        <v>4557</v>
      </c>
      <c r="O1301">
        <v>0</v>
      </c>
      <c r="P1301">
        <v>5613</v>
      </c>
      <c r="Q1301">
        <v>5307</v>
      </c>
      <c r="R1301">
        <v>4145</v>
      </c>
      <c r="S1301">
        <v>2338</v>
      </c>
      <c r="T1301">
        <v>0</v>
      </c>
      <c r="U1301">
        <v>25868</v>
      </c>
      <c r="V1301">
        <v>86681.615038370001</v>
      </c>
      <c r="AH1301">
        <f t="shared" si="185"/>
        <v>3290</v>
      </c>
      <c r="AI1301">
        <f t="shared" si="186"/>
        <v>4557</v>
      </c>
      <c r="AJ1301" t="str">
        <f t="shared" si="187"/>
        <v/>
      </c>
      <c r="AK1301">
        <f t="shared" si="188"/>
        <v>5613</v>
      </c>
      <c r="AL1301">
        <f t="shared" si="181"/>
        <v>5307</v>
      </c>
      <c r="AM1301">
        <f t="shared" si="182"/>
        <v>4145</v>
      </c>
      <c r="AN1301">
        <f t="shared" si="183"/>
        <v>2338</v>
      </c>
      <c r="AO1301" t="str">
        <f t="shared" si="184"/>
        <v/>
      </c>
    </row>
    <row r="1302" spans="1:41">
      <c r="A1302">
        <f t="shared" si="189"/>
        <v>1298</v>
      </c>
      <c r="B1302" t="s">
        <v>270</v>
      </c>
      <c r="C1302">
        <v>5</v>
      </c>
      <c r="D1302">
        <v>5</v>
      </c>
      <c r="E1302" t="s">
        <v>387</v>
      </c>
      <c r="F1302">
        <v>412</v>
      </c>
      <c r="G1302">
        <v>1</v>
      </c>
      <c r="H1302">
        <v>77</v>
      </c>
      <c r="I1302" t="s">
        <v>386</v>
      </c>
      <c r="J1302" t="s">
        <v>386</v>
      </c>
      <c r="K1302">
        <v>1000000</v>
      </c>
      <c r="L1302">
        <v>3344</v>
      </c>
      <c r="M1302">
        <v>3344</v>
      </c>
      <c r="N1302">
        <v>4631</v>
      </c>
      <c r="O1302">
        <v>0</v>
      </c>
      <c r="P1302">
        <v>5273</v>
      </c>
      <c r="Q1302">
        <v>4767</v>
      </c>
      <c r="R1302">
        <v>3662</v>
      </c>
      <c r="S1302">
        <v>2074</v>
      </c>
      <c r="T1302">
        <v>0</v>
      </c>
      <c r="U1302">
        <v>26208</v>
      </c>
      <c r="V1302">
        <v>81955.080742820006</v>
      </c>
      <c r="AH1302">
        <f t="shared" si="185"/>
        <v>3344</v>
      </c>
      <c r="AI1302">
        <f t="shared" si="186"/>
        <v>4631</v>
      </c>
      <c r="AJ1302" t="str">
        <f t="shared" si="187"/>
        <v/>
      </c>
      <c r="AK1302">
        <f t="shared" si="188"/>
        <v>5273</v>
      </c>
      <c r="AL1302">
        <f t="shared" si="181"/>
        <v>4767</v>
      </c>
      <c r="AM1302">
        <f t="shared" si="182"/>
        <v>3662</v>
      </c>
      <c r="AN1302">
        <f t="shared" si="183"/>
        <v>2074</v>
      </c>
      <c r="AO1302" t="str">
        <f t="shared" si="184"/>
        <v/>
      </c>
    </row>
    <row r="1303" spans="1:41">
      <c r="A1303">
        <f t="shared" si="189"/>
        <v>1299</v>
      </c>
      <c r="B1303" t="s">
        <v>270</v>
      </c>
      <c r="C1303">
        <v>5</v>
      </c>
      <c r="D1303">
        <v>5</v>
      </c>
      <c r="E1303" t="s">
        <v>387</v>
      </c>
      <c r="F1303">
        <v>412</v>
      </c>
      <c r="G1303">
        <v>1</v>
      </c>
      <c r="H1303">
        <v>78</v>
      </c>
      <c r="I1303" t="s">
        <v>386</v>
      </c>
      <c r="J1303" t="s">
        <v>386</v>
      </c>
      <c r="K1303">
        <v>1000000</v>
      </c>
      <c r="L1303">
        <v>3384</v>
      </c>
      <c r="M1303">
        <v>3384</v>
      </c>
      <c r="N1303">
        <v>4686</v>
      </c>
      <c r="O1303">
        <v>0</v>
      </c>
      <c r="P1303">
        <v>5072</v>
      </c>
      <c r="Q1303">
        <v>4479</v>
      </c>
      <c r="R1303">
        <v>3439</v>
      </c>
      <c r="S1303">
        <v>1951</v>
      </c>
      <c r="T1303">
        <v>0</v>
      </c>
      <c r="U1303">
        <v>26462</v>
      </c>
      <c r="V1303">
        <v>76543.923042390001</v>
      </c>
      <c r="AH1303">
        <f t="shared" si="185"/>
        <v>3384</v>
      </c>
      <c r="AI1303">
        <f t="shared" si="186"/>
        <v>4686</v>
      </c>
      <c r="AJ1303" t="str">
        <f t="shared" si="187"/>
        <v/>
      </c>
      <c r="AK1303">
        <f t="shared" si="188"/>
        <v>5072</v>
      </c>
      <c r="AL1303">
        <f t="shared" si="181"/>
        <v>4479</v>
      </c>
      <c r="AM1303">
        <f t="shared" si="182"/>
        <v>3439</v>
      </c>
      <c r="AN1303">
        <f t="shared" si="183"/>
        <v>1951</v>
      </c>
      <c r="AO1303" t="str">
        <f t="shared" si="184"/>
        <v/>
      </c>
    </row>
    <row r="1304" spans="1:41">
      <c r="A1304">
        <f t="shared" si="189"/>
        <v>1300</v>
      </c>
      <c r="B1304" t="s">
        <v>270</v>
      </c>
      <c r="C1304">
        <v>5</v>
      </c>
      <c r="D1304">
        <v>5</v>
      </c>
      <c r="E1304" t="s">
        <v>387</v>
      </c>
      <c r="F1304">
        <v>412</v>
      </c>
      <c r="G1304">
        <v>1</v>
      </c>
      <c r="H1304">
        <v>79</v>
      </c>
      <c r="I1304" t="s">
        <v>386</v>
      </c>
      <c r="J1304" t="s">
        <v>386</v>
      </c>
      <c r="K1304">
        <v>1000000</v>
      </c>
      <c r="L1304">
        <v>3416</v>
      </c>
      <c r="M1304">
        <v>3416</v>
      </c>
      <c r="N1304">
        <v>4730</v>
      </c>
      <c r="O1304">
        <v>0</v>
      </c>
      <c r="P1304">
        <v>5026</v>
      </c>
      <c r="Q1304">
        <v>4410</v>
      </c>
      <c r="R1304">
        <v>3377</v>
      </c>
      <c r="S1304">
        <v>1913</v>
      </c>
      <c r="T1304">
        <v>0</v>
      </c>
      <c r="U1304">
        <v>26662</v>
      </c>
      <c r="V1304">
        <v>70373.040732719994</v>
      </c>
      <c r="AH1304">
        <f t="shared" si="185"/>
        <v>3416</v>
      </c>
      <c r="AI1304">
        <f t="shared" si="186"/>
        <v>4730</v>
      </c>
      <c r="AJ1304" t="str">
        <f t="shared" si="187"/>
        <v/>
      </c>
      <c r="AK1304">
        <f t="shared" si="188"/>
        <v>5026</v>
      </c>
      <c r="AL1304">
        <f t="shared" si="181"/>
        <v>4410</v>
      </c>
      <c r="AM1304">
        <f t="shared" si="182"/>
        <v>3377</v>
      </c>
      <c r="AN1304">
        <f t="shared" si="183"/>
        <v>1913</v>
      </c>
      <c r="AO1304" t="str">
        <f t="shared" si="184"/>
        <v/>
      </c>
    </row>
    <row r="1305" spans="1:41">
      <c r="A1305">
        <f t="shared" si="189"/>
        <v>1301</v>
      </c>
      <c r="B1305" t="s">
        <v>270</v>
      </c>
      <c r="C1305">
        <v>5</v>
      </c>
      <c r="D1305">
        <v>5</v>
      </c>
      <c r="E1305" t="s">
        <v>387</v>
      </c>
      <c r="F1305">
        <v>412</v>
      </c>
      <c r="G1305">
        <v>1</v>
      </c>
      <c r="H1305">
        <v>80</v>
      </c>
      <c r="I1305" t="s">
        <v>386</v>
      </c>
      <c r="J1305" t="s">
        <v>386</v>
      </c>
      <c r="K1305">
        <v>1000000</v>
      </c>
      <c r="L1305">
        <v>3444</v>
      </c>
      <c r="M1305">
        <v>3444</v>
      </c>
      <c r="N1305">
        <v>4767</v>
      </c>
      <c r="O1305">
        <v>0</v>
      </c>
      <c r="P1305">
        <v>5079</v>
      </c>
      <c r="Q1305">
        <v>4429</v>
      </c>
      <c r="R1305">
        <v>3375</v>
      </c>
      <c r="S1305">
        <v>1903</v>
      </c>
      <c r="T1305">
        <v>0</v>
      </c>
      <c r="U1305">
        <v>26836</v>
      </c>
      <c r="V1305">
        <v>3979.6764623399999</v>
      </c>
      <c r="AH1305">
        <f t="shared" si="185"/>
        <v>3444</v>
      </c>
      <c r="AI1305">
        <f t="shared" si="186"/>
        <v>4767</v>
      </c>
      <c r="AJ1305" t="str">
        <f t="shared" si="187"/>
        <v/>
      </c>
      <c r="AK1305">
        <f t="shared" si="188"/>
        <v>5079</v>
      </c>
      <c r="AL1305">
        <f t="shared" si="181"/>
        <v>4429</v>
      </c>
      <c r="AM1305">
        <f t="shared" si="182"/>
        <v>3375</v>
      </c>
      <c r="AN1305">
        <f t="shared" si="183"/>
        <v>1903</v>
      </c>
      <c r="AO1305" t="str">
        <f t="shared" si="184"/>
        <v/>
      </c>
    </row>
    <row r="1306" spans="1:41">
      <c r="A1306">
        <f t="shared" si="189"/>
        <v>1302</v>
      </c>
      <c r="B1306" t="s">
        <v>270</v>
      </c>
      <c r="C1306">
        <v>5</v>
      </c>
      <c r="D1306">
        <v>5</v>
      </c>
      <c r="E1306" t="s">
        <v>387</v>
      </c>
      <c r="F1306">
        <v>412</v>
      </c>
      <c r="G1306">
        <v>1</v>
      </c>
      <c r="H1306">
        <v>81</v>
      </c>
      <c r="I1306" t="s">
        <v>386</v>
      </c>
      <c r="J1306" t="s">
        <v>386</v>
      </c>
      <c r="K1306">
        <v>1000000</v>
      </c>
      <c r="L1306">
        <v>3469</v>
      </c>
      <c r="M1306">
        <v>3469</v>
      </c>
      <c r="N1306">
        <v>4803</v>
      </c>
      <c r="O1306">
        <v>0</v>
      </c>
      <c r="P1306">
        <v>5137</v>
      </c>
      <c r="Q1306">
        <v>4449</v>
      </c>
      <c r="R1306">
        <v>3367</v>
      </c>
      <c r="S1306">
        <v>1884</v>
      </c>
      <c r="T1306">
        <v>0</v>
      </c>
      <c r="U1306">
        <v>26998</v>
      </c>
      <c r="V1306">
        <v>3983.9727246299999</v>
      </c>
      <c r="AH1306">
        <f t="shared" si="185"/>
        <v>3469</v>
      </c>
      <c r="AI1306">
        <f t="shared" si="186"/>
        <v>4803</v>
      </c>
      <c r="AJ1306" t="str">
        <f t="shared" si="187"/>
        <v/>
      </c>
      <c r="AK1306">
        <f t="shared" si="188"/>
        <v>5137</v>
      </c>
      <c r="AL1306">
        <f t="shared" si="181"/>
        <v>4449</v>
      </c>
      <c r="AM1306">
        <f t="shared" si="182"/>
        <v>3367</v>
      </c>
      <c r="AN1306">
        <f t="shared" si="183"/>
        <v>1884</v>
      </c>
      <c r="AO1306" t="str">
        <f t="shared" si="184"/>
        <v/>
      </c>
    </row>
    <row r="1307" spans="1:41">
      <c r="A1307">
        <f t="shared" si="189"/>
        <v>1303</v>
      </c>
      <c r="B1307" t="s">
        <v>270</v>
      </c>
      <c r="C1307">
        <v>5</v>
      </c>
      <c r="D1307">
        <v>5</v>
      </c>
      <c r="E1307" t="s">
        <v>387</v>
      </c>
      <c r="F1307">
        <v>412</v>
      </c>
      <c r="G1307">
        <v>1</v>
      </c>
      <c r="H1307">
        <v>82</v>
      </c>
      <c r="I1307" t="s">
        <v>386</v>
      </c>
      <c r="J1307" t="s">
        <v>386</v>
      </c>
      <c r="K1307">
        <v>1000000</v>
      </c>
      <c r="L1307">
        <v>3494</v>
      </c>
      <c r="M1307">
        <v>3494</v>
      </c>
      <c r="N1307">
        <v>4836</v>
      </c>
      <c r="O1307">
        <v>0</v>
      </c>
      <c r="P1307">
        <v>5181</v>
      </c>
      <c r="Q1307">
        <v>4447</v>
      </c>
      <c r="R1307">
        <v>3337</v>
      </c>
      <c r="S1307">
        <v>1854</v>
      </c>
      <c r="T1307">
        <v>0</v>
      </c>
      <c r="U1307">
        <v>27151</v>
      </c>
      <c r="V1307">
        <v>3988.7349205800001</v>
      </c>
      <c r="AH1307">
        <f t="shared" si="185"/>
        <v>3494</v>
      </c>
      <c r="AI1307">
        <f t="shared" si="186"/>
        <v>4836</v>
      </c>
      <c r="AJ1307" t="str">
        <f t="shared" si="187"/>
        <v/>
      </c>
      <c r="AK1307">
        <f t="shared" si="188"/>
        <v>5181</v>
      </c>
      <c r="AL1307">
        <f t="shared" si="181"/>
        <v>4447</v>
      </c>
      <c r="AM1307">
        <f t="shared" si="182"/>
        <v>3337</v>
      </c>
      <c r="AN1307">
        <f t="shared" si="183"/>
        <v>1854</v>
      </c>
      <c r="AO1307" t="str">
        <f t="shared" si="184"/>
        <v/>
      </c>
    </row>
    <row r="1308" spans="1:41">
      <c r="A1308">
        <f t="shared" si="189"/>
        <v>1304</v>
      </c>
      <c r="B1308" t="s">
        <v>270</v>
      </c>
      <c r="C1308">
        <v>5</v>
      </c>
      <c r="D1308">
        <v>5</v>
      </c>
      <c r="E1308" t="s">
        <v>387</v>
      </c>
      <c r="F1308">
        <v>412</v>
      </c>
      <c r="G1308">
        <v>1</v>
      </c>
      <c r="H1308">
        <v>83</v>
      </c>
      <c r="I1308" t="s">
        <v>386</v>
      </c>
      <c r="J1308" t="s">
        <v>386</v>
      </c>
      <c r="K1308">
        <v>1000000</v>
      </c>
      <c r="L1308">
        <v>3516</v>
      </c>
      <c r="M1308">
        <v>3516</v>
      </c>
      <c r="N1308">
        <v>4867</v>
      </c>
      <c r="O1308">
        <v>0</v>
      </c>
      <c r="P1308">
        <v>5203</v>
      </c>
      <c r="Q1308">
        <v>4422</v>
      </c>
      <c r="R1308">
        <v>3291</v>
      </c>
      <c r="S1308">
        <v>1815</v>
      </c>
      <c r="T1308">
        <v>0</v>
      </c>
      <c r="U1308">
        <v>27294</v>
      </c>
      <c r="V1308">
        <v>3994.33317511</v>
      </c>
      <c r="AH1308">
        <f t="shared" si="185"/>
        <v>3516</v>
      </c>
      <c r="AI1308">
        <f t="shared" si="186"/>
        <v>4867</v>
      </c>
      <c r="AJ1308" t="str">
        <f t="shared" si="187"/>
        <v/>
      </c>
      <c r="AK1308">
        <f t="shared" si="188"/>
        <v>5203</v>
      </c>
      <c r="AL1308">
        <f t="shared" si="181"/>
        <v>4422</v>
      </c>
      <c r="AM1308">
        <f t="shared" si="182"/>
        <v>3291</v>
      </c>
      <c r="AN1308">
        <f t="shared" si="183"/>
        <v>1815</v>
      </c>
      <c r="AO1308" t="str">
        <f t="shared" si="184"/>
        <v/>
      </c>
    </row>
    <row r="1309" spans="1:41">
      <c r="A1309">
        <f t="shared" si="189"/>
        <v>1305</v>
      </c>
      <c r="B1309" t="s">
        <v>270</v>
      </c>
      <c r="C1309">
        <v>5</v>
      </c>
      <c r="D1309">
        <v>5</v>
      </c>
      <c r="E1309" t="s">
        <v>387</v>
      </c>
      <c r="F1309">
        <v>412</v>
      </c>
      <c r="G1309">
        <v>1</v>
      </c>
      <c r="H1309">
        <v>84</v>
      </c>
      <c r="I1309" t="s">
        <v>386</v>
      </c>
      <c r="J1309" t="s">
        <v>386</v>
      </c>
      <c r="K1309">
        <v>1000000</v>
      </c>
      <c r="L1309">
        <v>3537</v>
      </c>
      <c r="M1309">
        <v>3537</v>
      </c>
      <c r="N1309">
        <v>4895</v>
      </c>
      <c r="O1309">
        <v>0</v>
      </c>
      <c r="P1309">
        <v>5207</v>
      </c>
      <c r="Q1309">
        <v>4381</v>
      </c>
      <c r="R1309">
        <v>3231</v>
      </c>
      <c r="S1309">
        <v>1766</v>
      </c>
      <c r="T1309">
        <v>0</v>
      </c>
      <c r="U1309">
        <v>27422</v>
      </c>
      <c r="V1309">
        <v>4000.3756602499998</v>
      </c>
      <c r="AH1309">
        <f t="shared" si="185"/>
        <v>3537</v>
      </c>
      <c r="AI1309">
        <f t="shared" si="186"/>
        <v>4895</v>
      </c>
      <c r="AJ1309" t="str">
        <f t="shared" si="187"/>
        <v/>
      </c>
      <c r="AK1309">
        <f t="shared" si="188"/>
        <v>5207</v>
      </c>
      <c r="AL1309">
        <f t="shared" si="181"/>
        <v>4381</v>
      </c>
      <c r="AM1309">
        <f t="shared" si="182"/>
        <v>3231</v>
      </c>
      <c r="AN1309">
        <f t="shared" si="183"/>
        <v>1766</v>
      </c>
      <c r="AO1309" t="str">
        <f t="shared" si="184"/>
        <v/>
      </c>
    </row>
    <row r="1310" spans="1:41">
      <c r="A1310">
        <f t="shared" si="189"/>
        <v>1306</v>
      </c>
      <c r="B1310" t="s">
        <v>270</v>
      </c>
      <c r="C1310">
        <v>5</v>
      </c>
      <c r="D1310">
        <v>5</v>
      </c>
      <c r="E1310" t="s">
        <v>387</v>
      </c>
      <c r="F1310">
        <v>412</v>
      </c>
      <c r="G1310">
        <v>1</v>
      </c>
      <c r="H1310">
        <v>85</v>
      </c>
      <c r="I1310" t="s">
        <v>386</v>
      </c>
      <c r="J1310" t="s">
        <v>386</v>
      </c>
      <c r="K1310">
        <v>1000000</v>
      </c>
      <c r="L1310">
        <v>3554</v>
      </c>
      <c r="M1310">
        <v>3554</v>
      </c>
      <c r="N1310">
        <v>4919</v>
      </c>
      <c r="O1310">
        <v>0</v>
      </c>
      <c r="P1310">
        <v>5203</v>
      </c>
      <c r="Q1310">
        <v>4331</v>
      </c>
      <c r="R1310">
        <v>3164</v>
      </c>
      <c r="S1310">
        <v>1717</v>
      </c>
      <c r="T1310">
        <v>0</v>
      </c>
      <c r="U1310">
        <v>27535</v>
      </c>
      <c r="V1310">
        <v>4007.2862278399998</v>
      </c>
      <c r="AH1310">
        <f t="shared" si="185"/>
        <v>3554</v>
      </c>
      <c r="AI1310">
        <f t="shared" si="186"/>
        <v>4919</v>
      </c>
      <c r="AJ1310" t="str">
        <f t="shared" si="187"/>
        <v/>
      </c>
      <c r="AK1310">
        <f t="shared" si="188"/>
        <v>5203</v>
      </c>
      <c r="AL1310">
        <f t="shared" si="181"/>
        <v>4331</v>
      </c>
      <c r="AM1310">
        <f t="shared" si="182"/>
        <v>3164</v>
      </c>
      <c r="AN1310">
        <f t="shared" si="183"/>
        <v>1717</v>
      </c>
      <c r="AO1310" t="str">
        <f t="shared" si="184"/>
        <v/>
      </c>
    </row>
    <row r="1311" spans="1:41">
      <c r="A1311">
        <f t="shared" si="189"/>
        <v>1307</v>
      </c>
      <c r="B1311" t="s">
        <v>270</v>
      </c>
      <c r="C1311">
        <v>5</v>
      </c>
      <c r="D1311">
        <v>5</v>
      </c>
      <c r="E1311" t="s">
        <v>387</v>
      </c>
      <c r="F1311">
        <v>412</v>
      </c>
      <c r="G1311">
        <v>1</v>
      </c>
      <c r="H1311">
        <v>86</v>
      </c>
      <c r="I1311" t="s">
        <v>386</v>
      </c>
      <c r="J1311" t="s">
        <v>386</v>
      </c>
      <c r="K1311">
        <v>1000000</v>
      </c>
      <c r="L1311">
        <v>3570</v>
      </c>
      <c r="M1311">
        <v>3570</v>
      </c>
      <c r="N1311">
        <v>4941</v>
      </c>
      <c r="O1311">
        <v>0</v>
      </c>
      <c r="P1311">
        <v>5194</v>
      </c>
      <c r="Q1311">
        <v>4278</v>
      </c>
      <c r="R1311">
        <v>3100</v>
      </c>
      <c r="S1311">
        <v>1673</v>
      </c>
      <c r="T1311">
        <v>0</v>
      </c>
      <c r="U1311">
        <v>27633</v>
      </c>
      <c r="V1311">
        <v>4015.0323050299999</v>
      </c>
      <c r="AH1311">
        <f t="shared" si="185"/>
        <v>3570</v>
      </c>
      <c r="AI1311">
        <f t="shared" si="186"/>
        <v>4941</v>
      </c>
      <c r="AJ1311" t="str">
        <f t="shared" si="187"/>
        <v/>
      </c>
      <c r="AK1311">
        <f t="shared" si="188"/>
        <v>5194</v>
      </c>
      <c r="AL1311">
        <f t="shared" si="181"/>
        <v>4278</v>
      </c>
      <c r="AM1311">
        <f t="shared" si="182"/>
        <v>3100</v>
      </c>
      <c r="AN1311">
        <f t="shared" si="183"/>
        <v>1673</v>
      </c>
      <c r="AO1311" t="str">
        <f t="shared" si="184"/>
        <v/>
      </c>
    </row>
    <row r="1312" spans="1:41">
      <c r="A1312">
        <f t="shared" si="189"/>
        <v>1308</v>
      </c>
      <c r="B1312" t="s">
        <v>270</v>
      </c>
      <c r="C1312">
        <v>5</v>
      </c>
      <c r="D1312">
        <v>5</v>
      </c>
      <c r="E1312" t="s">
        <v>387</v>
      </c>
      <c r="F1312">
        <v>412</v>
      </c>
      <c r="G1312">
        <v>1</v>
      </c>
      <c r="H1312">
        <v>87</v>
      </c>
      <c r="I1312" t="s">
        <v>386</v>
      </c>
      <c r="J1312" t="s">
        <v>386</v>
      </c>
      <c r="K1312">
        <v>1000000</v>
      </c>
      <c r="L1312">
        <v>3583</v>
      </c>
      <c r="M1312">
        <v>3583</v>
      </c>
      <c r="N1312">
        <v>4959</v>
      </c>
      <c r="O1312">
        <v>0</v>
      </c>
      <c r="P1312">
        <v>5182</v>
      </c>
      <c r="Q1312">
        <v>4233</v>
      </c>
      <c r="R1312">
        <v>3050</v>
      </c>
      <c r="S1312">
        <v>1639</v>
      </c>
      <c r="T1312">
        <v>0</v>
      </c>
      <c r="U1312">
        <v>27717</v>
      </c>
      <c r="V1312">
        <v>4024.5145467399998</v>
      </c>
      <c r="AH1312">
        <f t="shared" si="185"/>
        <v>3583</v>
      </c>
      <c r="AI1312">
        <f t="shared" si="186"/>
        <v>4959</v>
      </c>
      <c r="AJ1312" t="str">
        <f t="shared" si="187"/>
        <v/>
      </c>
      <c r="AK1312">
        <f t="shared" si="188"/>
        <v>5182</v>
      </c>
      <c r="AL1312">
        <f t="shared" si="181"/>
        <v>4233</v>
      </c>
      <c r="AM1312">
        <f t="shared" si="182"/>
        <v>3050</v>
      </c>
      <c r="AN1312">
        <f t="shared" si="183"/>
        <v>1639</v>
      </c>
      <c r="AO1312" t="str">
        <f t="shared" si="184"/>
        <v/>
      </c>
    </row>
    <row r="1313" spans="1:41">
      <c r="A1313">
        <f t="shared" si="189"/>
        <v>1309</v>
      </c>
      <c r="B1313" t="s">
        <v>270</v>
      </c>
      <c r="C1313">
        <v>5</v>
      </c>
      <c r="D1313">
        <v>5</v>
      </c>
      <c r="E1313" t="s">
        <v>387</v>
      </c>
      <c r="F1313">
        <v>412</v>
      </c>
      <c r="G1313">
        <v>1</v>
      </c>
      <c r="H1313">
        <v>88</v>
      </c>
      <c r="I1313" t="s">
        <v>386</v>
      </c>
      <c r="J1313" t="s">
        <v>386</v>
      </c>
      <c r="K1313">
        <v>1000000</v>
      </c>
      <c r="L1313">
        <v>3595</v>
      </c>
      <c r="M1313">
        <v>3595</v>
      </c>
      <c r="N1313">
        <v>4975</v>
      </c>
      <c r="O1313">
        <v>0</v>
      </c>
      <c r="P1313">
        <v>5176</v>
      </c>
      <c r="Q1313">
        <v>4200</v>
      </c>
      <c r="R1313">
        <v>3012</v>
      </c>
      <c r="S1313">
        <v>1611</v>
      </c>
      <c r="T1313">
        <v>0</v>
      </c>
      <c r="U1313">
        <v>27789</v>
      </c>
      <c r="V1313">
        <v>4034.8423386300001</v>
      </c>
      <c r="AH1313">
        <f t="shared" si="185"/>
        <v>3595</v>
      </c>
      <c r="AI1313">
        <f t="shared" si="186"/>
        <v>4975</v>
      </c>
      <c r="AJ1313" t="str">
        <f t="shared" si="187"/>
        <v/>
      </c>
      <c r="AK1313">
        <f t="shared" si="188"/>
        <v>5176</v>
      </c>
      <c r="AL1313">
        <f t="shared" si="181"/>
        <v>4200</v>
      </c>
      <c r="AM1313">
        <f t="shared" si="182"/>
        <v>3012</v>
      </c>
      <c r="AN1313">
        <f t="shared" si="183"/>
        <v>1611</v>
      </c>
      <c r="AO1313" t="str">
        <f t="shared" si="184"/>
        <v/>
      </c>
    </row>
    <row r="1314" spans="1:41">
      <c r="A1314">
        <f t="shared" si="189"/>
        <v>1310</v>
      </c>
      <c r="B1314" t="s">
        <v>270</v>
      </c>
      <c r="C1314">
        <v>5</v>
      </c>
      <c r="D1314">
        <v>5</v>
      </c>
      <c r="E1314" t="s">
        <v>387</v>
      </c>
      <c r="F1314">
        <v>412</v>
      </c>
      <c r="G1314">
        <v>1</v>
      </c>
      <c r="H1314">
        <v>89</v>
      </c>
      <c r="I1314" t="s">
        <v>386</v>
      </c>
      <c r="J1314" t="s">
        <v>386</v>
      </c>
      <c r="K1314">
        <v>1000000</v>
      </c>
      <c r="L1314">
        <v>3605</v>
      </c>
      <c r="M1314">
        <v>3605</v>
      </c>
      <c r="N1314">
        <v>4988</v>
      </c>
      <c r="O1314">
        <v>0</v>
      </c>
      <c r="P1314">
        <v>5172</v>
      </c>
      <c r="Q1314">
        <v>4173</v>
      </c>
      <c r="R1314">
        <v>2976</v>
      </c>
      <c r="S1314">
        <v>1584</v>
      </c>
      <c r="T1314">
        <v>0</v>
      </c>
      <c r="U1314">
        <v>27851</v>
      </c>
      <c r="V1314">
        <v>4046.9165971900002</v>
      </c>
      <c r="AH1314">
        <f t="shared" si="185"/>
        <v>3605</v>
      </c>
      <c r="AI1314">
        <f t="shared" si="186"/>
        <v>4988</v>
      </c>
      <c r="AJ1314" t="str">
        <f t="shared" si="187"/>
        <v/>
      </c>
      <c r="AK1314">
        <f t="shared" si="188"/>
        <v>5172</v>
      </c>
      <c r="AL1314">
        <f t="shared" si="181"/>
        <v>4173</v>
      </c>
      <c r="AM1314">
        <f t="shared" si="182"/>
        <v>2976</v>
      </c>
      <c r="AN1314">
        <f t="shared" si="183"/>
        <v>1584</v>
      </c>
      <c r="AO1314" t="str">
        <f t="shared" si="184"/>
        <v/>
      </c>
    </row>
    <row r="1315" spans="1:41">
      <c r="A1315">
        <f t="shared" si="189"/>
        <v>1311</v>
      </c>
      <c r="B1315" t="s">
        <v>270</v>
      </c>
      <c r="C1315">
        <v>5</v>
      </c>
      <c r="D1315">
        <v>5</v>
      </c>
      <c r="E1315" t="s">
        <v>387</v>
      </c>
      <c r="F1315">
        <v>412</v>
      </c>
      <c r="G1315">
        <v>1</v>
      </c>
      <c r="H1315">
        <v>90</v>
      </c>
      <c r="I1315" t="s">
        <v>386</v>
      </c>
      <c r="J1315" t="s">
        <v>386</v>
      </c>
      <c r="K1315">
        <v>1000000</v>
      </c>
      <c r="L1315">
        <v>3613</v>
      </c>
      <c r="M1315">
        <v>3613</v>
      </c>
      <c r="N1315">
        <v>5000</v>
      </c>
      <c r="O1315">
        <v>0</v>
      </c>
      <c r="P1315">
        <v>5169</v>
      </c>
      <c r="Q1315">
        <v>4148</v>
      </c>
      <c r="R1315">
        <v>2944</v>
      </c>
      <c r="S1315">
        <v>1562</v>
      </c>
      <c r="T1315">
        <v>0</v>
      </c>
      <c r="U1315">
        <v>27904</v>
      </c>
      <c r="V1315">
        <v>4060.31401405</v>
      </c>
      <c r="AH1315">
        <f t="shared" si="185"/>
        <v>3613</v>
      </c>
      <c r="AI1315">
        <f t="shared" si="186"/>
        <v>5000</v>
      </c>
      <c r="AJ1315" t="str">
        <f t="shared" si="187"/>
        <v/>
      </c>
      <c r="AK1315">
        <f t="shared" si="188"/>
        <v>5169</v>
      </c>
      <c r="AL1315">
        <f t="shared" si="181"/>
        <v>4148</v>
      </c>
      <c r="AM1315">
        <f t="shared" si="182"/>
        <v>2944</v>
      </c>
      <c r="AN1315">
        <f t="shared" si="183"/>
        <v>1562</v>
      </c>
      <c r="AO1315" t="str">
        <f t="shared" si="184"/>
        <v/>
      </c>
    </row>
    <row r="1316" spans="1:41">
      <c r="A1316">
        <f t="shared" si="189"/>
        <v>1312</v>
      </c>
      <c r="B1316" t="s">
        <v>270</v>
      </c>
      <c r="C1316">
        <v>5</v>
      </c>
      <c r="D1316">
        <v>5</v>
      </c>
      <c r="E1316" t="s">
        <v>387</v>
      </c>
      <c r="F1316">
        <v>412</v>
      </c>
      <c r="G1316">
        <v>1</v>
      </c>
      <c r="H1316">
        <v>91</v>
      </c>
      <c r="I1316" t="s">
        <v>386</v>
      </c>
      <c r="J1316" t="s">
        <v>386</v>
      </c>
      <c r="K1316">
        <v>1000000</v>
      </c>
      <c r="L1316">
        <v>3620</v>
      </c>
      <c r="M1316">
        <v>3620</v>
      </c>
      <c r="N1316">
        <v>5010</v>
      </c>
      <c r="O1316">
        <v>0</v>
      </c>
      <c r="P1316">
        <v>5165</v>
      </c>
      <c r="Q1316">
        <v>4124</v>
      </c>
      <c r="R1316">
        <v>2918</v>
      </c>
      <c r="S1316">
        <v>1545</v>
      </c>
      <c r="T1316">
        <v>0</v>
      </c>
      <c r="U1316">
        <v>27951</v>
      </c>
      <c r="V1316">
        <v>4074.60069097</v>
      </c>
      <c r="AH1316">
        <f t="shared" si="185"/>
        <v>3620</v>
      </c>
      <c r="AI1316">
        <f t="shared" si="186"/>
        <v>5010</v>
      </c>
      <c r="AJ1316" t="str">
        <f t="shared" si="187"/>
        <v/>
      </c>
      <c r="AK1316">
        <f t="shared" si="188"/>
        <v>5165</v>
      </c>
      <c r="AL1316">
        <f t="shared" si="181"/>
        <v>4124</v>
      </c>
      <c r="AM1316">
        <f t="shared" si="182"/>
        <v>2918</v>
      </c>
      <c r="AN1316">
        <f t="shared" si="183"/>
        <v>1545</v>
      </c>
      <c r="AO1316" t="str">
        <f t="shared" si="184"/>
        <v/>
      </c>
    </row>
    <row r="1317" spans="1:41">
      <c r="A1317">
        <f t="shared" si="189"/>
        <v>1313</v>
      </c>
      <c r="B1317" t="s">
        <v>270</v>
      </c>
      <c r="C1317">
        <v>5</v>
      </c>
      <c r="D1317">
        <v>5</v>
      </c>
      <c r="E1317" t="s">
        <v>387</v>
      </c>
      <c r="F1317">
        <v>412</v>
      </c>
      <c r="G1317">
        <v>1</v>
      </c>
      <c r="H1317">
        <v>92</v>
      </c>
      <c r="I1317" t="s">
        <v>386</v>
      </c>
      <c r="J1317" t="s">
        <v>386</v>
      </c>
      <c r="K1317">
        <v>1000000</v>
      </c>
      <c r="L1317">
        <v>3626</v>
      </c>
      <c r="M1317">
        <v>3626</v>
      </c>
      <c r="N1317">
        <v>5018</v>
      </c>
      <c r="O1317">
        <v>0</v>
      </c>
      <c r="P1317">
        <v>5157</v>
      </c>
      <c r="Q1317">
        <v>4100</v>
      </c>
      <c r="R1317">
        <v>2886</v>
      </c>
      <c r="S1317">
        <v>1512</v>
      </c>
      <c r="T1317">
        <v>0</v>
      </c>
      <c r="U1317">
        <v>27989</v>
      </c>
      <c r="V1317">
        <v>4089.3318605999998</v>
      </c>
      <c r="AH1317">
        <f t="shared" si="185"/>
        <v>3626</v>
      </c>
      <c r="AI1317">
        <f t="shared" si="186"/>
        <v>5018</v>
      </c>
      <c r="AJ1317" t="str">
        <f t="shared" si="187"/>
        <v/>
      </c>
      <c r="AK1317">
        <f t="shared" si="188"/>
        <v>5157</v>
      </c>
      <c r="AL1317">
        <f t="shared" si="181"/>
        <v>4100</v>
      </c>
      <c r="AM1317">
        <f t="shared" si="182"/>
        <v>2886</v>
      </c>
      <c r="AN1317">
        <f t="shared" si="183"/>
        <v>1512</v>
      </c>
      <c r="AO1317" t="str">
        <f t="shared" si="184"/>
        <v/>
      </c>
    </row>
    <row r="1318" spans="1:41">
      <c r="A1318">
        <f t="shared" si="189"/>
        <v>1314</v>
      </c>
      <c r="B1318" t="s">
        <v>270</v>
      </c>
      <c r="C1318">
        <v>5</v>
      </c>
      <c r="D1318">
        <v>5</v>
      </c>
      <c r="E1318" t="s">
        <v>387</v>
      </c>
      <c r="F1318">
        <v>412</v>
      </c>
      <c r="G1318">
        <v>1</v>
      </c>
      <c r="H1318">
        <v>93</v>
      </c>
      <c r="I1318" t="s">
        <v>386</v>
      </c>
      <c r="J1318" t="s">
        <v>386</v>
      </c>
      <c r="K1318">
        <v>1000000</v>
      </c>
      <c r="L1318">
        <v>3631</v>
      </c>
      <c r="M1318">
        <v>3631</v>
      </c>
      <c r="N1318">
        <v>5024</v>
      </c>
      <c r="O1318">
        <v>0</v>
      </c>
      <c r="P1318">
        <v>5139</v>
      </c>
      <c r="Q1318">
        <v>4050</v>
      </c>
      <c r="R1318">
        <v>2811</v>
      </c>
      <c r="S1318">
        <v>1442</v>
      </c>
      <c r="T1318">
        <v>0</v>
      </c>
      <c r="U1318">
        <v>28015</v>
      </c>
      <c r="V1318">
        <v>4104.5186728299996</v>
      </c>
      <c r="AH1318">
        <f t="shared" si="185"/>
        <v>3631</v>
      </c>
      <c r="AI1318">
        <f t="shared" si="186"/>
        <v>5024</v>
      </c>
      <c r="AJ1318" t="str">
        <f t="shared" si="187"/>
        <v/>
      </c>
      <c r="AK1318">
        <f t="shared" si="188"/>
        <v>5139</v>
      </c>
      <c r="AL1318">
        <f t="shared" si="181"/>
        <v>4050</v>
      </c>
      <c r="AM1318">
        <f t="shared" si="182"/>
        <v>2811</v>
      </c>
      <c r="AN1318">
        <f t="shared" si="183"/>
        <v>1442</v>
      </c>
      <c r="AO1318" t="str">
        <f t="shared" si="184"/>
        <v/>
      </c>
    </row>
    <row r="1319" spans="1:41">
      <c r="A1319">
        <f t="shared" si="189"/>
        <v>1315</v>
      </c>
      <c r="B1319" t="s">
        <v>270</v>
      </c>
      <c r="C1319">
        <v>5</v>
      </c>
      <c r="D1319">
        <v>5</v>
      </c>
      <c r="E1319" t="s">
        <v>387</v>
      </c>
      <c r="F1319">
        <v>412</v>
      </c>
      <c r="G1319">
        <v>1</v>
      </c>
      <c r="H1319">
        <v>94</v>
      </c>
      <c r="I1319" t="s">
        <v>386</v>
      </c>
      <c r="J1319" t="s">
        <v>386</v>
      </c>
      <c r="K1319">
        <v>1000000</v>
      </c>
      <c r="L1319">
        <v>3632</v>
      </c>
      <c r="M1319">
        <v>3632</v>
      </c>
      <c r="N1319">
        <v>5026</v>
      </c>
      <c r="O1319">
        <v>0</v>
      </c>
      <c r="P1319">
        <v>5093</v>
      </c>
      <c r="Q1319">
        <v>3945</v>
      </c>
      <c r="R1319">
        <v>2675</v>
      </c>
      <c r="S1319">
        <v>1338</v>
      </c>
      <c r="T1319">
        <v>0</v>
      </c>
      <c r="U1319">
        <v>28023</v>
      </c>
      <c r="V1319">
        <v>4121.3562407299996</v>
      </c>
      <c r="AH1319">
        <f t="shared" si="185"/>
        <v>3632</v>
      </c>
      <c r="AI1319">
        <f t="shared" si="186"/>
        <v>5026</v>
      </c>
      <c r="AJ1319" t="str">
        <f t="shared" si="187"/>
        <v/>
      </c>
      <c r="AK1319">
        <f t="shared" si="188"/>
        <v>5093</v>
      </c>
      <c r="AL1319">
        <f t="shared" si="181"/>
        <v>3945</v>
      </c>
      <c r="AM1319">
        <f t="shared" si="182"/>
        <v>2675</v>
      </c>
      <c r="AN1319">
        <f t="shared" si="183"/>
        <v>1338</v>
      </c>
      <c r="AO1319" t="str">
        <f t="shared" si="184"/>
        <v/>
      </c>
    </row>
    <row r="1320" spans="1:41">
      <c r="A1320">
        <f t="shared" si="189"/>
        <v>1316</v>
      </c>
      <c r="B1320" t="s">
        <v>270</v>
      </c>
      <c r="C1320">
        <v>5</v>
      </c>
      <c r="D1320">
        <v>5</v>
      </c>
      <c r="E1320" t="s">
        <v>387</v>
      </c>
      <c r="F1320">
        <v>412</v>
      </c>
      <c r="G1320">
        <v>1</v>
      </c>
      <c r="H1320">
        <v>95</v>
      </c>
      <c r="I1320" t="s">
        <v>386</v>
      </c>
      <c r="J1320" t="s">
        <v>386</v>
      </c>
      <c r="K1320">
        <v>1000000</v>
      </c>
      <c r="L1320">
        <v>3630</v>
      </c>
      <c r="M1320">
        <v>3630</v>
      </c>
      <c r="N1320">
        <v>5023</v>
      </c>
      <c r="O1320">
        <v>0</v>
      </c>
      <c r="P1320">
        <v>5013</v>
      </c>
      <c r="Q1320">
        <v>3795</v>
      </c>
      <c r="R1320">
        <v>2514</v>
      </c>
      <c r="S1320">
        <v>1237</v>
      </c>
      <c r="T1320">
        <v>0</v>
      </c>
      <c r="U1320">
        <v>28011</v>
      </c>
      <c r="V1320">
        <v>4141.9492924300002</v>
      </c>
      <c r="AH1320">
        <f t="shared" si="185"/>
        <v>3630</v>
      </c>
      <c r="AI1320">
        <f t="shared" si="186"/>
        <v>5023</v>
      </c>
      <c r="AJ1320" t="str">
        <f t="shared" si="187"/>
        <v/>
      </c>
      <c r="AK1320">
        <f t="shared" si="188"/>
        <v>5013</v>
      </c>
      <c r="AL1320">
        <f t="shared" si="181"/>
        <v>3795</v>
      </c>
      <c r="AM1320">
        <f t="shared" si="182"/>
        <v>2514</v>
      </c>
      <c r="AN1320">
        <f t="shared" si="183"/>
        <v>1237</v>
      </c>
      <c r="AO1320" t="str">
        <f t="shared" si="184"/>
        <v/>
      </c>
    </row>
    <row r="1321" spans="1:41">
      <c r="A1321">
        <f t="shared" si="189"/>
        <v>1317</v>
      </c>
      <c r="B1321" t="s">
        <v>270</v>
      </c>
      <c r="C1321">
        <v>4</v>
      </c>
      <c r="D1321">
        <v>4</v>
      </c>
      <c r="E1321" t="s">
        <v>387</v>
      </c>
      <c r="F1321">
        <v>412</v>
      </c>
      <c r="G1321">
        <v>1</v>
      </c>
      <c r="H1321">
        <v>96</v>
      </c>
      <c r="I1321" t="s">
        <v>386</v>
      </c>
      <c r="J1321" t="s">
        <v>386</v>
      </c>
      <c r="K1321">
        <v>1000000</v>
      </c>
      <c r="L1321">
        <v>3603</v>
      </c>
      <c r="M1321">
        <v>3603</v>
      </c>
      <c r="N1321">
        <v>5150</v>
      </c>
      <c r="O1321">
        <v>0</v>
      </c>
      <c r="P1321">
        <v>4658</v>
      </c>
      <c r="Q1321">
        <v>3110</v>
      </c>
      <c r="R1321">
        <v>1545</v>
      </c>
      <c r="S1321">
        <v>0</v>
      </c>
      <c r="T1321" t="s">
        <v>386</v>
      </c>
      <c r="U1321">
        <v>28587</v>
      </c>
      <c r="V1321">
        <v>4167.2171978300003</v>
      </c>
      <c r="AH1321">
        <f t="shared" si="185"/>
        <v>3603</v>
      </c>
      <c r="AI1321">
        <f t="shared" si="186"/>
        <v>5150</v>
      </c>
      <c r="AJ1321" t="str">
        <f t="shared" si="187"/>
        <v/>
      </c>
      <c r="AK1321">
        <f t="shared" si="188"/>
        <v>4658</v>
      </c>
      <c r="AL1321">
        <f t="shared" si="181"/>
        <v>3110</v>
      </c>
      <c r="AM1321">
        <f t="shared" si="182"/>
        <v>1545</v>
      </c>
      <c r="AN1321" t="str">
        <f t="shared" si="183"/>
        <v/>
      </c>
      <c r="AO1321" t="e">
        <f t="shared" si="184"/>
        <v>#VALUE!</v>
      </c>
    </row>
    <row r="1322" spans="1:41">
      <c r="A1322">
        <f t="shared" si="189"/>
        <v>1318</v>
      </c>
      <c r="B1322" t="s">
        <v>270</v>
      </c>
      <c r="C1322">
        <v>3</v>
      </c>
      <c r="D1322">
        <v>3</v>
      </c>
      <c r="E1322" t="s">
        <v>387</v>
      </c>
      <c r="F1322">
        <v>412</v>
      </c>
      <c r="G1322">
        <v>1</v>
      </c>
      <c r="H1322">
        <v>97</v>
      </c>
      <c r="I1322" t="s">
        <v>386</v>
      </c>
      <c r="J1322" t="s">
        <v>386</v>
      </c>
      <c r="K1322">
        <v>1000000</v>
      </c>
      <c r="L1322">
        <v>3556</v>
      </c>
      <c r="M1322">
        <v>3556</v>
      </c>
      <c r="N1322">
        <v>5377</v>
      </c>
      <c r="O1322">
        <v>0</v>
      </c>
      <c r="P1322">
        <v>4132</v>
      </c>
      <c r="Q1322">
        <v>2074</v>
      </c>
      <c r="R1322">
        <v>0</v>
      </c>
      <c r="S1322" t="s">
        <v>386</v>
      </c>
      <c r="T1322" t="s">
        <v>386</v>
      </c>
      <c r="U1322">
        <v>29616</v>
      </c>
      <c r="V1322">
        <v>4196.4517828999997</v>
      </c>
      <c r="AH1322">
        <f t="shared" si="185"/>
        <v>3556</v>
      </c>
      <c r="AI1322">
        <f t="shared" si="186"/>
        <v>5377</v>
      </c>
      <c r="AJ1322" t="str">
        <f t="shared" si="187"/>
        <v/>
      </c>
      <c r="AK1322">
        <f t="shared" si="188"/>
        <v>4132</v>
      </c>
      <c r="AL1322">
        <f t="shared" si="181"/>
        <v>2074</v>
      </c>
      <c r="AM1322" t="str">
        <f t="shared" si="182"/>
        <v/>
      </c>
      <c r="AN1322" t="e">
        <f t="shared" si="183"/>
        <v>#VALUE!</v>
      </c>
      <c r="AO1322" t="e">
        <f t="shared" si="184"/>
        <v>#VALUE!</v>
      </c>
    </row>
    <row r="1323" spans="1:41">
      <c r="A1323">
        <f t="shared" si="189"/>
        <v>1319</v>
      </c>
      <c r="B1323" t="s">
        <v>270</v>
      </c>
      <c r="C1323">
        <v>2</v>
      </c>
      <c r="D1323">
        <v>2</v>
      </c>
      <c r="E1323" t="s">
        <v>387</v>
      </c>
      <c r="F1323">
        <v>412</v>
      </c>
      <c r="G1323">
        <v>1</v>
      </c>
      <c r="H1323">
        <v>98</v>
      </c>
      <c r="I1323" t="s">
        <v>386</v>
      </c>
      <c r="J1323" t="s">
        <v>386</v>
      </c>
      <c r="K1323">
        <v>1000000</v>
      </c>
      <c r="L1323">
        <v>3465</v>
      </c>
      <c r="M1323">
        <v>3465</v>
      </c>
      <c r="N1323">
        <v>5716</v>
      </c>
      <c r="O1323">
        <v>0</v>
      </c>
      <c r="P1323">
        <v>3121</v>
      </c>
      <c r="Q1323">
        <v>0</v>
      </c>
      <c r="R1323" t="s">
        <v>386</v>
      </c>
      <c r="S1323" t="s">
        <v>386</v>
      </c>
      <c r="T1323" t="s">
        <v>386</v>
      </c>
      <c r="U1323">
        <v>28580</v>
      </c>
      <c r="V1323">
        <v>4227.6894874099999</v>
      </c>
      <c r="AH1323">
        <f t="shared" si="185"/>
        <v>3465</v>
      </c>
      <c r="AI1323">
        <f t="shared" si="186"/>
        <v>5716</v>
      </c>
      <c r="AJ1323" t="str">
        <f t="shared" si="187"/>
        <v/>
      </c>
      <c r="AK1323">
        <f t="shared" si="188"/>
        <v>3121</v>
      </c>
      <c r="AL1323" t="str">
        <f t="shared" si="181"/>
        <v/>
      </c>
      <c r="AM1323" t="e">
        <f t="shared" si="182"/>
        <v>#VALUE!</v>
      </c>
      <c r="AN1323" t="e">
        <f t="shared" si="183"/>
        <v>#VALUE!</v>
      </c>
      <c r="AO1323" t="e">
        <f t="shared" si="184"/>
        <v>#VALUE!</v>
      </c>
    </row>
    <row r="1324" spans="1:41">
      <c r="A1324">
        <f t="shared" si="189"/>
        <v>1320</v>
      </c>
      <c r="B1324" t="s">
        <v>270</v>
      </c>
      <c r="C1324">
        <v>1</v>
      </c>
      <c r="D1324">
        <v>1</v>
      </c>
      <c r="E1324" t="s">
        <v>387</v>
      </c>
      <c r="F1324">
        <v>412</v>
      </c>
      <c r="G1324">
        <v>1</v>
      </c>
      <c r="H1324">
        <v>99</v>
      </c>
      <c r="I1324" t="s">
        <v>386</v>
      </c>
      <c r="J1324" t="s">
        <v>386</v>
      </c>
      <c r="K1324">
        <v>1000000</v>
      </c>
      <c r="L1324">
        <v>3197</v>
      </c>
      <c r="M1324">
        <v>3197</v>
      </c>
      <c r="N1324">
        <v>6578</v>
      </c>
      <c r="O1324">
        <v>0</v>
      </c>
      <c r="P1324">
        <v>0</v>
      </c>
      <c r="Q1324" t="s">
        <v>386</v>
      </c>
      <c r="R1324" t="s">
        <v>386</v>
      </c>
      <c r="S1324" t="s">
        <v>386</v>
      </c>
      <c r="T1324" t="s">
        <v>386</v>
      </c>
      <c r="U1324">
        <v>25821</v>
      </c>
      <c r="V1324">
        <v>4257.8745832599998</v>
      </c>
      <c r="AH1324">
        <f t="shared" si="185"/>
        <v>3197</v>
      </c>
      <c r="AI1324">
        <f t="shared" si="186"/>
        <v>6578</v>
      </c>
      <c r="AJ1324" t="str">
        <f t="shared" si="187"/>
        <v/>
      </c>
      <c r="AK1324" t="str">
        <f t="shared" si="188"/>
        <v/>
      </c>
      <c r="AL1324" t="e">
        <f t="shared" si="181"/>
        <v>#VALUE!</v>
      </c>
      <c r="AM1324" t="e">
        <f t="shared" si="182"/>
        <v>#VALUE!</v>
      </c>
      <c r="AN1324" t="e">
        <f t="shared" si="183"/>
        <v>#VALUE!</v>
      </c>
      <c r="AO1324" t="e">
        <f t="shared" si="184"/>
        <v>#VALUE!</v>
      </c>
    </row>
    <row r="1325" spans="1:41">
      <c r="A1325">
        <f t="shared" si="189"/>
        <v>1321</v>
      </c>
      <c r="B1325" t="s">
        <v>270</v>
      </c>
      <c r="C1325">
        <v>5</v>
      </c>
      <c r="D1325">
        <v>5</v>
      </c>
      <c r="E1325" t="s">
        <v>385</v>
      </c>
      <c r="F1325">
        <v>412</v>
      </c>
      <c r="G1325">
        <v>2</v>
      </c>
      <c r="H1325">
        <v>30</v>
      </c>
      <c r="I1325" t="s">
        <v>386</v>
      </c>
      <c r="J1325" t="s">
        <v>386</v>
      </c>
      <c r="K1325">
        <v>1000000</v>
      </c>
      <c r="L1325">
        <v>99</v>
      </c>
      <c r="M1325">
        <v>99</v>
      </c>
      <c r="N1325">
        <v>238</v>
      </c>
      <c r="O1325">
        <v>0</v>
      </c>
      <c r="P1325">
        <v>423</v>
      </c>
      <c r="Q1325">
        <v>560</v>
      </c>
      <c r="R1325">
        <v>557</v>
      </c>
      <c r="S1325">
        <v>374</v>
      </c>
      <c r="T1325">
        <v>0</v>
      </c>
      <c r="U1325">
        <v>5570</v>
      </c>
      <c r="V1325">
        <v>4283.8198834900004</v>
      </c>
      <c r="AH1325">
        <f t="shared" si="185"/>
        <v>99</v>
      </c>
      <c r="AI1325">
        <f t="shared" si="186"/>
        <v>238</v>
      </c>
      <c r="AJ1325" t="str">
        <f t="shared" si="187"/>
        <v/>
      </c>
      <c r="AK1325">
        <f t="shared" si="188"/>
        <v>423</v>
      </c>
      <c r="AL1325">
        <f t="shared" si="181"/>
        <v>560</v>
      </c>
      <c r="AM1325">
        <f t="shared" si="182"/>
        <v>557</v>
      </c>
      <c r="AN1325">
        <f t="shared" si="183"/>
        <v>374</v>
      </c>
      <c r="AO1325" t="str">
        <f t="shared" si="184"/>
        <v/>
      </c>
    </row>
    <row r="1326" spans="1:41">
      <c r="A1326">
        <f t="shared" si="189"/>
        <v>1322</v>
      </c>
      <c r="B1326" t="s">
        <v>270</v>
      </c>
      <c r="C1326">
        <v>5</v>
      </c>
      <c r="D1326">
        <v>5</v>
      </c>
      <c r="E1326" t="s">
        <v>385</v>
      </c>
      <c r="F1326">
        <v>412</v>
      </c>
      <c r="G1326">
        <v>2</v>
      </c>
      <c r="H1326">
        <v>31</v>
      </c>
      <c r="I1326" t="s">
        <v>386</v>
      </c>
      <c r="J1326" t="s">
        <v>386</v>
      </c>
      <c r="K1326">
        <v>1000000</v>
      </c>
      <c r="L1326">
        <v>112</v>
      </c>
      <c r="M1326">
        <v>112</v>
      </c>
      <c r="N1326">
        <v>255</v>
      </c>
      <c r="O1326">
        <v>0</v>
      </c>
      <c r="P1326">
        <v>494</v>
      </c>
      <c r="Q1326">
        <v>643</v>
      </c>
      <c r="R1326">
        <v>616</v>
      </c>
      <c r="S1326">
        <v>402</v>
      </c>
      <c r="T1326">
        <v>0</v>
      </c>
      <c r="U1326">
        <v>5651</v>
      </c>
      <c r="V1326">
        <v>4305.7222506799999</v>
      </c>
      <c r="AH1326">
        <f t="shared" si="185"/>
        <v>112</v>
      </c>
      <c r="AI1326">
        <f t="shared" si="186"/>
        <v>255</v>
      </c>
      <c r="AJ1326" t="str">
        <f t="shared" si="187"/>
        <v/>
      </c>
      <c r="AK1326">
        <f t="shared" si="188"/>
        <v>494</v>
      </c>
      <c r="AL1326">
        <f t="shared" si="181"/>
        <v>643</v>
      </c>
      <c r="AM1326">
        <f t="shared" si="182"/>
        <v>616</v>
      </c>
      <c r="AN1326">
        <f t="shared" si="183"/>
        <v>402</v>
      </c>
      <c r="AO1326" t="str">
        <f t="shared" si="184"/>
        <v/>
      </c>
    </row>
    <row r="1327" spans="1:41">
      <c r="A1327">
        <f t="shared" si="189"/>
        <v>1323</v>
      </c>
      <c r="B1327" t="s">
        <v>270</v>
      </c>
      <c r="C1327">
        <v>5</v>
      </c>
      <c r="D1327">
        <v>5</v>
      </c>
      <c r="E1327" t="s">
        <v>385</v>
      </c>
      <c r="F1327">
        <v>412</v>
      </c>
      <c r="G1327">
        <v>2</v>
      </c>
      <c r="H1327">
        <v>32</v>
      </c>
      <c r="I1327" t="s">
        <v>386</v>
      </c>
      <c r="J1327" t="s">
        <v>386</v>
      </c>
      <c r="K1327">
        <v>1000000</v>
      </c>
      <c r="L1327">
        <v>126</v>
      </c>
      <c r="M1327">
        <v>126</v>
      </c>
      <c r="N1327">
        <v>273</v>
      </c>
      <c r="O1327">
        <v>0</v>
      </c>
      <c r="P1327">
        <v>549</v>
      </c>
      <c r="Q1327">
        <v>687</v>
      </c>
      <c r="R1327">
        <v>642</v>
      </c>
      <c r="S1327">
        <v>413</v>
      </c>
      <c r="T1327">
        <v>0</v>
      </c>
      <c r="U1327">
        <v>5740</v>
      </c>
      <c r="V1327">
        <v>4324.4141158100001</v>
      </c>
      <c r="AH1327">
        <f t="shared" si="185"/>
        <v>126</v>
      </c>
      <c r="AI1327">
        <f t="shared" si="186"/>
        <v>273</v>
      </c>
      <c r="AJ1327" t="str">
        <f t="shared" si="187"/>
        <v/>
      </c>
      <c r="AK1327">
        <f t="shared" si="188"/>
        <v>549</v>
      </c>
      <c r="AL1327">
        <f t="shared" si="181"/>
        <v>687</v>
      </c>
      <c r="AM1327">
        <f t="shared" si="182"/>
        <v>642</v>
      </c>
      <c r="AN1327">
        <f t="shared" si="183"/>
        <v>413</v>
      </c>
      <c r="AO1327" t="str">
        <f t="shared" si="184"/>
        <v/>
      </c>
    </row>
    <row r="1328" spans="1:41">
      <c r="A1328">
        <f t="shared" si="189"/>
        <v>1324</v>
      </c>
      <c r="B1328" t="s">
        <v>270</v>
      </c>
      <c r="C1328">
        <v>5</v>
      </c>
      <c r="D1328">
        <v>5</v>
      </c>
      <c r="E1328" t="s">
        <v>385</v>
      </c>
      <c r="F1328">
        <v>412</v>
      </c>
      <c r="G1328">
        <v>2</v>
      </c>
      <c r="H1328">
        <v>33</v>
      </c>
      <c r="I1328" t="s">
        <v>386</v>
      </c>
      <c r="J1328" t="s">
        <v>386</v>
      </c>
      <c r="K1328">
        <v>1000000</v>
      </c>
      <c r="L1328">
        <v>140</v>
      </c>
      <c r="M1328">
        <v>140</v>
      </c>
      <c r="N1328">
        <v>293</v>
      </c>
      <c r="O1328">
        <v>0</v>
      </c>
      <c r="P1328">
        <v>588</v>
      </c>
      <c r="Q1328">
        <v>718</v>
      </c>
      <c r="R1328">
        <v>670</v>
      </c>
      <c r="S1328">
        <v>442</v>
      </c>
      <c r="T1328">
        <v>0</v>
      </c>
      <c r="U1328">
        <v>5834</v>
      </c>
      <c r="V1328">
        <v>4342.97576398</v>
      </c>
      <c r="AH1328">
        <f t="shared" si="185"/>
        <v>140</v>
      </c>
      <c r="AI1328">
        <f t="shared" si="186"/>
        <v>293</v>
      </c>
      <c r="AJ1328" t="str">
        <f t="shared" si="187"/>
        <v/>
      </c>
      <c r="AK1328">
        <f t="shared" si="188"/>
        <v>588</v>
      </c>
      <c r="AL1328">
        <f t="shared" si="181"/>
        <v>718</v>
      </c>
      <c r="AM1328">
        <f t="shared" si="182"/>
        <v>670</v>
      </c>
      <c r="AN1328">
        <f t="shared" si="183"/>
        <v>442</v>
      </c>
      <c r="AO1328" t="str">
        <f t="shared" si="184"/>
        <v/>
      </c>
    </row>
    <row r="1329" spans="1:41">
      <c r="A1329">
        <f t="shared" si="189"/>
        <v>1325</v>
      </c>
      <c r="B1329" t="s">
        <v>270</v>
      </c>
      <c r="C1329">
        <v>5</v>
      </c>
      <c r="D1329">
        <v>5</v>
      </c>
      <c r="E1329" t="s">
        <v>385</v>
      </c>
      <c r="F1329">
        <v>412</v>
      </c>
      <c r="G1329">
        <v>2</v>
      </c>
      <c r="H1329">
        <v>34</v>
      </c>
      <c r="I1329" t="s">
        <v>386</v>
      </c>
      <c r="J1329" t="s">
        <v>386</v>
      </c>
      <c r="K1329">
        <v>1000000</v>
      </c>
      <c r="L1329">
        <v>157</v>
      </c>
      <c r="M1329">
        <v>157</v>
      </c>
      <c r="N1329">
        <v>314</v>
      </c>
      <c r="O1329">
        <v>0</v>
      </c>
      <c r="P1329">
        <v>640</v>
      </c>
      <c r="Q1329">
        <v>786</v>
      </c>
      <c r="R1329">
        <v>758</v>
      </c>
      <c r="S1329">
        <v>521</v>
      </c>
      <c r="T1329">
        <v>0</v>
      </c>
      <c r="U1329">
        <v>5937</v>
      </c>
      <c r="V1329">
        <v>4362.8054852799996</v>
      </c>
      <c r="AH1329">
        <f t="shared" si="185"/>
        <v>157</v>
      </c>
      <c r="AI1329">
        <f t="shared" si="186"/>
        <v>314</v>
      </c>
      <c r="AJ1329" t="str">
        <f t="shared" si="187"/>
        <v/>
      </c>
      <c r="AK1329">
        <f t="shared" si="188"/>
        <v>640</v>
      </c>
      <c r="AL1329">
        <f t="shared" si="181"/>
        <v>786</v>
      </c>
      <c r="AM1329">
        <f t="shared" si="182"/>
        <v>758</v>
      </c>
      <c r="AN1329">
        <f t="shared" si="183"/>
        <v>521</v>
      </c>
      <c r="AO1329" t="str">
        <f t="shared" si="184"/>
        <v/>
      </c>
    </row>
    <row r="1330" spans="1:41">
      <c r="A1330">
        <f t="shared" si="189"/>
        <v>1326</v>
      </c>
      <c r="B1330" t="s">
        <v>270</v>
      </c>
      <c r="C1330">
        <v>5</v>
      </c>
      <c r="D1330">
        <v>5</v>
      </c>
      <c r="E1330" t="s">
        <v>385</v>
      </c>
      <c r="F1330">
        <v>412</v>
      </c>
      <c r="G1330">
        <v>2</v>
      </c>
      <c r="H1330">
        <v>35</v>
      </c>
      <c r="I1330" t="s">
        <v>386</v>
      </c>
      <c r="J1330" t="s">
        <v>386</v>
      </c>
      <c r="K1330">
        <v>1000000</v>
      </c>
      <c r="L1330">
        <v>175</v>
      </c>
      <c r="M1330">
        <v>175</v>
      </c>
      <c r="N1330">
        <v>340</v>
      </c>
      <c r="O1330">
        <v>0</v>
      </c>
      <c r="P1330">
        <v>730</v>
      </c>
      <c r="Q1330">
        <v>929</v>
      </c>
      <c r="R1330">
        <v>927</v>
      </c>
      <c r="S1330">
        <v>647</v>
      </c>
      <c r="T1330">
        <v>0</v>
      </c>
      <c r="U1330">
        <v>6058</v>
      </c>
      <c r="V1330">
        <v>4384.8696783400001</v>
      </c>
      <c r="AH1330">
        <f t="shared" si="185"/>
        <v>175</v>
      </c>
      <c r="AI1330">
        <f t="shared" si="186"/>
        <v>340</v>
      </c>
      <c r="AJ1330" t="str">
        <f t="shared" si="187"/>
        <v/>
      </c>
      <c r="AK1330">
        <f t="shared" si="188"/>
        <v>730</v>
      </c>
      <c r="AL1330">
        <f t="shared" si="181"/>
        <v>929</v>
      </c>
      <c r="AM1330">
        <f t="shared" si="182"/>
        <v>927</v>
      </c>
      <c r="AN1330">
        <f t="shared" si="183"/>
        <v>647</v>
      </c>
      <c r="AO1330" t="str">
        <f t="shared" si="184"/>
        <v/>
      </c>
    </row>
    <row r="1331" spans="1:41">
      <c r="A1331">
        <f t="shared" si="189"/>
        <v>1327</v>
      </c>
      <c r="B1331" t="s">
        <v>270</v>
      </c>
      <c r="C1331">
        <v>5</v>
      </c>
      <c r="D1331">
        <v>5</v>
      </c>
      <c r="E1331" t="s">
        <v>385</v>
      </c>
      <c r="F1331">
        <v>412</v>
      </c>
      <c r="G1331">
        <v>2</v>
      </c>
      <c r="H1331">
        <v>36</v>
      </c>
      <c r="I1331" t="s">
        <v>386</v>
      </c>
      <c r="J1331" t="s">
        <v>386</v>
      </c>
      <c r="K1331">
        <v>1000000</v>
      </c>
      <c r="L1331">
        <v>198</v>
      </c>
      <c r="M1331">
        <v>198</v>
      </c>
      <c r="N1331">
        <v>370</v>
      </c>
      <c r="O1331">
        <v>0</v>
      </c>
      <c r="P1331">
        <v>866</v>
      </c>
      <c r="Q1331">
        <v>1136</v>
      </c>
      <c r="R1331">
        <v>1135</v>
      </c>
      <c r="S1331">
        <v>776</v>
      </c>
      <c r="T1331">
        <v>0</v>
      </c>
      <c r="U1331">
        <v>6203</v>
      </c>
      <c r="V1331">
        <v>4408.2355287700002</v>
      </c>
      <c r="AH1331">
        <f t="shared" si="185"/>
        <v>198</v>
      </c>
      <c r="AI1331">
        <f t="shared" si="186"/>
        <v>370</v>
      </c>
      <c r="AJ1331" t="str">
        <f t="shared" si="187"/>
        <v/>
      </c>
      <c r="AK1331">
        <f t="shared" si="188"/>
        <v>866</v>
      </c>
      <c r="AL1331">
        <f t="shared" si="181"/>
        <v>1136</v>
      </c>
      <c r="AM1331">
        <f t="shared" si="182"/>
        <v>1135</v>
      </c>
      <c r="AN1331">
        <f t="shared" si="183"/>
        <v>776</v>
      </c>
      <c r="AO1331" t="str">
        <f t="shared" si="184"/>
        <v/>
      </c>
    </row>
    <row r="1332" spans="1:41">
      <c r="A1332">
        <f t="shared" si="189"/>
        <v>1328</v>
      </c>
      <c r="B1332" t="s">
        <v>270</v>
      </c>
      <c r="C1332">
        <v>5</v>
      </c>
      <c r="D1332">
        <v>5</v>
      </c>
      <c r="E1332" t="s">
        <v>385</v>
      </c>
      <c r="F1332">
        <v>412</v>
      </c>
      <c r="G1332">
        <v>2</v>
      </c>
      <c r="H1332">
        <v>37</v>
      </c>
      <c r="I1332" t="s">
        <v>386</v>
      </c>
      <c r="J1332" t="s">
        <v>386</v>
      </c>
      <c r="K1332">
        <v>1000000</v>
      </c>
      <c r="L1332">
        <v>224</v>
      </c>
      <c r="M1332">
        <v>224</v>
      </c>
      <c r="N1332">
        <v>405</v>
      </c>
      <c r="O1332">
        <v>0</v>
      </c>
      <c r="P1332">
        <v>1023</v>
      </c>
      <c r="Q1332">
        <v>1336</v>
      </c>
      <c r="R1332">
        <v>1300</v>
      </c>
      <c r="S1332">
        <v>856</v>
      </c>
      <c r="T1332">
        <v>0</v>
      </c>
      <c r="U1332">
        <v>6370</v>
      </c>
      <c r="V1332">
        <v>4432.9358564100003</v>
      </c>
      <c r="AH1332">
        <f t="shared" si="185"/>
        <v>224</v>
      </c>
      <c r="AI1332">
        <f t="shared" si="186"/>
        <v>405</v>
      </c>
      <c r="AJ1332" t="str">
        <f t="shared" si="187"/>
        <v/>
      </c>
      <c r="AK1332">
        <f t="shared" si="188"/>
        <v>1023</v>
      </c>
      <c r="AL1332">
        <f t="shared" si="181"/>
        <v>1336</v>
      </c>
      <c r="AM1332">
        <f t="shared" si="182"/>
        <v>1300</v>
      </c>
      <c r="AN1332">
        <f t="shared" si="183"/>
        <v>856</v>
      </c>
      <c r="AO1332" t="str">
        <f t="shared" si="184"/>
        <v/>
      </c>
    </row>
    <row r="1333" spans="1:41">
      <c r="A1333">
        <f t="shared" si="189"/>
        <v>1329</v>
      </c>
      <c r="B1333" t="s">
        <v>270</v>
      </c>
      <c r="C1333">
        <v>5</v>
      </c>
      <c r="D1333">
        <v>5</v>
      </c>
      <c r="E1333" t="s">
        <v>385</v>
      </c>
      <c r="F1333">
        <v>412</v>
      </c>
      <c r="G1333">
        <v>2</v>
      </c>
      <c r="H1333">
        <v>38</v>
      </c>
      <c r="I1333" t="s">
        <v>386</v>
      </c>
      <c r="J1333" t="s">
        <v>386</v>
      </c>
      <c r="K1333">
        <v>1000000</v>
      </c>
      <c r="L1333">
        <v>252</v>
      </c>
      <c r="M1333">
        <v>252</v>
      </c>
      <c r="N1333">
        <v>442</v>
      </c>
      <c r="O1333">
        <v>0</v>
      </c>
      <c r="P1333">
        <v>1149</v>
      </c>
      <c r="Q1333">
        <v>1450</v>
      </c>
      <c r="R1333">
        <v>1353</v>
      </c>
      <c r="S1333">
        <v>854</v>
      </c>
      <c r="T1333">
        <v>0</v>
      </c>
      <c r="U1333">
        <v>6550</v>
      </c>
      <c r="V1333">
        <v>4458.8949042800004</v>
      </c>
      <c r="AH1333">
        <f t="shared" si="185"/>
        <v>252</v>
      </c>
      <c r="AI1333">
        <f t="shared" si="186"/>
        <v>442</v>
      </c>
      <c r="AJ1333" t="str">
        <f t="shared" si="187"/>
        <v/>
      </c>
      <c r="AK1333">
        <f t="shared" si="188"/>
        <v>1149</v>
      </c>
      <c r="AL1333">
        <f t="shared" si="181"/>
        <v>1450</v>
      </c>
      <c r="AM1333">
        <f t="shared" si="182"/>
        <v>1353</v>
      </c>
      <c r="AN1333">
        <f t="shared" si="183"/>
        <v>854</v>
      </c>
      <c r="AO1333" t="str">
        <f t="shared" si="184"/>
        <v/>
      </c>
    </row>
    <row r="1334" spans="1:41">
      <c r="A1334">
        <f t="shared" si="189"/>
        <v>1330</v>
      </c>
      <c r="B1334" t="s">
        <v>270</v>
      </c>
      <c r="C1334">
        <v>5</v>
      </c>
      <c r="D1334">
        <v>5</v>
      </c>
      <c r="E1334" t="s">
        <v>385</v>
      </c>
      <c r="F1334">
        <v>412</v>
      </c>
      <c r="G1334">
        <v>2</v>
      </c>
      <c r="H1334">
        <v>39</v>
      </c>
      <c r="I1334" t="s">
        <v>386</v>
      </c>
      <c r="J1334" t="s">
        <v>386</v>
      </c>
      <c r="K1334">
        <v>1000000</v>
      </c>
      <c r="L1334">
        <v>280</v>
      </c>
      <c r="M1334">
        <v>280</v>
      </c>
      <c r="N1334">
        <v>480</v>
      </c>
      <c r="O1334">
        <v>0</v>
      </c>
      <c r="P1334">
        <v>1209</v>
      </c>
      <c r="Q1334">
        <v>1445</v>
      </c>
      <c r="R1334">
        <v>1289</v>
      </c>
      <c r="S1334">
        <v>788</v>
      </c>
      <c r="T1334">
        <v>0</v>
      </c>
      <c r="U1334">
        <v>6729</v>
      </c>
      <c r="V1334">
        <v>4486.9694709400001</v>
      </c>
      <c r="AH1334">
        <f t="shared" si="185"/>
        <v>280</v>
      </c>
      <c r="AI1334">
        <f t="shared" si="186"/>
        <v>480</v>
      </c>
      <c r="AJ1334" t="str">
        <f t="shared" si="187"/>
        <v/>
      </c>
      <c r="AK1334">
        <f t="shared" si="188"/>
        <v>1209</v>
      </c>
      <c r="AL1334">
        <f t="shared" si="181"/>
        <v>1445</v>
      </c>
      <c r="AM1334">
        <f t="shared" si="182"/>
        <v>1289</v>
      </c>
      <c r="AN1334">
        <f t="shared" si="183"/>
        <v>788</v>
      </c>
      <c r="AO1334" t="str">
        <f t="shared" si="184"/>
        <v/>
      </c>
    </row>
    <row r="1335" spans="1:41">
      <c r="A1335">
        <f t="shared" si="189"/>
        <v>1331</v>
      </c>
      <c r="B1335" t="s">
        <v>270</v>
      </c>
      <c r="C1335">
        <v>5</v>
      </c>
      <c r="D1335">
        <v>5</v>
      </c>
      <c r="E1335" t="s">
        <v>385</v>
      </c>
      <c r="F1335">
        <v>412</v>
      </c>
      <c r="G1335">
        <v>2</v>
      </c>
      <c r="H1335">
        <v>40</v>
      </c>
      <c r="I1335" t="s">
        <v>386</v>
      </c>
      <c r="J1335" t="s">
        <v>386</v>
      </c>
      <c r="K1335">
        <v>1000000</v>
      </c>
      <c r="L1335">
        <v>306</v>
      </c>
      <c r="M1335">
        <v>306</v>
      </c>
      <c r="N1335">
        <v>514</v>
      </c>
      <c r="O1335">
        <v>0</v>
      </c>
      <c r="P1335">
        <v>1203</v>
      </c>
      <c r="Q1335">
        <v>1353</v>
      </c>
      <c r="R1335">
        <v>1168</v>
      </c>
      <c r="S1335">
        <v>704</v>
      </c>
      <c r="T1335">
        <v>0</v>
      </c>
      <c r="U1335">
        <v>6894</v>
      </c>
      <c r="V1335">
        <v>4517.6254218100003</v>
      </c>
      <c r="AH1335">
        <f t="shared" si="185"/>
        <v>306</v>
      </c>
      <c r="AI1335">
        <f t="shared" si="186"/>
        <v>514</v>
      </c>
      <c r="AJ1335" t="str">
        <f t="shared" si="187"/>
        <v/>
      </c>
      <c r="AK1335">
        <f t="shared" si="188"/>
        <v>1203</v>
      </c>
      <c r="AL1335">
        <f t="shared" si="181"/>
        <v>1353</v>
      </c>
      <c r="AM1335">
        <f t="shared" si="182"/>
        <v>1168</v>
      </c>
      <c r="AN1335">
        <f t="shared" si="183"/>
        <v>704</v>
      </c>
      <c r="AO1335" t="str">
        <f t="shared" si="184"/>
        <v/>
      </c>
    </row>
    <row r="1336" spans="1:41">
      <c r="A1336">
        <f t="shared" si="189"/>
        <v>1332</v>
      </c>
      <c r="B1336" t="s">
        <v>270</v>
      </c>
      <c r="C1336">
        <v>5</v>
      </c>
      <c r="D1336">
        <v>5</v>
      </c>
      <c r="E1336" t="s">
        <v>385</v>
      </c>
      <c r="F1336">
        <v>412</v>
      </c>
      <c r="G1336">
        <v>2</v>
      </c>
      <c r="H1336">
        <v>41</v>
      </c>
      <c r="I1336" t="s">
        <v>386</v>
      </c>
      <c r="J1336" t="s">
        <v>386</v>
      </c>
      <c r="K1336">
        <v>1000000</v>
      </c>
      <c r="L1336">
        <v>329</v>
      </c>
      <c r="M1336">
        <v>329</v>
      </c>
      <c r="N1336">
        <v>545</v>
      </c>
      <c r="O1336">
        <v>0</v>
      </c>
      <c r="P1336">
        <v>1159</v>
      </c>
      <c r="Q1336">
        <v>1244</v>
      </c>
      <c r="R1336">
        <v>1059</v>
      </c>
      <c r="S1336">
        <v>641</v>
      </c>
      <c r="T1336">
        <v>0</v>
      </c>
      <c r="U1336">
        <v>7040</v>
      </c>
      <c r="V1336">
        <v>4550.0480680800001</v>
      </c>
      <c r="AH1336">
        <f t="shared" si="185"/>
        <v>329</v>
      </c>
      <c r="AI1336">
        <f t="shared" si="186"/>
        <v>545</v>
      </c>
      <c r="AJ1336" t="str">
        <f t="shared" si="187"/>
        <v/>
      </c>
      <c r="AK1336">
        <f t="shared" si="188"/>
        <v>1159</v>
      </c>
      <c r="AL1336">
        <f t="shared" si="181"/>
        <v>1244</v>
      </c>
      <c r="AM1336">
        <f t="shared" si="182"/>
        <v>1059</v>
      </c>
      <c r="AN1336">
        <f t="shared" si="183"/>
        <v>641</v>
      </c>
      <c r="AO1336" t="str">
        <f t="shared" si="184"/>
        <v/>
      </c>
    </row>
    <row r="1337" spans="1:41">
      <c r="A1337">
        <f t="shared" si="189"/>
        <v>1333</v>
      </c>
      <c r="B1337" t="s">
        <v>270</v>
      </c>
      <c r="C1337">
        <v>5</v>
      </c>
      <c r="D1337">
        <v>5</v>
      </c>
      <c r="E1337" t="s">
        <v>385</v>
      </c>
      <c r="F1337">
        <v>412</v>
      </c>
      <c r="G1337">
        <v>2</v>
      </c>
      <c r="H1337">
        <v>42</v>
      </c>
      <c r="I1337" t="s">
        <v>386</v>
      </c>
      <c r="J1337" t="s">
        <v>386</v>
      </c>
      <c r="K1337">
        <v>1000000</v>
      </c>
      <c r="L1337">
        <v>348</v>
      </c>
      <c r="M1337">
        <v>348</v>
      </c>
      <c r="N1337">
        <v>571</v>
      </c>
      <c r="O1337">
        <v>0</v>
      </c>
      <c r="P1337">
        <v>1116</v>
      </c>
      <c r="Q1337">
        <v>1159</v>
      </c>
      <c r="R1337">
        <v>977</v>
      </c>
      <c r="S1337">
        <v>580</v>
      </c>
      <c r="T1337">
        <v>0</v>
      </c>
      <c r="U1337">
        <v>7163</v>
      </c>
      <c r="V1337">
        <v>4585.10713889</v>
      </c>
      <c r="AH1337">
        <f t="shared" si="185"/>
        <v>348</v>
      </c>
      <c r="AI1337">
        <f t="shared" si="186"/>
        <v>571</v>
      </c>
      <c r="AJ1337" t="str">
        <f t="shared" si="187"/>
        <v/>
      </c>
      <c r="AK1337">
        <f t="shared" si="188"/>
        <v>1116</v>
      </c>
      <c r="AL1337">
        <f t="shared" si="181"/>
        <v>1159</v>
      </c>
      <c r="AM1337">
        <f t="shared" si="182"/>
        <v>977</v>
      </c>
      <c r="AN1337">
        <f t="shared" si="183"/>
        <v>580</v>
      </c>
      <c r="AO1337" t="str">
        <f t="shared" si="184"/>
        <v/>
      </c>
    </row>
    <row r="1338" spans="1:41">
      <c r="A1338">
        <f t="shared" si="189"/>
        <v>1334</v>
      </c>
      <c r="B1338" t="s">
        <v>270</v>
      </c>
      <c r="C1338">
        <v>5</v>
      </c>
      <c r="D1338">
        <v>5</v>
      </c>
      <c r="E1338" t="s">
        <v>385</v>
      </c>
      <c r="F1338">
        <v>412</v>
      </c>
      <c r="G1338">
        <v>2</v>
      </c>
      <c r="H1338">
        <v>43</v>
      </c>
      <c r="I1338" t="s">
        <v>386</v>
      </c>
      <c r="J1338" t="s">
        <v>386</v>
      </c>
      <c r="K1338">
        <v>1000000</v>
      </c>
      <c r="L1338">
        <v>364</v>
      </c>
      <c r="M1338">
        <v>364</v>
      </c>
      <c r="N1338">
        <v>592</v>
      </c>
      <c r="O1338">
        <v>0</v>
      </c>
      <c r="P1338">
        <v>1088</v>
      </c>
      <c r="Q1338">
        <v>1103</v>
      </c>
      <c r="R1338">
        <v>908</v>
      </c>
      <c r="S1338">
        <v>538</v>
      </c>
      <c r="T1338">
        <v>0</v>
      </c>
      <c r="U1338">
        <v>7267</v>
      </c>
      <c r="V1338">
        <v>4623.5845976199998</v>
      </c>
      <c r="AH1338">
        <f t="shared" si="185"/>
        <v>364</v>
      </c>
      <c r="AI1338">
        <f t="shared" si="186"/>
        <v>592</v>
      </c>
      <c r="AJ1338" t="str">
        <f t="shared" si="187"/>
        <v/>
      </c>
      <c r="AK1338">
        <f t="shared" si="188"/>
        <v>1088</v>
      </c>
      <c r="AL1338">
        <f t="shared" si="181"/>
        <v>1103</v>
      </c>
      <c r="AM1338">
        <f t="shared" si="182"/>
        <v>908</v>
      </c>
      <c r="AN1338">
        <f t="shared" si="183"/>
        <v>538</v>
      </c>
      <c r="AO1338" t="str">
        <f t="shared" si="184"/>
        <v/>
      </c>
    </row>
    <row r="1339" spans="1:41">
      <c r="A1339">
        <f t="shared" si="189"/>
        <v>1335</v>
      </c>
      <c r="B1339" t="s">
        <v>270</v>
      </c>
      <c r="C1339">
        <v>5</v>
      </c>
      <c r="D1339">
        <v>5</v>
      </c>
      <c r="E1339" t="s">
        <v>385</v>
      </c>
      <c r="F1339">
        <v>412</v>
      </c>
      <c r="G1339">
        <v>2</v>
      </c>
      <c r="H1339">
        <v>44</v>
      </c>
      <c r="I1339" t="s">
        <v>386</v>
      </c>
      <c r="J1339" t="s">
        <v>386</v>
      </c>
      <c r="K1339">
        <v>1000000</v>
      </c>
      <c r="L1339">
        <v>379</v>
      </c>
      <c r="M1339">
        <v>379</v>
      </c>
      <c r="N1339">
        <v>613</v>
      </c>
      <c r="O1339">
        <v>0</v>
      </c>
      <c r="P1339">
        <v>1077</v>
      </c>
      <c r="Q1339">
        <v>1064</v>
      </c>
      <c r="R1339">
        <v>881</v>
      </c>
      <c r="S1339">
        <v>535</v>
      </c>
      <c r="T1339">
        <v>0</v>
      </c>
      <c r="U1339">
        <v>7363</v>
      </c>
      <c r="V1339">
        <v>4668.34434599</v>
      </c>
      <c r="AH1339">
        <f t="shared" si="185"/>
        <v>379</v>
      </c>
      <c r="AI1339">
        <f t="shared" si="186"/>
        <v>613</v>
      </c>
      <c r="AJ1339" t="str">
        <f t="shared" si="187"/>
        <v/>
      </c>
      <c r="AK1339">
        <f t="shared" si="188"/>
        <v>1077</v>
      </c>
      <c r="AL1339">
        <f t="shared" si="181"/>
        <v>1064</v>
      </c>
      <c r="AM1339">
        <f t="shared" si="182"/>
        <v>881</v>
      </c>
      <c r="AN1339">
        <f t="shared" si="183"/>
        <v>535</v>
      </c>
      <c r="AO1339" t="str">
        <f t="shared" si="184"/>
        <v/>
      </c>
    </row>
    <row r="1340" spans="1:41">
      <c r="A1340">
        <f t="shared" si="189"/>
        <v>1336</v>
      </c>
      <c r="B1340" t="s">
        <v>270</v>
      </c>
      <c r="C1340">
        <v>5</v>
      </c>
      <c r="D1340">
        <v>5</v>
      </c>
      <c r="E1340" t="s">
        <v>385</v>
      </c>
      <c r="F1340">
        <v>412</v>
      </c>
      <c r="G1340">
        <v>2</v>
      </c>
      <c r="H1340">
        <v>45</v>
      </c>
      <c r="I1340" t="s">
        <v>386</v>
      </c>
      <c r="J1340" t="s">
        <v>386</v>
      </c>
      <c r="K1340">
        <v>1000000</v>
      </c>
      <c r="L1340">
        <v>394</v>
      </c>
      <c r="M1340">
        <v>394</v>
      </c>
      <c r="N1340">
        <v>632</v>
      </c>
      <c r="O1340">
        <v>0</v>
      </c>
      <c r="P1340">
        <v>1078</v>
      </c>
      <c r="Q1340">
        <v>1073</v>
      </c>
      <c r="R1340">
        <v>913</v>
      </c>
      <c r="S1340">
        <v>568</v>
      </c>
      <c r="T1340">
        <v>0</v>
      </c>
      <c r="U1340">
        <v>7457</v>
      </c>
      <c r="V1340">
        <v>4722.3771646300002</v>
      </c>
      <c r="AH1340">
        <f t="shared" si="185"/>
        <v>394</v>
      </c>
      <c r="AI1340">
        <f t="shared" si="186"/>
        <v>632</v>
      </c>
      <c r="AJ1340" t="str">
        <f t="shared" si="187"/>
        <v/>
      </c>
      <c r="AK1340">
        <f t="shared" si="188"/>
        <v>1078</v>
      </c>
      <c r="AL1340">
        <f t="shared" si="181"/>
        <v>1073</v>
      </c>
      <c r="AM1340">
        <f t="shared" si="182"/>
        <v>913</v>
      </c>
      <c r="AN1340">
        <f t="shared" si="183"/>
        <v>568</v>
      </c>
      <c r="AO1340" t="str">
        <f t="shared" si="184"/>
        <v/>
      </c>
    </row>
    <row r="1341" spans="1:41">
      <c r="A1341">
        <f t="shared" si="189"/>
        <v>1337</v>
      </c>
      <c r="B1341" t="s">
        <v>270</v>
      </c>
      <c r="C1341">
        <v>5</v>
      </c>
      <c r="D1341">
        <v>5</v>
      </c>
      <c r="E1341" t="s">
        <v>385</v>
      </c>
      <c r="F1341">
        <v>412</v>
      </c>
      <c r="G1341">
        <v>2</v>
      </c>
      <c r="H1341">
        <v>46</v>
      </c>
      <c r="I1341" t="s">
        <v>386</v>
      </c>
      <c r="J1341" t="s">
        <v>386</v>
      </c>
      <c r="K1341">
        <v>1000000</v>
      </c>
      <c r="L1341">
        <v>409</v>
      </c>
      <c r="M1341">
        <v>409</v>
      </c>
      <c r="N1341">
        <v>653</v>
      </c>
      <c r="O1341">
        <v>0</v>
      </c>
      <c r="P1341">
        <v>1114</v>
      </c>
      <c r="Q1341">
        <v>1138</v>
      </c>
      <c r="R1341">
        <v>984</v>
      </c>
      <c r="S1341">
        <v>613</v>
      </c>
      <c r="T1341">
        <v>0</v>
      </c>
      <c r="U1341">
        <v>7554</v>
      </c>
      <c r="V1341">
        <v>4788.0344075000003</v>
      </c>
      <c r="AH1341">
        <f t="shared" si="185"/>
        <v>409</v>
      </c>
      <c r="AI1341">
        <f t="shared" si="186"/>
        <v>653</v>
      </c>
      <c r="AJ1341" t="str">
        <f t="shared" si="187"/>
        <v/>
      </c>
      <c r="AK1341">
        <f t="shared" si="188"/>
        <v>1114</v>
      </c>
      <c r="AL1341">
        <f t="shared" si="181"/>
        <v>1138</v>
      </c>
      <c r="AM1341">
        <f t="shared" si="182"/>
        <v>984</v>
      </c>
      <c r="AN1341">
        <f t="shared" si="183"/>
        <v>613</v>
      </c>
      <c r="AO1341" t="str">
        <f t="shared" si="184"/>
        <v/>
      </c>
    </row>
    <row r="1342" spans="1:41">
      <c r="A1342">
        <f t="shared" si="189"/>
        <v>1338</v>
      </c>
      <c r="B1342" t="s">
        <v>270</v>
      </c>
      <c r="C1342">
        <v>5</v>
      </c>
      <c r="D1342">
        <v>5</v>
      </c>
      <c r="E1342" t="s">
        <v>385</v>
      </c>
      <c r="F1342">
        <v>412</v>
      </c>
      <c r="G1342">
        <v>2</v>
      </c>
      <c r="H1342">
        <v>47</v>
      </c>
      <c r="I1342" t="s">
        <v>386</v>
      </c>
      <c r="J1342" t="s">
        <v>386</v>
      </c>
      <c r="K1342">
        <v>1000000</v>
      </c>
      <c r="L1342">
        <v>425</v>
      </c>
      <c r="M1342">
        <v>425</v>
      </c>
      <c r="N1342">
        <v>674</v>
      </c>
      <c r="O1342">
        <v>0</v>
      </c>
      <c r="P1342">
        <v>1171</v>
      </c>
      <c r="Q1342">
        <v>1211</v>
      </c>
      <c r="R1342">
        <v>1041</v>
      </c>
      <c r="S1342">
        <v>635</v>
      </c>
      <c r="T1342">
        <v>0</v>
      </c>
      <c r="U1342">
        <v>7656</v>
      </c>
      <c r="V1342">
        <v>4863.0259801100001</v>
      </c>
      <c r="AH1342">
        <f t="shared" si="185"/>
        <v>425</v>
      </c>
      <c r="AI1342">
        <f t="shared" si="186"/>
        <v>674</v>
      </c>
      <c r="AJ1342" t="str">
        <f t="shared" si="187"/>
        <v/>
      </c>
      <c r="AK1342">
        <f t="shared" si="188"/>
        <v>1171</v>
      </c>
      <c r="AL1342">
        <f t="shared" si="181"/>
        <v>1211</v>
      </c>
      <c r="AM1342">
        <f t="shared" si="182"/>
        <v>1041</v>
      </c>
      <c r="AN1342">
        <f t="shared" si="183"/>
        <v>635</v>
      </c>
      <c r="AO1342" t="str">
        <f t="shared" si="184"/>
        <v/>
      </c>
    </row>
    <row r="1343" spans="1:41">
      <c r="A1343">
        <f t="shared" si="189"/>
        <v>1339</v>
      </c>
      <c r="B1343" t="s">
        <v>270</v>
      </c>
      <c r="C1343">
        <v>5</v>
      </c>
      <c r="D1343">
        <v>5</v>
      </c>
      <c r="E1343" t="s">
        <v>385</v>
      </c>
      <c r="F1343">
        <v>412</v>
      </c>
      <c r="G1343">
        <v>2</v>
      </c>
      <c r="H1343">
        <v>48</v>
      </c>
      <c r="I1343" t="s">
        <v>386</v>
      </c>
      <c r="J1343" t="s">
        <v>386</v>
      </c>
      <c r="K1343">
        <v>1000000</v>
      </c>
      <c r="L1343">
        <v>441</v>
      </c>
      <c r="M1343">
        <v>441</v>
      </c>
      <c r="N1343">
        <v>696</v>
      </c>
      <c r="O1343">
        <v>0</v>
      </c>
      <c r="P1343">
        <v>1216</v>
      </c>
      <c r="Q1343">
        <v>1246</v>
      </c>
      <c r="R1343">
        <v>1046</v>
      </c>
      <c r="S1343">
        <v>624</v>
      </c>
      <c r="T1343">
        <v>0</v>
      </c>
      <c r="U1343">
        <v>7761</v>
      </c>
      <c r="V1343">
        <v>4943.2455640199996</v>
      </c>
      <c r="AH1343">
        <f t="shared" si="185"/>
        <v>441</v>
      </c>
      <c r="AI1343">
        <f t="shared" si="186"/>
        <v>696</v>
      </c>
      <c r="AJ1343" t="str">
        <f t="shared" si="187"/>
        <v/>
      </c>
      <c r="AK1343">
        <f t="shared" si="188"/>
        <v>1216</v>
      </c>
      <c r="AL1343">
        <f t="shared" si="181"/>
        <v>1246</v>
      </c>
      <c r="AM1343">
        <f t="shared" si="182"/>
        <v>1046</v>
      </c>
      <c r="AN1343">
        <f t="shared" si="183"/>
        <v>624</v>
      </c>
      <c r="AO1343" t="str">
        <f t="shared" si="184"/>
        <v/>
      </c>
    </row>
    <row r="1344" spans="1:41">
      <c r="A1344">
        <f t="shared" si="189"/>
        <v>1340</v>
      </c>
      <c r="B1344" t="s">
        <v>270</v>
      </c>
      <c r="C1344">
        <v>5</v>
      </c>
      <c r="D1344">
        <v>5</v>
      </c>
      <c r="E1344" t="s">
        <v>385</v>
      </c>
      <c r="F1344">
        <v>412</v>
      </c>
      <c r="G1344">
        <v>2</v>
      </c>
      <c r="H1344">
        <v>49</v>
      </c>
      <c r="I1344" t="s">
        <v>386</v>
      </c>
      <c r="J1344" t="s">
        <v>386</v>
      </c>
      <c r="K1344">
        <v>1000000</v>
      </c>
      <c r="L1344">
        <v>458</v>
      </c>
      <c r="M1344">
        <v>458</v>
      </c>
      <c r="N1344">
        <v>718</v>
      </c>
      <c r="O1344">
        <v>0</v>
      </c>
      <c r="P1344">
        <v>1236</v>
      </c>
      <c r="Q1344">
        <v>1234</v>
      </c>
      <c r="R1344">
        <v>1016</v>
      </c>
      <c r="S1344">
        <v>603</v>
      </c>
      <c r="T1344">
        <v>0</v>
      </c>
      <c r="U1344">
        <v>7866</v>
      </c>
      <c r="V1344">
        <v>5022.9706336600002</v>
      </c>
      <c r="AH1344">
        <f t="shared" si="185"/>
        <v>458</v>
      </c>
      <c r="AI1344">
        <f t="shared" si="186"/>
        <v>718</v>
      </c>
      <c r="AJ1344" t="str">
        <f t="shared" si="187"/>
        <v/>
      </c>
      <c r="AK1344">
        <f t="shared" si="188"/>
        <v>1236</v>
      </c>
      <c r="AL1344">
        <f t="shared" si="181"/>
        <v>1234</v>
      </c>
      <c r="AM1344">
        <f t="shared" si="182"/>
        <v>1016</v>
      </c>
      <c r="AN1344">
        <f t="shared" si="183"/>
        <v>603</v>
      </c>
      <c r="AO1344" t="str">
        <f t="shared" si="184"/>
        <v/>
      </c>
    </row>
    <row r="1345" spans="1:41">
      <c r="A1345">
        <f t="shared" si="189"/>
        <v>1341</v>
      </c>
      <c r="B1345" t="s">
        <v>270</v>
      </c>
      <c r="C1345">
        <v>5</v>
      </c>
      <c r="D1345">
        <v>5</v>
      </c>
      <c r="E1345" t="s">
        <v>385</v>
      </c>
      <c r="F1345">
        <v>412</v>
      </c>
      <c r="G1345">
        <v>2</v>
      </c>
      <c r="H1345">
        <v>50</v>
      </c>
      <c r="I1345" t="s">
        <v>386</v>
      </c>
      <c r="J1345" t="s">
        <v>386</v>
      </c>
      <c r="K1345">
        <v>1000000</v>
      </c>
      <c r="L1345">
        <v>474</v>
      </c>
      <c r="M1345">
        <v>474</v>
      </c>
      <c r="N1345">
        <v>739</v>
      </c>
      <c r="O1345">
        <v>0</v>
      </c>
      <c r="P1345">
        <v>1239</v>
      </c>
      <c r="Q1345">
        <v>1218</v>
      </c>
      <c r="R1345">
        <v>1007</v>
      </c>
      <c r="S1345">
        <v>613</v>
      </c>
      <c r="T1345">
        <v>0</v>
      </c>
      <c r="U1345">
        <v>7969</v>
      </c>
      <c r="V1345">
        <v>5100.9229044599997</v>
      </c>
      <c r="AH1345">
        <f t="shared" si="185"/>
        <v>474</v>
      </c>
      <c r="AI1345">
        <f t="shared" si="186"/>
        <v>739</v>
      </c>
      <c r="AJ1345" t="str">
        <f t="shared" si="187"/>
        <v/>
      </c>
      <c r="AK1345">
        <f t="shared" si="188"/>
        <v>1239</v>
      </c>
      <c r="AL1345">
        <f t="shared" si="181"/>
        <v>1218</v>
      </c>
      <c r="AM1345">
        <f t="shared" si="182"/>
        <v>1007</v>
      </c>
      <c r="AN1345">
        <f t="shared" si="183"/>
        <v>613</v>
      </c>
      <c r="AO1345" t="str">
        <f t="shared" si="184"/>
        <v/>
      </c>
    </row>
    <row r="1346" spans="1:41">
      <c r="A1346">
        <f t="shared" si="189"/>
        <v>1342</v>
      </c>
      <c r="B1346" t="s">
        <v>270</v>
      </c>
      <c r="C1346">
        <v>5</v>
      </c>
      <c r="D1346">
        <v>5</v>
      </c>
      <c r="E1346" t="s">
        <v>385</v>
      </c>
      <c r="F1346">
        <v>412</v>
      </c>
      <c r="G1346">
        <v>2</v>
      </c>
      <c r="H1346">
        <v>51</v>
      </c>
      <c r="I1346" t="s">
        <v>386</v>
      </c>
      <c r="J1346" t="s">
        <v>386</v>
      </c>
      <c r="K1346">
        <v>1000000</v>
      </c>
      <c r="L1346">
        <v>490</v>
      </c>
      <c r="M1346">
        <v>490</v>
      </c>
      <c r="N1346">
        <v>762</v>
      </c>
      <c r="O1346">
        <v>0</v>
      </c>
      <c r="P1346">
        <v>1259</v>
      </c>
      <c r="Q1346">
        <v>1250</v>
      </c>
      <c r="R1346">
        <v>1065</v>
      </c>
      <c r="S1346">
        <v>668</v>
      </c>
      <c r="T1346">
        <v>0</v>
      </c>
      <c r="U1346">
        <v>8075</v>
      </c>
      <c r="V1346">
        <v>5180.1334318400004</v>
      </c>
      <c r="AH1346">
        <f t="shared" si="185"/>
        <v>490</v>
      </c>
      <c r="AI1346">
        <f t="shared" si="186"/>
        <v>762</v>
      </c>
      <c r="AJ1346" t="str">
        <f t="shared" si="187"/>
        <v/>
      </c>
      <c r="AK1346">
        <f t="shared" si="188"/>
        <v>1259</v>
      </c>
      <c r="AL1346">
        <f t="shared" si="181"/>
        <v>1250</v>
      </c>
      <c r="AM1346">
        <f t="shared" si="182"/>
        <v>1065</v>
      </c>
      <c r="AN1346">
        <f t="shared" si="183"/>
        <v>668</v>
      </c>
      <c r="AO1346" t="str">
        <f t="shared" si="184"/>
        <v/>
      </c>
    </row>
    <row r="1347" spans="1:41">
      <c r="A1347">
        <f t="shared" si="189"/>
        <v>1343</v>
      </c>
      <c r="B1347" t="s">
        <v>270</v>
      </c>
      <c r="C1347">
        <v>5</v>
      </c>
      <c r="D1347">
        <v>5</v>
      </c>
      <c r="E1347" t="s">
        <v>385</v>
      </c>
      <c r="F1347">
        <v>412</v>
      </c>
      <c r="G1347">
        <v>2</v>
      </c>
      <c r="H1347">
        <v>52</v>
      </c>
      <c r="I1347" t="s">
        <v>386</v>
      </c>
      <c r="J1347" t="s">
        <v>386</v>
      </c>
      <c r="K1347">
        <v>1000000</v>
      </c>
      <c r="L1347">
        <v>508</v>
      </c>
      <c r="M1347">
        <v>508</v>
      </c>
      <c r="N1347">
        <v>786</v>
      </c>
      <c r="O1347">
        <v>0</v>
      </c>
      <c r="P1347">
        <v>1317</v>
      </c>
      <c r="Q1347">
        <v>1354</v>
      </c>
      <c r="R1347">
        <v>1186</v>
      </c>
      <c r="S1347">
        <v>754</v>
      </c>
      <c r="T1347">
        <v>0</v>
      </c>
      <c r="U1347">
        <v>8190</v>
      </c>
      <c r="V1347">
        <v>5268.2747232399997</v>
      </c>
      <c r="AH1347">
        <f t="shared" si="185"/>
        <v>508</v>
      </c>
      <c r="AI1347">
        <f t="shared" si="186"/>
        <v>786</v>
      </c>
      <c r="AJ1347" t="str">
        <f t="shared" si="187"/>
        <v/>
      </c>
      <c r="AK1347">
        <f t="shared" si="188"/>
        <v>1317</v>
      </c>
      <c r="AL1347">
        <f t="shared" si="181"/>
        <v>1354</v>
      </c>
      <c r="AM1347">
        <f t="shared" si="182"/>
        <v>1186</v>
      </c>
      <c r="AN1347">
        <f t="shared" si="183"/>
        <v>754</v>
      </c>
      <c r="AO1347" t="str">
        <f t="shared" si="184"/>
        <v/>
      </c>
    </row>
    <row r="1348" spans="1:41">
      <c r="A1348">
        <f t="shared" si="189"/>
        <v>1344</v>
      </c>
      <c r="B1348" t="s">
        <v>270</v>
      </c>
      <c r="C1348">
        <v>5</v>
      </c>
      <c r="D1348">
        <v>5</v>
      </c>
      <c r="E1348" t="s">
        <v>385</v>
      </c>
      <c r="F1348">
        <v>412</v>
      </c>
      <c r="G1348">
        <v>2</v>
      </c>
      <c r="H1348">
        <v>53</v>
      </c>
      <c r="I1348" t="s">
        <v>386</v>
      </c>
      <c r="J1348" t="s">
        <v>386</v>
      </c>
      <c r="K1348">
        <v>1000000</v>
      </c>
      <c r="L1348">
        <v>529</v>
      </c>
      <c r="M1348">
        <v>529</v>
      </c>
      <c r="N1348">
        <v>814</v>
      </c>
      <c r="O1348">
        <v>0</v>
      </c>
      <c r="P1348">
        <v>1416</v>
      </c>
      <c r="Q1348">
        <v>1504</v>
      </c>
      <c r="R1348">
        <v>1336</v>
      </c>
      <c r="S1348">
        <v>854</v>
      </c>
      <c r="T1348">
        <v>0</v>
      </c>
      <c r="U1348">
        <v>8324</v>
      </c>
      <c r="V1348">
        <v>5374.1500682200003</v>
      </c>
      <c r="AH1348">
        <f t="shared" si="185"/>
        <v>529</v>
      </c>
      <c r="AI1348">
        <f t="shared" si="186"/>
        <v>814</v>
      </c>
      <c r="AJ1348" t="str">
        <f t="shared" si="187"/>
        <v/>
      </c>
      <c r="AK1348">
        <f t="shared" si="188"/>
        <v>1416</v>
      </c>
      <c r="AL1348">
        <f t="shared" si="181"/>
        <v>1504</v>
      </c>
      <c r="AM1348">
        <f t="shared" si="182"/>
        <v>1336</v>
      </c>
      <c r="AN1348">
        <f t="shared" si="183"/>
        <v>854</v>
      </c>
      <c r="AO1348" t="str">
        <f t="shared" si="184"/>
        <v/>
      </c>
    </row>
    <row r="1349" spans="1:41">
      <c r="A1349">
        <f t="shared" si="189"/>
        <v>1345</v>
      </c>
      <c r="B1349" t="s">
        <v>270</v>
      </c>
      <c r="C1349">
        <v>5</v>
      </c>
      <c r="D1349">
        <v>5</v>
      </c>
      <c r="E1349" t="s">
        <v>385</v>
      </c>
      <c r="F1349">
        <v>412</v>
      </c>
      <c r="G1349">
        <v>2</v>
      </c>
      <c r="H1349">
        <v>54</v>
      </c>
      <c r="I1349" t="s">
        <v>386</v>
      </c>
      <c r="J1349" t="s">
        <v>386</v>
      </c>
      <c r="K1349">
        <v>1000000</v>
      </c>
      <c r="L1349">
        <v>553</v>
      </c>
      <c r="M1349">
        <v>553</v>
      </c>
      <c r="N1349">
        <v>846</v>
      </c>
      <c r="O1349">
        <v>0</v>
      </c>
      <c r="P1349">
        <v>1530</v>
      </c>
      <c r="Q1349">
        <v>1657</v>
      </c>
      <c r="R1349">
        <v>1480</v>
      </c>
      <c r="S1349">
        <v>940</v>
      </c>
      <c r="T1349">
        <v>0</v>
      </c>
      <c r="U1349">
        <v>8478</v>
      </c>
      <c r="V1349">
        <v>5506.2647359900002</v>
      </c>
      <c r="AH1349">
        <f t="shared" si="185"/>
        <v>553</v>
      </c>
      <c r="AI1349">
        <f t="shared" si="186"/>
        <v>846</v>
      </c>
      <c r="AJ1349" t="str">
        <f t="shared" si="187"/>
        <v/>
      </c>
      <c r="AK1349">
        <f t="shared" si="188"/>
        <v>1530</v>
      </c>
      <c r="AL1349">
        <f t="shared" ref="AL1349:AL1412" si="190">IF(Q1349=AC1349, "", Q1349-AC1349)</f>
        <v>1657</v>
      </c>
      <c r="AM1349">
        <f t="shared" ref="AM1349:AM1412" si="191">IF(R1349=AD1349, "", R1349-AD1349)</f>
        <v>1480</v>
      </c>
      <c r="AN1349">
        <f t="shared" ref="AN1349:AN1412" si="192">IF(S1349=AE1349, "", S1349-AE1349)</f>
        <v>940</v>
      </c>
      <c r="AO1349" t="str">
        <f t="shared" ref="AO1349:AO1412" si="193">IF(T1349=AF1349, "", T1349-AF1349)</f>
        <v/>
      </c>
    </row>
    <row r="1350" spans="1:41">
      <c r="A1350">
        <f t="shared" si="189"/>
        <v>1346</v>
      </c>
      <c r="B1350" t="s">
        <v>270</v>
      </c>
      <c r="C1350">
        <v>5</v>
      </c>
      <c r="D1350">
        <v>5</v>
      </c>
      <c r="E1350" t="s">
        <v>385</v>
      </c>
      <c r="F1350">
        <v>412</v>
      </c>
      <c r="G1350">
        <v>2</v>
      </c>
      <c r="H1350">
        <v>55</v>
      </c>
      <c r="I1350" t="s">
        <v>386</v>
      </c>
      <c r="J1350" t="s">
        <v>386</v>
      </c>
      <c r="K1350">
        <v>1000000</v>
      </c>
      <c r="L1350">
        <v>580</v>
      </c>
      <c r="M1350">
        <v>580</v>
      </c>
      <c r="N1350">
        <v>883</v>
      </c>
      <c r="O1350">
        <v>0</v>
      </c>
      <c r="P1350">
        <v>1635</v>
      </c>
      <c r="Q1350">
        <v>1789</v>
      </c>
      <c r="R1350">
        <v>1592</v>
      </c>
      <c r="S1350">
        <v>1004</v>
      </c>
      <c r="T1350">
        <v>0</v>
      </c>
      <c r="U1350">
        <v>8653</v>
      </c>
      <c r="V1350">
        <v>5672.3732040499999</v>
      </c>
      <c r="AH1350">
        <f t="shared" ref="AH1350:AH1413" si="194">IF(L1350=Y1350, "",L1350-Y1350)</f>
        <v>580</v>
      </c>
      <c r="AI1350">
        <f t="shared" ref="AI1350:AI1413" si="195">IF(N1350=Z1350, "", N1350-Z1350)</f>
        <v>883</v>
      </c>
      <c r="AJ1350" t="str">
        <f t="shared" ref="AJ1350:AJ1413" si="196">IF(O1350=AA1350, "", O1350-AA1350)</f>
        <v/>
      </c>
      <c r="AK1350">
        <f t="shared" ref="AK1350:AK1413" si="197">IF(P1350=AB1350, "", P1350-AB1350)</f>
        <v>1635</v>
      </c>
      <c r="AL1350">
        <f t="shared" si="190"/>
        <v>1789</v>
      </c>
      <c r="AM1350">
        <f t="shared" si="191"/>
        <v>1592</v>
      </c>
      <c r="AN1350">
        <f t="shared" si="192"/>
        <v>1004</v>
      </c>
      <c r="AO1350" t="str">
        <f t="shared" si="193"/>
        <v/>
      </c>
    </row>
    <row r="1351" spans="1:41">
      <c r="A1351">
        <f t="shared" ref="A1351:A1414" si="198">A1350+1</f>
        <v>1347</v>
      </c>
      <c r="B1351" t="s">
        <v>270</v>
      </c>
      <c r="C1351">
        <v>5</v>
      </c>
      <c r="D1351">
        <v>5</v>
      </c>
      <c r="E1351" t="s">
        <v>385</v>
      </c>
      <c r="F1351">
        <v>412</v>
      </c>
      <c r="G1351">
        <v>2</v>
      </c>
      <c r="H1351">
        <v>56</v>
      </c>
      <c r="I1351" t="s">
        <v>386</v>
      </c>
      <c r="J1351" t="s">
        <v>386</v>
      </c>
      <c r="K1351">
        <v>1000000</v>
      </c>
      <c r="L1351">
        <v>610</v>
      </c>
      <c r="M1351">
        <v>610</v>
      </c>
      <c r="N1351">
        <v>923</v>
      </c>
      <c r="O1351">
        <v>0</v>
      </c>
      <c r="P1351">
        <v>1725</v>
      </c>
      <c r="Q1351">
        <v>1888</v>
      </c>
      <c r="R1351">
        <v>1672</v>
      </c>
      <c r="S1351">
        <v>1052</v>
      </c>
      <c r="T1351">
        <v>0</v>
      </c>
      <c r="U1351">
        <v>8843</v>
      </c>
      <c r="V1351">
        <v>5396.6902169200002</v>
      </c>
      <c r="AH1351">
        <f t="shared" si="194"/>
        <v>610</v>
      </c>
      <c r="AI1351">
        <f t="shared" si="195"/>
        <v>923</v>
      </c>
      <c r="AJ1351" t="str">
        <f t="shared" si="196"/>
        <v/>
      </c>
      <c r="AK1351">
        <f t="shared" si="197"/>
        <v>1725</v>
      </c>
      <c r="AL1351">
        <f t="shared" si="190"/>
        <v>1888</v>
      </c>
      <c r="AM1351">
        <f t="shared" si="191"/>
        <v>1672</v>
      </c>
      <c r="AN1351">
        <f t="shared" si="192"/>
        <v>1052</v>
      </c>
      <c r="AO1351" t="str">
        <f t="shared" si="193"/>
        <v/>
      </c>
    </row>
    <row r="1352" spans="1:41">
      <c r="A1352">
        <f t="shared" si="198"/>
        <v>1348</v>
      </c>
      <c r="B1352" t="s">
        <v>270</v>
      </c>
      <c r="C1352">
        <v>5</v>
      </c>
      <c r="D1352">
        <v>5</v>
      </c>
      <c r="E1352" t="s">
        <v>385</v>
      </c>
      <c r="F1352">
        <v>412</v>
      </c>
      <c r="G1352">
        <v>2</v>
      </c>
      <c r="H1352">
        <v>57</v>
      </c>
      <c r="I1352" t="s">
        <v>386</v>
      </c>
      <c r="J1352" t="s">
        <v>386</v>
      </c>
      <c r="K1352">
        <v>1000000</v>
      </c>
      <c r="L1352">
        <v>642</v>
      </c>
      <c r="M1352">
        <v>642</v>
      </c>
      <c r="N1352">
        <v>966</v>
      </c>
      <c r="O1352">
        <v>0</v>
      </c>
      <c r="P1352">
        <v>1797</v>
      </c>
      <c r="Q1352">
        <v>1966</v>
      </c>
      <c r="R1352">
        <v>1743</v>
      </c>
      <c r="S1352">
        <v>1101</v>
      </c>
      <c r="T1352">
        <v>0</v>
      </c>
      <c r="U1352">
        <v>9046</v>
      </c>
      <c r="V1352">
        <v>5093.2068931900003</v>
      </c>
      <c r="AH1352">
        <f t="shared" si="194"/>
        <v>642</v>
      </c>
      <c r="AI1352">
        <f t="shared" si="195"/>
        <v>966</v>
      </c>
      <c r="AJ1352" t="str">
        <f t="shared" si="196"/>
        <v/>
      </c>
      <c r="AK1352">
        <f t="shared" si="197"/>
        <v>1797</v>
      </c>
      <c r="AL1352">
        <f t="shared" si="190"/>
        <v>1966</v>
      </c>
      <c r="AM1352">
        <f t="shared" si="191"/>
        <v>1743</v>
      </c>
      <c r="AN1352">
        <f t="shared" si="192"/>
        <v>1101</v>
      </c>
      <c r="AO1352" t="str">
        <f t="shared" si="193"/>
        <v/>
      </c>
    </row>
    <row r="1353" spans="1:41">
      <c r="A1353">
        <f t="shared" si="198"/>
        <v>1349</v>
      </c>
      <c r="B1353" t="s">
        <v>270</v>
      </c>
      <c r="C1353">
        <v>5</v>
      </c>
      <c r="D1353">
        <v>5</v>
      </c>
      <c r="E1353" t="s">
        <v>385</v>
      </c>
      <c r="F1353">
        <v>412</v>
      </c>
      <c r="G1353">
        <v>2</v>
      </c>
      <c r="H1353">
        <v>58</v>
      </c>
      <c r="I1353" t="s">
        <v>386</v>
      </c>
      <c r="J1353" t="s">
        <v>386</v>
      </c>
      <c r="K1353">
        <v>1000000</v>
      </c>
      <c r="L1353">
        <v>676</v>
      </c>
      <c r="M1353">
        <v>676</v>
      </c>
      <c r="N1353">
        <v>1011</v>
      </c>
      <c r="O1353">
        <v>0</v>
      </c>
      <c r="P1353">
        <v>1867</v>
      </c>
      <c r="Q1353">
        <v>2052</v>
      </c>
      <c r="R1353">
        <v>1832</v>
      </c>
      <c r="S1353">
        <v>1168</v>
      </c>
      <c r="T1353">
        <v>0</v>
      </c>
      <c r="U1353">
        <v>9262</v>
      </c>
      <c r="V1353">
        <v>4755.9446922500001</v>
      </c>
      <c r="AH1353">
        <f t="shared" si="194"/>
        <v>676</v>
      </c>
      <c r="AI1353">
        <f t="shared" si="195"/>
        <v>1011</v>
      </c>
      <c r="AJ1353" t="str">
        <f t="shared" si="196"/>
        <v/>
      </c>
      <c r="AK1353">
        <f t="shared" si="197"/>
        <v>1867</v>
      </c>
      <c r="AL1353">
        <f t="shared" si="190"/>
        <v>2052</v>
      </c>
      <c r="AM1353">
        <f t="shared" si="191"/>
        <v>1832</v>
      </c>
      <c r="AN1353">
        <f t="shared" si="192"/>
        <v>1168</v>
      </c>
      <c r="AO1353" t="str">
        <f t="shared" si="193"/>
        <v/>
      </c>
    </row>
    <row r="1354" spans="1:41">
      <c r="A1354">
        <f t="shared" si="198"/>
        <v>1350</v>
      </c>
      <c r="B1354" t="s">
        <v>270</v>
      </c>
      <c r="C1354">
        <v>5</v>
      </c>
      <c r="D1354">
        <v>5</v>
      </c>
      <c r="E1354" t="s">
        <v>385</v>
      </c>
      <c r="F1354">
        <v>412</v>
      </c>
      <c r="G1354">
        <v>2</v>
      </c>
      <c r="H1354">
        <v>59</v>
      </c>
      <c r="I1354" t="s">
        <v>386</v>
      </c>
      <c r="J1354" t="s">
        <v>386</v>
      </c>
      <c r="K1354">
        <v>1000000</v>
      </c>
      <c r="L1354">
        <v>712</v>
      </c>
      <c r="M1354">
        <v>712</v>
      </c>
      <c r="N1354">
        <v>1060</v>
      </c>
      <c r="O1354">
        <v>0</v>
      </c>
      <c r="P1354">
        <v>1952</v>
      </c>
      <c r="Q1354">
        <v>2172</v>
      </c>
      <c r="R1354">
        <v>1962</v>
      </c>
      <c r="S1354">
        <v>1265</v>
      </c>
      <c r="T1354">
        <v>0</v>
      </c>
      <c r="U1354">
        <v>9495</v>
      </c>
      <c r="V1354">
        <v>4378.6369787499998</v>
      </c>
      <c r="AH1354">
        <f t="shared" si="194"/>
        <v>712</v>
      </c>
      <c r="AI1354">
        <f t="shared" si="195"/>
        <v>1060</v>
      </c>
      <c r="AJ1354" t="str">
        <f t="shared" si="196"/>
        <v/>
      </c>
      <c r="AK1354">
        <f t="shared" si="197"/>
        <v>1952</v>
      </c>
      <c r="AL1354">
        <f t="shared" si="190"/>
        <v>2172</v>
      </c>
      <c r="AM1354">
        <f t="shared" si="191"/>
        <v>1962</v>
      </c>
      <c r="AN1354">
        <f t="shared" si="192"/>
        <v>1265</v>
      </c>
      <c r="AO1354" t="str">
        <f t="shared" si="193"/>
        <v/>
      </c>
    </row>
    <row r="1355" spans="1:41">
      <c r="A1355">
        <f t="shared" si="198"/>
        <v>1351</v>
      </c>
      <c r="B1355" t="s">
        <v>270</v>
      </c>
      <c r="C1355">
        <v>5</v>
      </c>
      <c r="D1355">
        <v>5</v>
      </c>
      <c r="E1355" t="s">
        <v>385</v>
      </c>
      <c r="F1355">
        <v>412</v>
      </c>
      <c r="G1355">
        <v>2</v>
      </c>
      <c r="H1355">
        <v>60</v>
      </c>
      <c r="I1355" t="s">
        <v>386</v>
      </c>
      <c r="J1355" t="s">
        <v>386</v>
      </c>
      <c r="K1355">
        <v>1000000</v>
      </c>
      <c r="L1355">
        <v>752</v>
      </c>
      <c r="M1355">
        <v>752</v>
      </c>
      <c r="N1355">
        <v>1113</v>
      </c>
      <c r="O1355">
        <v>0</v>
      </c>
      <c r="P1355">
        <v>2061</v>
      </c>
      <c r="Q1355">
        <v>2330</v>
      </c>
      <c r="R1355">
        <v>2129</v>
      </c>
      <c r="S1355">
        <v>1378</v>
      </c>
      <c r="T1355">
        <v>0</v>
      </c>
      <c r="U1355">
        <v>9748</v>
      </c>
      <c r="V1355">
        <v>3979.6764623399999</v>
      </c>
      <c r="AH1355">
        <f t="shared" si="194"/>
        <v>752</v>
      </c>
      <c r="AI1355">
        <f t="shared" si="195"/>
        <v>1113</v>
      </c>
      <c r="AJ1355" t="str">
        <f t="shared" si="196"/>
        <v/>
      </c>
      <c r="AK1355">
        <f t="shared" si="197"/>
        <v>2061</v>
      </c>
      <c r="AL1355">
        <f t="shared" si="190"/>
        <v>2330</v>
      </c>
      <c r="AM1355">
        <f t="shared" si="191"/>
        <v>2129</v>
      </c>
      <c r="AN1355">
        <f t="shared" si="192"/>
        <v>1378</v>
      </c>
      <c r="AO1355" t="str">
        <f t="shared" si="193"/>
        <v/>
      </c>
    </row>
    <row r="1356" spans="1:41">
      <c r="A1356">
        <f t="shared" si="198"/>
        <v>1352</v>
      </c>
      <c r="B1356" t="s">
        <v>270</v>
      </c>
      <c r="C1356">
        <v>5</v>
      </c>
      <c r="D1356">
        <v>5</v>
      </c>
      <c r="E1356" t="s">
        <v>385</v>
      </c>
      <c r="F1356">
        <v>412</v>
      </c>
      <c r="G1356">
        <v>2</v>
      </c>
      <c r="H1356">
        <v>61</v>
      </c>
      <c r="I1356" t="s">
        <v>386</v>
      </c>
      <c r="J1356" t="s">
        <v>386</v>
      </c>
      <c r="K1356">
        <v>1000000</v>
      </c>
      <c r="L1356">
        <v>795</v>
      </c>
      <c r="M1356">
        <v>795</v>
      </c>
      <c r="N1356">
        <v>1172</v>
      </c>
      <c r="O1356">
        <v>0</v>
      </c>
      <c r="P1356">
        <v>2187</v>
      </c>
      <c r="Q1356">
        <v>2511</v>
      </c>
      <c r="R1356">
        <v>2304</v>
      </c>
      <c r="S1356">
        <v>1490</v>
      </c>
      <c r="T1356">
        <v>0</v>
      </c>
      <c r="U1356">
        <v>10027</v>
      </c>
      <c r="V1356">
        <v>3983.9727246299999</v>
      </c>
      <c r="AH1356">
        <f t="shared" si="194"/>
        <v>795</v>
      </c>
      <c r="AI1356">
        <f t="shared" si="195"/>
        <v>1172</v>
      </c>
      <c r="AJ1356" t="str">
        <f t="shared" si="196"/>
        <v/>
      </c>
      <c r="AK1356">
        <f t="shared" si="197"/>
        <v>2187</v>
      </c>
      <c r="AL1356">
        <f t="shared" si="190"/>
        <v>2511</v>
      </c>
      <c r="AM1356">
        <f t="shared" si="191"/>
        <v>2304</v>
      </c>
      <c r="AN1356">
        <f t="shared" si="192"/>
        <v>1490</v>
      </c>
      <c r="AO1356" t="str">
        <f t="shared" si="193"/>
        <v/>
      </c>
    </row>
    <row r="1357" spans="1:41">
      <c r="A1357">
        <f t="shared" si="198"/>
        <v>1353</v>
      </c>
      <c r="B1357" t="s">
        <v>270</v>
      </c>
      <c r="C1357">
        <v>5</v>
      </c>
      <c r="D1357">
        <v>5</v>
      </c>
      <c r="E1357" t="s">
        <v>385</v>
      </c>
      <c r="F1357">
        <v>412</v>
      </c>
      <c r="G1357">
        <v>2</v>
      </c>
      <c r="H1357">
        <v>62</v>
      </c>
      <c r="I1357" t="s">
        <v>386</v>
      </c>
      <c r="J1357" t="s">
        <v>386</v>
      </c>
      <c r="K1357">
        <v>1000000</v>
      </c>
      <c r="L1357">
        <v>843</v>
      </c>
      <c r="M1357">
        <v>843</v>
      </c>
      <c r="N1357">
        <v>1236</v>
      </c>
      <c r="O1357">
        <v>0</v>
      </c>
      <c r="P1357">
        <v>2322</v>
      </c>
      <c r="Q1357">
        <v>2689</v>
      </c>
      <c r="R1357">
        <v>2470</v>
      </c>
      <c r="S1357">
        <v>1597</v>
      </c>
      <c r="T1357">
        <v>0</v>
      </c>
      <c r="U1357">
        <v>10331</v>
      </c>
      <c r="V1357">
        <v>3988.7349205800001</v>
      </c>
      <c r="AH1357">
        <f t="shared" si="194"/>
        <v>843</v>
      </c>
      <c r="AI1357">
        <f t="shared" si="195"/>
        <v>1236</v>
      </c>
      <c r="AJ1357" t="str">
        <f t="shared" si="196"/>
        <v/>
      </c>
      <c r="AK1357">
        <f t="shared" si="197"/>
        <v>2322</v>
      </c>
      <c r="AL1357">
        <f t="shared" si="190"/>
        <v>2689</v>
      </c>
      <c r="AM1357">
        <f t="shared" si="191"/>
        <v>2470</v>
      </c>
      <c r="AN1357">
        <f t="shared" si="192"/>
        <v>1597</v>
      </c>
      <c r="AO1357" t="str">
        <f t="shared" si="193"/>
        <v/>
      </c>
    </row>
    <row r="1358" spans="1:41">
      <c r="A1358">
        <f t="shared" si="198"/>
        <v>1354</v>
      </c>
      <c r="B1358" t="s">
        <v>270</v>
      </c>
      <c r="C1358">
        <v>5</v>
      </c>
      <c r="D1358">
        <v>5</v>
      </c>
      <c r="E1358" t="s">
        <v>385</v>
      </c>
      <c r="F1358">
        <v>412</v>
      </c>
      <c r="G1358">
        <v>2</v>
      </c>
      <c r="H1358">
        <v>63</v>
      </c>
      <c r="I1358" t="s">
        <v>386</v>
      </c>
      <c r="J1358" t="s">
        <v>386</v>
      </c>
      <c r="K1358">
        <v>1000000</v>
      </c>
      <c r="L1358">
        <v>895</v>
      </c>
      <c r="M1358">
        <v>895</v>
      </c>
      <c r="N1358">
        <v>1306</v>
      </c>
      <c r="O1358">
        <v>0</v>
      </c>
      <c r="P1358">
        <v>2450</v>
      </c>
      <c r="Q1358">
        <v>2853</v>
      </c>
      <c r="R1358">
        <v>2626</v>
      </c>
      <c r="S1358">
        <v>1699</v>
      </c>
      <c r="T1358">
        <v>0</v>
      </c>
      <c r="U1358">
        <v>10663</v>
      </c>
      <c r="V1358">
        <v>3994.33317511</v>
      </c>
      <c r="AH1358">
        <f t="shared" si="194"/>
        <v>895</v>
      </c>
      <c r="AI1358">
        <f t="shared" si="195"/>
        <v>1306</v>
      </c>
      <c r="AJ1358" t="str">
        <f t="shared" si="196"/>
        <v/>
      </c>
      <c r="AK1358">
        <f t="shared" si="197"/>
        <v>2450</v>
      </c>
      <c r="AL1358">
        <f t="shared" si="190"/>
        <v>2853</v>
      </c>
      <c r="AM1358">
        <f t="shared" si="191"/>
        <v>2626</v>
      </c>
      <c r="AN1358">
        <f t="shared" si="192"/>
        <v>1699</v>
      </c>
      <c r="AO1358" t="str">
        <f t="shared" si="193"/>
        <v/>
      </c>
    </row>
    <row r="1359" spans="1:41">
      <c r="A1359">
        <f t="shared" si="198"/>
        <v>1355</v>
      </c>
      <c r="B1359" t="s">
        <v>270</v>
      </c>
      <c r="C1359">
        <v>5</v>
      </c>
      <c r="D1359">
        <v>5</v>
      </c>
      <c r="E1359" t="s">
        <v>385</v>
      </c>
      <c r="F1359">
        <v>412</v>
      </c>
      <c r="G1359">
        <v>2</v>
      </c>
      <c r="H1359">
        <v>64</v>
      </c>
      <c r="I1359" t="s">
        <v>386</v>
      </c>
      <c r="J1359" t="s">
        <v>386</v>
      </c>
      <c r="K1359">
        <v>1000000</v>
      </c>
      <c r="L1359">
        <v>951</v>
      </c>
      <c r="M1359">
        <v>951</v>
      </c>
      <c r="N1359">
        <v>1381</v>
      </c>
      <c r="O1359">
        <v>0</v>
      </c>
      <c r="P1359">
        <v>2573</v>
      </c>
      <c r="Q1359">
        <v>3015</v>
      </c>
      <c r="R1359">
        <v>2782</v>
      </c>
      <c r="S1359">
        <v>1804</v>
      </c>
      <c r="T1359">
        <v>0</v>
      </c>
      <c r="U1359">
        <v>11019</v>
      </c>
      <c r="V1359">
        <v>4000.3756602499998</v>
      </c>
      <c r="AH1359">
        <f t="shared" si="194"/>
        <v>951</v>
      </c>
      <c r="AI1359">
        <f t="shared" si="195"/>
        <v>1381</v>
      </c>
      <c r="AJ1359" t="str">
        <f t="shared" si="196"/>
        <v/>
      </c>
      <c r="AK1359">
        <f t="shared" si="197"/>
        <v>2573</v>
      </c>
      <c r="AL1359">
        <f t="shared" si="190"/>
        <v>3015</v>
      </c>
      <c r="AM1359">
        <f t="shared" si="191"/>
        <v>2782</v>
      </c>
      <c r="AN1359">
        <f t="shared" si="192"/>
        <v>1804</v>
      </c>
      <c r="AO1359" t="str">
        <f t="shared" si="193"/>
        <v/>
      </c>
    </row>
    <row r="1360" spans="1:41">
      <c r="A1360">
        <f t="shared" si="198"/>
        <v>1356</v>
      </c>
      <c r="B1360" t="s">
        <v>270</v>
      </c>
      <c r="C1360">
        <v>5</v>
      </c>
      <c r="D1360">
        <v>5</v>
      </c>
      <c r="E1360" t="s">
        <v>385</v>
      </c>
      <c r="F1360">
        <v>412</v>
      </c>
      <c r="G1360">
        <v>2</v>
      </c>
      <c r="H1360">
        <v>65</v>
      </c>
      <c r="I1360" t="s">
        <v>386</v>
      </c>
      <c r="J1360" t="s">
        <v>386</v>
      </c>
      <c r="K1360">
        <v>1000000</v>
      </c>
      <c r="L1360">
        <v>1010</v>
      </c>
      <c r="M1360">
        <v>1010</v>
      </c>
      <c r="N1360">
        <v>1461</v>
      </c>
      <c r="O1360">
        <v>0</v>
      </c>
      <c r="P1360">
        <v>2700</v>
      </c>
      <c r="Q1360">
        <v>3180</v>
      </c>
      <c r="R1360">
        <v>2942</v>
      </c>
      <c r="S1360">
        <v>1909</v>
      </c>
      <c r="T1360">
        <v>0</v>
      </c>
      <c r="U1360">
        <v>11398</v>
      </c>
      <c r="V1360">
        <v>4007.2862278399998</v>
      </c>
      <c r="AH1360">
        <f t="shared" si="194"/>
        <v>1010</v>
      </c>
      <c r="AI1360">
        <f t="shared" si="195"/>
        <v>1461</v>
      </c>
      <c r="AJ1360" t="str">
        <f t="shared" si="196"/>
        <v/>
      </c>
      <c r="AK1360">
        <f t="shared" si="197"/>
        <v>2700</v>
      </c>
      <c r="AL1360">
        <f t="shared" si="190"/>
        <v>3180</v>
      </c>
      <c r="AM1360">
        <f t="shared" si="191"/>
        <v>2942</v>
      </c>
      <c r="AN1360">
        <f t="shared" si="192"/>
        <v>1909</v>
      </c>
      <c r="AO1360" t="str">
        <f t="shared" si="193"/>
        <v/>
      </c>
    </row>
    <row r="1361" spans="1:41">
      <c r="A1361">
        <f t="shared" si="198"/>
        <v>1357</v>
      </c>
      <c r="B1361" t="s">
        <v>270</v>
      </c>
      <c r="C1361">
        <v>5</v>
      </c>
      <c r="D1361">
        <v>5</v>
      </c>
      <c r="E1361" t="s">
        <v>385</v>
      </c>
      <c r="F1361">
        <v>412</v>
      </c>
      <c r="G1361">
        <v>2</v>
      </c>
      <c r="H1361">
        <v>66</v>
      </c>
      <c r="I1361" t="s">
        <v>386</v>
      </c>
      <c r="J1361" t="s">
        <v>386</v>
      </c>
      <c r="K1361">
        <v>1000000</v>
      </c>
      <c r="L1361">
        <v>1073</v>
      </c>
      <c r="M1361">
        <v>1073</v>
      </c>
      <c r="N1361">
        <v>1546</v>
      </c>
      <c r="O1361">
        <v>0</v>
      </c>
      <c r="P1361">
        <v>2830</v>
      </c>
      <c r="Q1361">
        <v>3347</v>
      </c>
      <c r="R1361">
        <v>3099</v>
      </c>
      <c r="S1361">
        <v>2008</v>
      </c>
      <c r="T1361">
        <v>0</v>
      </c>
      <c r="U1361">
        <v>11801</v>
      </c>
      <c r="V1361">
        <v>4015.0323050299999</v>
      </c>
      <c r="AH1361">
        <f t="shared" si="194"/>
        <v>1073</v>
      </c>
      <c r="AI1361">
        <f t="shared" si="195"/>
        <v>1546</v>
      </c>
      <c r="AJ1361" t="str">
        <f t="shared" si="196"/>
        <v/>
      </c>
      <c r="AK1361">
        <f t="shared" si="197"/>
        <v>2830</v>
      </c>
      <c r="AL1361">
        <f t="shared" si="190"/>
        <v>3347</v>
      </c>
      <c r="AM1361">
        <f t="shared" si="191"/>
        <v>3099</v>
      </c>
      <c r="AN1361">
        <f t="shared" si="192"/>
        <v>2008</v>
      </c>
      <c r="AO1361" t="str">
        <f t="shared" si="193"/>
        <v/>
      </c>
    </row>
    <row r="1362" spans="1:41">
      <c r="A1362">
        <f t="shared" si="198"/>
        <v>1358</v>
      </c>
      <c r="B1362" t="s">
        <v>270</v>
      </c>
      <c r="C1362">
        <v>5</v>
      </c>
      <c r="D1362">
        <v>5</v>
      </c>
      <c r="E1362" t="s">
        <v>385</v>
      </c>
      <c r="F1362">
        <v>412</v>
      </c>
      <c r="G1362">
        <v>2</v>
      </c>
      <c r="H1362">
        <v>67</v>
      </c>
      <c r="I1362" t="s">
        <v>386</v>
      </c>
      <c r="J1362" t="s">
        <v>386</v>
      </c>
      <c r="K1362">
        <v>1000000</v>
      </c>
      <c r="L1362">
        <v>1140</v>
      </c>
      <c r="M1362">
        <v>1140</v>
      </c>
      <c r="N1362">
        <v>1636</v>
      </c>
      <c r="O1362">
        <v>0</v>
      </c>
      <c r="P1362">
        <v>2961</v>
      </c>
      <c r="Q1362">
        <v>3508</v>
      </c>
      <c r="R1362">
        <v>3245</v>
      </c>
      <c r="S1362">
        <v>2100</v>
      </c>
      <c r="T1362">
        <v>0</v>
      </c>
      <c r="U1362">
        <v>12227</v>
      </c>
      <c r="V1362">
        <v>4024.5145467399998</v>
      </c>
      <c r="AH1362">
        <f t="shared" si="194"/>
        <v>1140</v>
      </c>
      <c r="AI1362">
        <f t="shared" si="195"/>
        <v>1636</v>
      </c>
      <c r="AJ1362" t="str">
        <f t="shared" si="196"/>
        <v/>
      </c>
      <c r="AK1362">
        <f t="shared" si="197"/>
        <v>2961</v>
      </c>
      <c r="AL1362">
        <f t="shared" si="190"/>
        <v>3508</v>
      </c>
      <c r="AM1362">
        <f t="shared" si="191"/>
        <v>3245</v>
      </c>
      <c r="AN1362">
        <f t="shared" si="192"/>
        <v>2100</v>
      </c>
      <c r="AO1362" t="str">
        <f t="shared" si="193"/>
        <v/>
      </c>
    </row>
    <row r="1363" spans="1:41">
      <c r="A1363">
        <f t="shared" si="198"/>
        <v>1359</v>
      </c>
      <c r="B1363" t="s">
        <v>270</v>
      </c>
      <c r="C1363">
        <v>5</v>
      </c>
      <c r="D1363">
        <v>5</v>
      </c>
      <c r="E1363" t="s">
        <v>385</v>
      </c>
      <c r="F1363">
        <v>412</v>
      </c>
      <c r="G1363">
        <v>2</v>
      </c>
      <c r="H1363">
        <v>68</v>
      </c>
      <c r="I1363" t="s">
        <v>386</v>
      </c>
      <c r="J1363" t="s">
        <v>386</v>
      </c>
      <c r="K1363">
        <v>1000000</v>
      </c>
      <c r="L1363">
        <v>1210</v>
      </c>
      <c r="M1363">
        <v>1210</v>
      </c>
      <c r="N1363">
        <v>1730</v>
      </c>
      <c r="O1363">
        <v>0</v>
      </c>
      <c r="P1363">
        <v>3091</v>
      </c>
      <c r="Q1363">
        <v>3664</v>
      </c>
      <c r="R1363">
        <v>3389</v>
      </c>
      <c r="S1363">
        <v>2197</v>
      </c>
      <c r="T1363">
        <v>0</v>
      </c>
      <c r="U1363">
        <v>12673</v>
      </c>
      <c r="V1363">
        <v>4034.8423386300001</v>
      </c>
      <c r="AH1363">
        <f t="shared" si="194"/>
        <v>1210</v>
      </c>
      <c r="AI1363">
        <f t="shared" si="195"/>
        <v>1730</v>
      </c>
      <c r="AJ1363" t="str">
        <f t="shared" si="196"/>
        <v/>
      </c>
      <c r="AK1363">
        <f t="shared" si="197"/>
        <v>3091</v>
      </c>
      <c r="AL1363">
        <f t="shared" si="190"/>
        <v>3664</v>
      </c>
      <c r="AM1363">
        <f t="shared" si="191"/>
        <v>3389</v>
      </c>
      <c r="AN1363">
        <f t="shared" si="192"/>
        <v>2197</v>
      </c>
      <c r="AO1363" t="str">
        <f t="shared" si="193"/>
        <v/>
      </c>
    </row>
    <row r="1364" spans="1:41">
      <c r="A1364">
        <f t="shared" si="198"/>
        <v>1360</v>
      </c>
      <c r="B1364" t="s">
        <v>270</v>
      </c>
      <c r="C1364">
        <v>5</v>
      </c>
      <c r="D1364">
        <v>5</v>
      </c>
      <c r="E1364" t="s">
        <v>385</v>
      </c>
      <c r="F1364">
        <v>412</v>
      </c>
      <c r="G1364">
        <v>2</v>
      </c>
      <c r="H1364">
        <v>69</v>
      </c>
      <c r="I1364" t="s">
        <v>386</v>
      </c>
      <c r="J1364" t="s">
        <v>386</v>
      </c>
      <c r="K1364">
        <v>1000000</v>
      </c>
      <c r="L1364">
        <v>1283</v>
      </c>
      <c r="M1364">
        <v>1283</v>
      </c>
      <c r="N1364">
        <v>1829</v>
      </c>
      <c r="O1364">
        <v>0</v>
      </c>
      <c r="P1364">
        <v>3223</v>
      </c>
      <c r="Q1364">
        <v>3825</v>
      </c>
      <c r="R1364">
        <v>3547</v>
      </c>
      <c r="S1364">
        <v>2304</v>
      </c>
      <c r="T1364">
        <v>0</v>
      </c>
      <c r="U1364">
        <v>13142</v>
      </c>
      <c r="V1364">
        <v>4046.9165971900002</v>
      </c>
      <c r="AH1364">
        <f t="shared" si="194"/>
        <v>1283</v>
      </c>
      <c r="AI1364">
        <f t="shared" si="195"/>
        <v>1829</v>
      </c>
      <c r="AJ1364" t="str">
        <f t="shared" si="196"/>
        <v/>
      </c>
      <c r="AK1364">
        <f t="shared" si="197"/>
        <v>3223</v>
      </c>
      <c r="AL1364">
        <f t="shared" si="190"/>
        <v>3825</v>
      </c>
      <c r="AM1364">
        <f t="shared" si="191"/>
        <v>3547</v>
      </c>
      <c r="AN1364">
        <f t="shared" si="192"/>
        <v>2304</v>
      </c>
      <c r="AO1364" t="str">
        <f t="shared" si="193"/>
        <v/>
      </c>
    </row>
    <row r="1365" spans="1:41">
      <c r="A1365">
        <f t="shared" si="198"/>
        <v>1361</v>
      </c>
      <c r="B1365" t="s">
        <v>270</v>
      </c>
      <c r="C1365">
        <v>5</v>
      </c>
      <c r="D1365">
        <v>5</v>
      </c>
      <c r="E1365" t="s">
        <v>385</v>
      </c>
      <c r="F1365">
        <v>412</v>
      </c>
      <c r="G1365">
        <v>2</v>
      </c>
      <c r="H1365">
        <v>70</v>
      </c>
      <c r="I1365" t="s">
        <v>386</v>
      </c>
      <c r="J1365" t="s">
        <v>386</v>
      </c>
      <c r="K1365">
        <v>1000000</v>
      </c>
      <c r="L1365">
        <v>1360</v>
      </c>
      <c r="M1365">
        <v>1360</v>
      </c>
      <c r="N1365">
        <v>1933</v>
      </c>
      <c r="O1365">
        <v>0</v>
      </c>
      <c r="P1365">
        <v>3359</v>
      </c>
      <c r="Q1365">
        <v>3997</v>
      </c>
      <c r="R1365">
        <v>3708</v>
      </c>
      <c r="S1365">
        <v>2402</v>
      </c>
      <c r="T1365">
        <v>0</v>
      </c>
      <c r="U1365">
        <v>13630</v>
      </c>
      <c r="V1365">
        <v>4060.31401405</v>
      </c>
      <c r="AH1365">
        <f t="shared" si="194"/>
        <v>1360</v>
      </c>
      <c r="AI1365">
        <f t="shared" si="195"/>
        <v>1933</v>
      </c>
      <c r="AJ1365" t="str">
        <f t="shared" si="196"/>
        <v/>
      </c>
      <c r="AK1365">
        <f t="shared" si="197"/>
        <v>3359</v>
      </c>
      <c r="AL1365">
        <f t="shared" si="190"/>
        <v>3997</v>
      </c>
      <c r="AM1365">
        <f t="shared" si="191"/>
        <v>3708</v>
      </c>
      <c r="AN1365">
        <f t="shared" si="192"/>
        <v>2402</v>
      </c>
      <c r="AO1365" t="str">
        <f t="shared" si="193"/>
        <v/>
      </c>
    </row>
    <row r="1366" spans="1:41">
      <c r="A1366">
        <f t="shared" si="198"/>
        <v>1362</v>
      </c>
      <c r="B1366" t="s">
        <v>270</v>
      </c>
      <c r="C1366">
        <v>5</v>
      </c>
      <c r="D1366">
        <v>5</v>
      </c>
      <c r="E1366" t="s">
        <v>385</v>
      </c>
      <c r="F1366">
        <v>412</v>
      </c>
      <c r="G1366">
        <v>2</v>
      </c>
      <c r="H1366">
        <v>71</v>
      </c>
      <c r="I1366" t="s">
        <v>386</v>
      </c>
      <c r="J1366" t="s">
        <v>386</v>
      </c>
      <c r="K1366">
        <v>1000000</v>
      </c>
      <c r="L1366">
        <v>1439</v>
      </c>
      <c r="M1366">
        <v>1439</v>
      </c>
      <c r="N1366">
        <v>2039</v>
      </c>
      <c r="O1366">
        <v>0</v>
      </c>
      <c r="P1366">
        <v>3482</v>
      </c>
      <c r="Q1366">
        <v>4129</v>
      </c>
      <c r="R1366">
        <v>3800</v>
      </c>
      <c r="S1366">
        <v>2420</v>
      </c>
      <c r="T1366">
        <v>0</v>
      </c>
      <c r="U1366">
        <v>14131</v>
      </c>
      <c r="V1366">
        <v>4074.60069097</v>
      </c>
      <c r="AH1366">
        <f t="shared" si="194"/>
        <v>1439</v>
      </c>
      <c r="AI1366">
        <f t="shared" si="195"/>
        <v>2039</v>
      </c>
      <c r="AJ1366" t="str">
        <f t="shared" si="196"/>
        <v/>
      </c>
      <c r="AK1366">
        <f t="shared" si="197"/>
        <v>3482</v>
      </c>
      <c r="AL1366">
        <f t="shared" si="190"/>
        <v>4129</v>
      </c>
      <c r="AM1366">
        <f t="shared" si="191"/>
        <v>3800</v>
      </c>
      <c r="AN1366">
        <f t="shared" si="192"/>
        <v>2420</v>
      </c>
      <c r="AO1366" t="str">
        <f t="shared" si="193"/>
        <v/>
      </c>
    </row>
    <row r="1367" spans="1:41">
      <c r="A1367">
        <f t="shared" si="198"/>
        <v>1363</v>
      </c>
      <c r="B1367" t="s">
        <v>270</v>
      </c>
      <c r="C1367">
        <v>5</v>
      </c>
      <c r="D1367">
        <v>5</v>
      </c>
      <c r="E1367" t="s">
        <v>385</v>
      </c>
      <c r="F1367">
        <v>412</v>
      </c>
      <c r="G1367">
        <v>2</v>
      </c>
      <c r="H1367">
        <v>72</v>
      </c>
      <c r="I1367" t="s">
        <v>386</v>
      </c>
      <c r="J1367" t="s">
        <v>386</v>
      </c>
      <c r="K1367">
        <v>1000000</v>
      </c>
      <c r="L1367">
        <v>1516</v>
      </c>
      <c r="M1367">
        <v>1516</v>
      </c>
      <c r="N1367">
        <v>2143</v>
      </c>
      <c r="O1367">
        <v>0</v>
      </c>
      <c r="P1367">
        <v>3538</v>
      </c>
      <c r="Q1367">
        <v>4124</v>
      </c>
      <c r="R1367">
        <v>3701</v>
      </c>
      <c r="S1367">
        <v>2283</v>
      </c>
      <c r="T1367">
        <v>0</v>
      </c>
      <c r="U1367">
        <v>14623</v>
      </c>
      <c r="V1367">
        <v>4089.3318605999998</v>
      </c>
      <c r="AH1367">
        <f t="shared" si="194"/>
        <v>1516</v>
      </c>
      <c r="AI1367">
        <f t="shared" si="195"/>
        <v>2143</v>
      </c>
      <c r="AJ1367" t="str">
        <f t="shared" si="196"/>
        <v/>
      </c>
      <c r="AK1367">
        <f t="shared" si="197"/>
        <v>3538</v>
      </c>
      <c r="AL1367">
        <f t="shared" si="190"/>
        <v>4124</v>
      </c>
      <c r="AM1367">
        <f t="shared" si="191"/>
        <v>3701</v>
      </c>
      <c r="AN1367">
        <f t="shared" si="192"/>
        <v>2283</v>
      </c>
      <c r="AO1367" t="str">
        <f t="shared" si="193"/>
        <v/>
      </c>
    </row>
    <row r="1368" spans="1:41">
      <c r="A1368">
        <f t="shared" si="198"/>
        <v>1364</v>
      </c>
      <c r="B1368" t="s">
        <v>270</v>
      </c>
      <c r="C1368">
        <v>5</v>
      </c>
      <c r="D1368">
        <v>5</v>
      </c>
      <c r="E1368" t="s">
        <v>385</v>
      </c>
      <c r="F1368">
        <v>412</v>
      </c>
      <c r="G1368">
        <v>2</v>
      </c>
      <c r="H1368">
        <v>73</v>
      </c>
      <c r="I1368" t="s">
        <v>386</v>
      </c>
      <c r="J1368" t="s">
        <v>386</v>
      </c>
      <c r="K1368">
        <v>1000000</v>
      </c>
      <c r="L1368">
        <v>1587</v>
      </c>
      <c r="M1368">
        <v>1587</v>
      </c>
      <c r="N1368">
        <v>2239</v>
      </c>
      <c r="O1368">
        <v>0</v>
      </c>
      <c r="P1368">
        <v>3458</v>
      </c>
      <c r="Q1368">
        <v>3868</v>
      </c>
      <c r="R1368">
        <v>3322</v>
      </c>
      <c r="S1368">
        <v>1952</v>
      </c>
      <c r="T1368">
        <v>0</v>
      </c>
      <c r="U1368">
        <v>15074</v>
      </c>
      <c r="V1368">
        <v>4104.5186728299996</v>
      </c>
      <c r="AH1368">
        <f t="shared" si="194"/>
        <v>1587</v>
      </c>
      <c r="AI1368">
        <f t="shared" si="195"/>
        <v>2239</v>
      </c>
      <c r="AJ1368" t="str">
        <f t="shared" si="196"/>
        <v/>
      </c>
      <c r="AK1368">
        <f t="shared" si="197"/>
        <v>3458</v>
      </c>
      <c r="AL1368">
        <f t="shared" si="190"/>
        <v>3868</v>
      </c>
      <c r="AM1368">
        <f t="shared" si="191"/>
        <v>3322</v>
      </c>
      <c r="AN1368">
        <f t="shared" si="192"/>
        <v>1952</v>
      </c>
      <c r="AO1368" t="str">
        <f t="shared" si="193"/>
        <v/>
      </c>
    </row>
    <row r="1369" spans="1:41">
      <c r="A1369">
        <f t="shared" si="198"/>
        <v>1365</v>
      </c>
      <c r="B1369" t="s">
        <v>270</v>
      </c>
      <c r="C1369">
        <v>5</v>
      </c>
      <c r="D1369">
        <v>5</v>
      </c>
      <c r="E1369" t="s">
        <v>385</v>
      </c>
      <c r="F1369">
        <v>412</v>
      </c>
      <c r="G1369">
        <v>2</v>
      </c>
      <c r="H1369">
        <v>74</v>
      </c>
      <c r="I1369" t="s">
        <v>386</v>
      </c>
      <c r="J1369" t="s">
        <v>386</v>
      </c>
      <c r="K1369">
        <v>1000000</v>
      </c>
      <c r="L1369">
        <v>1646</v>
      </c>
      <c r="M1369">
        <v>1646</v>
      </c>
      <c r="N1369">
        <v>2319</v>
      </c>
      <c r="O1369">
        <v>0</v>
      </c>
      <c r="P1369">
        <v>3197</v>
      </c>
      <c r="Q1369">
        <v>3335</v>
      </c>
      <c r="R1369">
        <v>2681</v>
      </c>
      <c r="S1369">
        <v>1480</v>
      </c>
      <c r="T1369">
        <v>0</v>
      </c>
      <c r="U1369">
        <v>15448</v>
      </c>
      <c r="V1369">
        <v>4121.3562407299996</v>
      </c>
      <c r="AH1369">
        <f t="shared" si="194"/>
        <v>1646</v>
      </c>
      <c r="AI1369">
        <f t="shared" si="195"/>
        <v>2319</v>
      </c>
      <c r="AJ1369" t="str">
        <f t="shared" si="196"/>
        <v/>
      </c>
      <c r="AK1369">
        <f t="shared" si="197"/>
        <v>3197</v>
      </c>
      <c r="AL1369">
        <f t="shared" si="190"/>
        <v>3335</v>
      </c>
      <c r="AM1369">
        <f t="shared" si="191"/>
        <v>2681</v>
      </c>
      <c r="AN1369">
        <f t="shared" si="192"/>
        <v>1480</v>
      </c>
      <c r="AO1369" t="str">
        <f t="shared" si="193"/>
        <v/>
      </c>
    </row>
    <row r="1370" spans="1:41">
      <c r="A1370">
        <f t="shared" si="198"/>
        <v>1366</v>
      </c>
      <c r="B1370" t="s">
        <v>270</v>
      </c>
      <c r="C1370">
        <v>5</v>
      </c>
      <c r="D1370">
        <v>5</v>
      </c>
      <c r="E1370" t="s">
        <v>385</v>
      </c>
      <c r="F1370">
        <v>412</v>
      </c>
      <c r="G1370">
        <v>2</v>
      </c>
      <c r="H1370">
        <v>75</v>
      </c>
      <c r="I1370" t="s">
        <v>386</v>
      </c>
      <c r="J1370" t="s">
        <v>386</v>
      </c>
      <c r="K1370">
        <v>1000000</v>
      </c>
      <c r="L1370">
        <v>1688</v>
      </c>
      <c r="M1370">
        <v>1688</v>
      </c>
      <c r="N1370">
        <v>2376</v>
      </c>
      <c r="O1370">
        <v>0</v>
      </c>
      <c r="P1370">
        <v>2792</v>
      </c>
      <c r="Q1370">
        <v>2627</v>
      </c>
      <c r="R1370">
        <v>1937</v>
      </c>
      <c r="S1370">
        <v>992</v>
      </c>
      <c r="T1370">
        <v>0</v>
      </c>
      <c r="U1370">
        <v>15717</v>
      </c>
      <c r="V1370">
        <v>4141.9492924300002</v>
      </c>
      <c r="AH1370">
        <f t="shared" si="194"/>
        <v>1688</v>
      </c>
      <c r="AI1370">
        <f t="shared" si="195"/>
        <v>2376</v>
      </c>
      <c r="AJ1370" t="str">
        <f t="shared" si="196"/>
        <v/>
      </c>
      <c r="AK1370">
        <f t="shared" si="197"/>
        <v>2792</v>
      </c>
      <c r="AL1370">
        <f t="shared" si="190"/>
        <v>2627</v>
      </c>
      <c r="AM1370">
        <f t="shared" si="191"/>
        <v>1937</v>
      </c>
      <c r="AN1370">
        <f t="shared" si="192"/>
        <v>992</v>
      </c>
      <c r="AO1370" t="str">
        <f t="shared" si="193"/>
        <v/>
      </c>
    </row>
    <row r="1371" spans="1:41">
      <c r="A1371">
        <f t="shared" si="198"/>
        <v>1367</v>
      </c>
      <c r="B1371" t="s">
        <v>270</v>
      </c>
      <c r="C1371">
        <v>4</v>
      </c>
      <c r="D1371">
        <v>4</v>
      </c>
      <c r="E1371" t="s">
        <v>385</v>
      </c>
      <c r="F1371">
        <v>412</v>
      </c>
      <c r="G1371">
        <v>2</v>
      </c>
      <c r="H1371">
        <v>76</v>
      </c>
      <c r="I1371" t="s">
        <v>386</v>
      </c>
      <c r="J1371" t="s">
        <v>386</v>
      </c>
      <c r="K1371">
        <v>1000000</v>
      </c>
      <c r="L1371">
        <v>1700</v>
      </c>
      <c r="M1371">
        <v>1700</v>
      </c>
      <c r="N1371">
        <v>2485</v>
      </c>
      <c r="O1371">
        <v>0</v>
      </c>
      <c r="P1371">
        <v>2206</v>
      </c>
      <c r="Q1371">
        <v>1650</v>
      </c>
      <c r="R1371">
        <v>846</v>
      </c>
      <c r="S1371">
        <v>0</v>
      </c>
      <c r="T1371" t="s">
        <v>386</v>
      </c>
      <c r="U1371">
        <v>16226</v>
      </c>
      <c r="V1371">
        <v>4167.2171978300003</v>
      </c>
      <c r="AH1371">
        <f t="shared" si="194"/>
        <v>1700</v>
      </c>
      <c r="AI1371">
        <f t="shared" si="195"/>
        <v>2485</v>
      </c>
      <c r="AJ1371" t="str">
        <f t="shared" si="196"/>
        <v/>
      </c>
      <c r="AK1371">
        <f t="shared" si="197"/>
        <v>2206</v>
      </c>
      <c r="AL1371">
        <f t="shared" si="190"/>
        <v>1650</v>
      </c>
      <c r="AM1371">
        <f t="shared" si="191"/>
        <v>846</v>
      </c>
      <c r="AN1371" t="str">
        <f t="shared" si="192"/>
        <v/>
      </c>
      <c r="AO1371" t="e">
        <f t="shared" si="193"/>
        <v>#VALUE!</v>
      </c>
    </row>
    <row r="1372" spans="1:41">
      <c r="A1372">
        <f t="shared" si="198"/>
        <v>1368</v>
      </c>
      <c r="B1372" t="s">
        <v>270</v>
      </c>
      <c r="C1372">
        <v>3</v>
      </c>
      <c r="D1372">
        <v>3</v>
      </c>
      <c r="E1372" t="s">
        <v>385</v>
      </c>
      <c r="F1372">
        <v>412</v>
      </c>
      <c r="G1372">
        <v>2</v>
      </c>
      <c r="H1372">
        <v>77</v>
      </c>
      <c r="I1372" t="s">
        <v>386</v>
      </c>
      <c r="J1372" t="s">
        <v>386</v>
      </c>
      <c r="K1372">
        <v>1000000</v>
      </c>
      <c r="L1372">
        <v>1697</v>
      </c>
      <c r="M1372">
        <v>1697</v>
      </c>
      <c r="N1372">
        <v>2646</v>
      </c>
      <c r="O1372">
        <v>0</v>
      </c>
      <c r="P1372">
        <v>1716</v>
      </c>
      <c r="Q1372">
        <v>879</v>
      </c>
      <c r="R1372">
        <v>0</v>
      </c>
      <c r="S1372" t="s">
        <v>386</v>
      </c>
      <c r="T1372" t="s">
        <v>386</v>
      </c>
      <c r="U1372">
        <v>16977</v>
      </c>
      <c r="V1372">
        <v>4196.4517828999997</v>
      </c>
      <c r="AH1372">
        <f t="shared" si="194"/>
        <v>1697</v>
      </c>
      <c r="AI1372">
        <f t="shared" si="195"/>
        <v>2646</v>
      </c>
      <c r="AJ1372" t="str">
        <f t="shared" si="196"/>
        <v/>
      </c>
      <c r="AK1372">
        <f t="shared" si="197"/>
        <v>1716</v>
      </c>
      <c r="AL1372">
        <f t="shared" si="190"/>
        <v>879</v>
      </c>
      <c r="AM1372" t="str">
        <f t="shared" si="191"/>
        <v/>
      </c>
      <c r="AN1372" t="e">
        <f t="shared" si="192"/>
        <v>#VALUE!</v>
      </c>
      <c r="AO1372" t="e">
        <f t="shared" si="193"/>
        <v>#VALUE!</v>
      </c>
    </row>
    <row r="1373" spans="1:41">
      <c r="A1373">
        <f t="shared" si="198"/>
        <v>1369</v>
      </c>
      <c r="B1373" t="s">
        <v>270</v>
      </c>
      <c r="C1373">
        <v>2</v>
      </c>
      <c r="D1373">
        <v>2</v>
      </c>
      <c r="E1373" t="s">
        <v>385</v>
      </c>
      <c r="F1373">
        <v>412</v>
      </c>
      <c r="G1373">
        <v>2</v>
      </c>
      <c r="H1373">
        <v>78</v>
      </c>
      <c r="I1373" t="s">
        <v>386</v>
      </c>
      <c r="J1373" t="s">
        <v>386</v>
      </c>
      <c r="K1373">
        <v>1000000</v>
      </c>
      <c r="L1373">
        <v>1669</v>
      </c>
      <c r="M1373">
        <v>1669</v>
      </c>
      <c r="N1373">
        <v>2890</v>
      </c>
      <c r="O1373">
        <v>0</v>
      </c>
      <c r="P1373">
        <v>1211</v>
      </c>
      <c r="Q1373">
        <v>0</v>
      </c>
      <c r="R1373" t="s">
        <v>386</v>
      </c>
      <c r="S1373" t="s">
        <v>386</v>
      </c>
      <c r="T1373" t="s">
        <v>386</v>
      </c>
      <c r="U1373">
        <v>16793</v>
      </c>
      <c r="V1373">
        <v>4227.6894874099999</v>
      </c>
      <c r="AH1373">
        <f t="shared" si="194"/>
        <v>1669</v>
      </c>
      <c r="AI1373">
        <f t="shared" si="195"/>
        <v>2890</v>
      </c>
      <c r="AJ1373" t="str">
        <f t="shared" si="196"/>
        <v/>
      </c>
      <c r="AK1373">
        <f t="shared" si="197"/>
        <v>1211</v>
      </c>
      <c r="AL1373" t="str">
        <f t="shared" si="190"/>
        <v/>
      </c>
      <c r="AM1373" t="e">
        <f t="shared" si="191"/>
        <v>#VALUE!</v>
      </c>
      <c r="AN1373" t="e">
        <f t="shared" si="192"/>
        <v>#VALUE!</v>
      </c>
      <c r="AO1373" t="e">
        <f t="shared" si="193"/>
        <v>#VALUE!</v>
      </c>
    </row>
    <row r="1374" spans="1:41">
      <c r="A1374">
        <f t="shared" si="198"/>
        <v>1370</v>
      </c>
      <c r="B1374" t="s">
        <v>270</v>
      </c>
      <c r="C1374">
        <v>1</v>
      </c>
      <c r="D1374">
        <v>1</v>
      </c>
      <c r="E1374" t="s">
        <v>385</v>
      </c>
      <c r="F1374">
        <v>412</v>
      </c>
      <c r="G1374">
        <v>2</v>
      </c>
      <c r="H1374">
        <v>79</v>
      </c>
      <c r="I1374" t="s">
        <v>386</v>
      </c>
      <c r="J1374" t="s">
        <v>386</v>
      </c>
      <c r="K1374">
        <v>1000000</v>
      </c>
      <c r="L1374">
        <v>1565</v>
      </c>
      <c r="M1374">
        <v>1565</v>
      </c>
      <c r="N1374">
        <v>3553</v>
      </c>
      <c r="O1374">
        <v>0</v>
      </c>
      <c r="P1374">
        <v>0</v>
      </c>
      <c r="Q1374" t="s">
        <v>386</v>
      </c>
      <c r="R1374" t="s">
        <v>386</v>
      </c>
      <c r="S1374" t="s">
        <v>386</v>
      </c>
      <c r="T1374" t="s">
        <v>386</v>
      </c>
      <c r="U1374">
        <v>16139</v>
      </c>
      <c r="V1374">
        <v>4257.8745832599998</v>
      </c>
      <c r="AH1374">
        <f t="shared" si="194"/>
        <v>1565</v>
      </c>
      <c r="AI1374">
        <f t="shared" si="195"/>
        <v>3553</v>
      </c>
      <c r="AJ1374" t="str">
        <f t="shared" si="196"/>
        <v/>
      </c>
      <c r="AK1374" t="str">
        <f t="shared" si="197"/>
        <v/>
      </c>
      <c r="AL1374" t="e">
        <f t="shared" si="190"/>
        <v>#VALUE!</v>
      </c>
      <c r="AM1374" t="e">
        <f t="shared" si="191"/>
        <v>#VALUE!</v>
      </c>
      <c r="AN1374" t="e">
        <f t="shared" si="192"/>
        <v>#VALUE!</v>
      </c>
      <c r="AO1374" t="e">
        <f t="shared" si="193"/>
        <v>#VALUE!</v>
      </c>
    </row>
    <row r="1375" spans="1:41">
      <c r="A1375">
        <f t="shared" si="198"/>
        <v>1371</v>
      </c>
      <c r="B1375" t="s">
        <v>270</v>
      </c>
      <c r="C1375">
        <v>5</v>
      </c>
      <c r="D1375">
        <v>5</v>
      </c>
      <c r="E1375" t="s">
        <v>387</v>
      </c>
      <c r="F1375">
        <v>412</v>
      </c>
      <c r="G1375">
        <v>2</v>
      </c>
      <c r="H1375">
        <v>30</v>
      </c>
      <c r="I1375" t="s">
        <v>386</v>
      </c>
      <c r="J1375" t="s">
        <v>386</v>
      </c>
      <c r="K1375">
        <v>1000000</v>
      </c>
      <c r="L1375">
        <v>99</v>
      </c>
      <c r="M1375">
        <v>99</v>
      </c>
      <c r="N1375">
        <v>238</v>
      </c>
      <c r="O1375">
        <v>0</v>
      </c>
      <c r="P1375">
        <v>423</v>
      </c>
      <c r="Q1375">
        <v>560</v>
      </c>
      <c r="R1375">
        <v>557</v>
      </c>
      <c r="S1375">
        <v>374</v>
      </c>
      <c r="T1375">
        <v>0</v>
      </c>
      <c r="U1375">
        <v>5570</v>
      </c>
      <c r="V1375">
        <v>4283.8198834900004</v>
      </c>
      <c r="AH1375">
        <f t="shared" si="194"/>
        <v>99</v>
      </c>
      <c r="AI1375">
        <f t="shared" si="195"/>
        <v>238</v>
      </c>
      <c r="AJ1375" t="str">
        <f t="shared" si="196"/>
        <v/>
      </c>
      <c r="AK1375">
        <f t="shared" si="197"/>
        <v>423</v>
      </c>
      <c r="AL1375">
        <f t="shared" si="190"/>
        <v>560</v>
      </c>
      <c r="AM1375">
        <f t="shared" si="191"/>
        <v>557</v>
      </c>
      <c r="AN1375">
        <f t="shared" si="192"/>
        <v>374</v>
      </c>
      <c r="AO1375" t="str">
        <f t="shared" si="193"/>
        <v/>
      </c>
    </row>
    <row r="1376" spans="1:41">
      <c r="A1376">
        <f t="shared" si="198"/>
        <v>1372</v>
      </c>
      <c r="B1376" t="s">
        <v>270</v>
      </c>
      <c r="C1376">
        <v>5</v>
      </c>
      <c r="D1376">
        <v>5</v>
      </c>
      <c r="E1376" t="s">
        <v>387</v>
      </c>
      <c r="F1376">
        <v>412</v>
      </c>
      <c r="G1376">
        <v>2</v>
      </c>
      <c r="H1376">
        <v>31</v>
      </c>
      <c r="I1376" t="s">
        <v>386</v>
      </c>
      <c r="J1376" t="s">
        <v>386</v>
      </c>
      <c r="K1376">
        <v>1000000</v>
      </c>
      <c r="L1376">
        <v>112</v>
      </c>
      <c r="M1376">
        <v>112</v>
      </c>
      <c r="N1376">
        <v>255</v>
      </c>
      <c r="O1376">
        <v>0</v>
      </c>
      <c r="P1376">
        <v>494</v>
      </c>
      <c r="Q1376">
        <v>643</v>
      </c>
      <c r="R1376">
        <v>616</v>
      </c>
      <c r="S1376">
        <v>402</v>
      </c>
      <c r="T1376">
        <v>0</v>
      </c>
      <c r="U1376">
        <v>5651</v>
      </c>
      <c r="V1376">
        <v>4305.7222506799999</v>
      </c>
      <c r="AH1376">
        <f t="shared" si="194"/>
        <v>112</v>
      </c>
      <c r="AI1376">
        <f t="shared" si="195"/>
        <v>255</v>
      </c>
      <c r="AJ1376" t="str">
        <f t="shared" si="196"/>
        <v/>
      </c>
      <c r="AK1376">
        <f t="shared" si="197"/>
        <v>494</v>
      </c>
      <c r="AL1376">
        <f t="shared" si="190"/>
        <v>643</v>
      </c>
      <c r="AM1376">
        <f t="shared" si="191"/>
        <v>616</v>
      </c>
      <c r="AN1376">
        <f t="shared" si="192"/>
        <v>402</v>
      </c>
      <c r="AO1376" t="str">
        <f t="shared" si="193"/>
        <v/>
      </c>
    </row>
    <row r="1377" spans="1:41">
      <c r="A1377">
        <f t="shared" si="198"/>
        <v>1373</v>
      </c>
      <c r="B1377" t="s">
        <v>270</v>
      </c>
      <c r="C1377">
        <v>5</v>
      </c>
      <c r="D1377">
        <v>5</v>
      </c>
      <c r="E1377" t="s">
        <v>387</v>
      </c>
      <c r="F1377">
        <v>412</v>
      </c>
      <c r="G1377">
        <v>2</v>
      </c>
      <c r="H1377">
        <v>32</v>
      </c>
      <c r="I1377" t="s">
        <v>386</v>
      </c>
      <c r="J1377" t="s">
        <v>386</v>
      </c>
      <c r="K1377">
        <v>1000000</v>
      </c>
      <c r="L1377">
        <v>126</v>
      </c>
      <c r="M1377">
        <v>126</v>
      </c>
      <c r="N1377">
        <v>273</v>
      </c>
      <c r="O1377">
        <v>0</v>
      </c>
      <c r="P1377">
        <v>549</v>
      </c>
      <c r="Q1377">
        <v>687</v>
      </c>
      <c r="R1377">
        <v>642</v>
      </c>
      <c r="S1377">
        <v>413</v>
      </c>
      <c r="T1377">
        <v>0</v>
      </c>
      <c r="U1377">
        <v>5740</v>
      </c>
      <c r="V1377">
        <v>4324.4141158100001</v>
      </c>
      <c r="AH1377">
        <f t="shared" si="194"/>
        <v>126</v>
      </c>
      <c r="AI1377">
        <f t="shared" si="195"/>
        <v>273</v>
      </c>
      <c r="AJ1377" t="str">
        <f t="shared" si="196"/>
        <v/>
      </c>
      <c r="AK1377">
        <f t="shared" si="197"/>
        <v>549</v>
      </c>
      <c r="AL1377">
        <f t="shared" si="190"/>
        <v>687</v>
      </c>
      <c r="AM1377">
        <f t="shared" si="191"/>
        <v>642</v>
      </c>
      <c r="AN1377">
        <f t="shared" si="192"/>
        <v>413</v>
      </c>
      <c r="AO1377" t="str">
        <f t="shared" si="193"/>
        <v/>
      </c>
    </row>
    <row r="1378" spans="1:41">
      <c r="A1378">
        <f t="shared" si="198"/>
        <v>1374</v>
      </c>
      <c r="B1378" t="s">
        <v>270</v>
      </c>
      <c r="C1378">
        <v>5</v>
      </c>
      <c r="D1378">
        <v>5</v>
      </c>
      <c r="E1378" t="s">
        <v>387</v>
      </c>
      <c r="F1378">
        <v>412</v>
      </c>
      <c r="G1378">
        <v>2</v>
      </c>
      <c r="H1378">
        <v>33</v>
      </c>
      <c r="I1378" t="s">
        <v>386</v>
      </c>
      <c r="J1378" t="s">
        <v>386</v>
      </c>
      <c r="K1378">
        <v>1000000</v>
      </c>
      <c r="L1378">
        <v>140</v>
      </c>
      <c r="M1378">
        <v>140</v>
      </c>
      <c r="N1378">
        <v>293</v>
      </c>
      <c r="O1378">
        <v>0</v>
      </c>
      <c r="P1378">
        <v>588</v>
      </c>
      <c r="Q1378">
        <v>718</v>
      </c>
      <c r="R1378">
        <v>670</v>
      </c>
      <c r="S1378">
        <v>442</v>
      </c>
      <c r="T1378">
        <v>0</v>
      </c>
      <c r="U1378">
        <v>5834</v>
      </c>
      <c r="V1378">
        <v>4342.97576398</v>
      </c>
      <c r="AH1378">
        <f t="shared" si="194"/>
        <v>140</v>
      </c>
      <c r="AI1378">
        <f t="shared" si="195"/>
        <v>293</v>
      </c>
      <c r="AJ1378" t="str">
        <f t="shared" si="196"/>
        <v/>
      </c>
      <c r="AK1378">
        <f t="shared" si="197"/>
        <v>588</v>
      </c>
      <c r="AL1378">
        <f t="shared" si="190"/>
        <v>718</v>
      </c>
      <c r="AM1378">
        <f t="shared" si="191"/>
        <v>670</v>
      </c>
      <c r="AN1378">
        <f t="shared" si="192"/>
        <v>442</v>
      </c>
      <c r="AO1378" t="str">
        <f t="shared" si="193"/>
        <v/>
      </c>
    </row>
    <row r="1379" spans="1:41">
      <c r="A1379">
        <f t="shared" si="198"/>
        <v>1375</v>
      </c>
      <c r="B1379" t="s">
        <v>270</v>
      </c>
      <c r="C1379">
        <v>5</v>
      </c>
      <c r="D1379">
        <v>5</v>
      </c>
      <c r="E1379" t="s">
        <v>387</v>
      </c>
      <c r="F1379">
        <v>412</v>
      </c>
      <c r="G1379">
        <v>2</v>
      </c>
      <c r="H1379">
        <v>34</v>
      </c>
      <c r="I1379" t="s">
        <v>386</v>
      </c>
      <c r="J1379" t="s">
        <v>386</v>
      </c>
      <c r="K1379">
        <v>1000000</v>
      </c>
      <c r="L1379">
        <v>157</v>
      </c>
      <c r="M1379">
        <v>157</v>
      </c>
      <c r="N1379">
        <v>314</v>
      </c>
      <c r="O1379">
        <v>0</v>
      </c>
      <c r="P1379">
        <v>640</v>
      </c>
      <c r="Q1379">
        <v>786</v>
      </c>
      <c r="R1379">
        <v>758</v>
      </c>
      <c r="S1379">
        <v>521</v>
      </c>
      <c r="T1379">
        <v>0</v>
      </c>
      <c r="U1379">
        <v>5937</v>
      </c>
      <c r="V1379">
        <v>4362.8054852799996</v>
      </c>
      <c r="AH1379">
        <f t="shared" si="194"/>
        <v>157</v>
      </c>
      <c r="AI1379">
        <f t="shared" si="195"/>
        <v>314</v>
      </c>
      <c r="AJ1379" t="str">
        <f t="shared" si="196"/>
        <v/>
      </c>
      <c r="AK1379">
        <f t="shared" si="197"/>
        <v>640</v>
      </c>
      <c r="AL1379">
        <f t="shared" si="190"/>
        <v>786</v>
      </c>
      <c r="AM1379">
        <f t="shared" si="191"/>
        <v>758</v>
      </c>
      <c r="AN1379">
        <f t="shared" si="192"/>
        <v>521</v>
      </c>
      <c r="AO1379" t="str">
        <f t="shared" si="193"/>
        <v/>
      </c>
    </row>
    <row r="1380" spans="1:41">
      <c r="A1380">
        <f t="shared" si="198"/>
        <v>1376</v>
      </c>
      <c r="B1380" t="s">
        <v>270</v>
      </c>
      <c r="C1380">
        <v>5</v>
      </c>
      <c r="D1380">
        <v>5</v>
      </c>
      <c r="E1380" t="s">
        <v>387</v>
      </c>
      <c r="F1380">
        <v>412</v>
      </c>
      <c r="G1380">
        <v>2</v>
      </c>
      <c r="H1380">
        <v>35</v>
      </c>
      <c r="I1380" t="s">
        <v>386</v>
      </c>
      <c r="J1380" t="s">
        <v>386</v>
      </c>
      <c r="K1380">
        <v>1000000</v>
      </c>
      <c r="L1380">
        <v>175</v>
      </c>
      <c r="M1380">
        <v>175</v>
      </c>
      <c r="N1380">
        <v>340</v>
      </c>
      <c r="O1380">
        <v>0</v>
      </c>
      <c r="P1380">
        <v>730</v>
      </c>
      <c r="Q1380">
        <v>929</v>
      </c>
      <c r="R1380">
        <v>927</v>
      </c>
      <c r="S1380">
        <v>647</v>
      </c>
      <c r="T1380">
        <v>0</v>
      </c>
      <c r="U1380">
        <v>6058</v>
      </c>
      <c r="V1380">
        <v>4384.8696783400001</v>
      </c>
      <c r="AH1380">
        <f t="shared" si="194"/>
        <v>175</v>
      </c>
      <c r="AI1380">
        <f t="shared" si="195"/>
        <v>340</v>
      </c>
      <c r="AJ1380" t="str">
        <f t="shared" si="196"/>
        <v/>
      </c>
      <c r="AK1380">
        <f t="shared" si="197"/>
        <v>730</v>
      </c>
      <c r="AL1380">
        <f t="shared" si="190"/>
        <v>929</v>
      </c>
      <c r="AM1380">
        <f t="shared" si="191"/>
        <v>927</v>
      </c>
      <c r="AN1380">
        <f t="shared" si="192"/>
        <v>647</v>
      </c>
      <c r="AO1380" t="str">
        <f t="shared" si="193"/>
        <v/>
      </c>
    </row>
    <row r="1381" spans="1:41">
      <c r="A1381">
        <f t="shared" si="198"/>
        <v>1377</v>
      </c>
      <c r="B1381" t="s">
        <v>270</v>
      </c>
      <c r="C1381">
        <v>5</v>
      </c>
      <c r="D1381">
        <v>5</v>
      </c>
      <c r="E1381" t="s">
        <v>387</v>
      </c>
      <c r="F1381">
        <v>412</v>
      </c>
      <c r="G1381">
        <v>2</v>
      </c>
      <c r="H1381">
        <v>36</v>
      </c>
      <c r="I1381" t="s">
        <v>386</v>
      </c>
      <c r="J1381" t="s">
        <v>386</v>
      </c>
      <c r="K1381">
        <v>1000000</v>
      </c>
      <c r="L1381">
        <v>198</v>
      </c>
      <c r="M1381">
        <v>198</v>
      </c>
      <c r="N1381">
        <v>370</v>
      </c>
      <c r="O1381">
        <v>0</v>
      </c>
      <c r="P1381">
        <v>866</v>
      </c>
      <c r="Q1381">
        <v>1136</v>
      </c>
      <c r="R1381">
        <v>1135</v>
      </c>
      <c r="S1381">
        <v>776</v>
      </c>
      <c r="T1381">
        <v>0</v>
      </c>
      <c r="U1381">
        <v>6203</v>
      </c>
      <c r="V1381">
        <v>4408.2355287700002</v>
      </c>
      <c r="AH1381">
        <f t="shared" si="194"/>
        <v>198</v>
      </c>
      <c r="AI1381">
        <f t="shared" si="195"/>
        <v>370</v>
      </c>
      <c r="AJ1381" t="str">
        <f t="shared" si="196"/>
        <v/>
      </c>
      <c r="AK1381">
        <f t="shared" si="197"/>
        <v>866</v>
      </c>
      <c r="AL1381">
        <f t="shared" si="190"/>
        <v>1136</v>
      </c>
      <c r="AM1381">
        <f t="shared" si="191"/>
        <v>1135</v>
      </c>
      <c r="AN1381">
        <f t="shared" si="192"/>
        <v>776</v>
      </c>
      <c r="AO1381" t="str">
        <f t="shared" si="193"/>
        <v/>
      </c>
    </row>
    <row r="1382" spans="1:41">
      <c r="A1382">
        <f t="shared" si="198"/>
        <v>1378</v>
      </c>
      <c r="B1382" t="s">
        <v>270</v>
      </c>
      <c r="C1382">
        <v>5</v>
      </c>
      <c r="D1382">
        <v>5</v>
      </c>
      <c r="E1382" t="s">
        <v>387</v>
      </c>
      <c r="F1382">
        <v>412</v>
      </c>
      <c r="G1382">
        <v>2</v>
      </c>
      <c r="H1382">
        <v>37</v>
      </c>
      <c r="I1382" t="s">
        <v>386</v>
      </c>
      <c r="J1382" t="s">
        <v>386</v>
      </c>
      <c r="K1382">
        <v>1000000</v>
      </c>
      <c r="L1382">
        <v>224</v>
      </c>
      <c r="M1382">
        <v>224</v>
      </c>
      <c r="N1382">
        <v>405</v>
      </c>
      <c r="O1382">
        <v>0</v>
      </c>
      <c r="P1382">
        <v>1023</v>
      </c>
      <c r="Q1382">
        <v>1336</v>
      </c>
      <c r="R1382">
        <v>1300</v>
      </c>
      <c r="S1382">
        <v>856</v>
      </c>
      <c r="T1382">
        <v>0</v>
      </c>
      <c r="U1382">
        <v>6370</v>
      </c>
      <c r="V1382">
        <v>4432.9358564100003</v>
      </c>
      <c r="AH1382">
        <f t="shared" si="194"/>
        <v>224</v>
      </c>
      <c r="AI1382">
        <f t="shared" si="195"/>
        <v>405</v>
      </c>
      <c r="AJ1382" t="str">
        <f t="shared" si="196"/>
        <v/>
      </c>
      <c r="AK1382">
        <f t="shared" si="197"/>
        <v>1023</v>
      </c>
      <c r="AL1382">
        <f t="shared" si="190"/>
        <v>1336</v>
      </c>
      <c r="AM1382">
        <f t="shared" si="191"/>
        <v>1300</v>
      </c>
      <c r="AN1382">
        <f t="shared" si="192"/>
        <v>856</v>
      </c>
      <c r="AO1382" t="str">
        <f t="shared" si="193"/>
        <v/>
      </c>
    </row>
    <row r="1383" spans="1:41">
      <c r="A1383">
        <f t="shared" si="198"/>
        <v>1379</v>
      </c>
      <c r="B1383" t="s">
        <v>270</v>
      </c>
      <c r="C1383">
        <v>5</v>
      </c>
      <c r="D1383">
        <v>5</v>
      </c>
      <c r="E1383" t="s">
        <v>387</v>
      </c>
      <c r="F1383">
        <v>412</v>
      </c>
      <c r="G1383">
        <v>2</v>
      </c>
      <c r="H1383">
        <v>38</v>
      </c>
      <c r="I1383" t="s">
        <v>386</v>
      </c>
      <c r="J1383" t="s">
        <v>386</v>
      </c>
      <c r="K1383">
        <v>1000000</v>
      </c>
      <c r="L1383">
        <v>252</v>
      </c>
      <c r="M1383">
        <v>252</v>
      </c>
      <c r="N1383">
        <v>442</v>
      </c>
      <c r="O1383">
        <v>0</v>
      </c>
      <c r="P1383">
        <v>1149</v>
      </c>
      <c r="Q1383">
        <v>1450</v>
      </c>
      <c r="R1383">
        <v>1353</v>
      </c>
      <c r="S1383">
        <v>854</v>
      </c>
      <c r="T1383">
        <v>0</v>
      </c>
      <c r="U1383">
        <v>6550</v>
      </c>
      <c r="V1383">
        <v>4458.8949042800004</v>
      </c>
      <c r="AH1383">
        <f t="shared" si="194"/>
        <v>252</v>
      </c>
      <c r="AI1383">
        <f t="shared" si="195"/>
        <v>442</v>
      </c>
      <c r="AJ1383" t="str">
        <f t="shared" si="196"/>
        <v/>
      </c>
      <c r="AK1383">
        <f t="shared" si="197"/>
        <v>1149</v>
      </c>
      <c r="AL1383">
        <f t="shared" si="190"/>
        <v>1450</v>
      </c>
      <c r="AM1383">
        <f t="shared" si="191"/>
        <v>1353</v>
      </c>
      <c r="AN1383">
        <f t="shared" si="192"/>
        <v>854</v>
      </c>
      <c r="AO1383" t="str">
        <f t="shared" si="193"/>
        <v/>
      </c>
    </row>
    <row r="1384" spans="1:41">
      <c r="A1384">
        <f t="shared" si="198"/>
        <v>1380</v>
      </c>
      <c r="B1384" t="s">
        <v>270</v>
      </c>
      <c r="C1384">
        <v>5</v>
      </c>
      <c r="D1384">
        <v>5</v>
      </c>
      <c r="E1384" t="s">
        <v>387</v>
      </c>
      <c r="F1384">
        <v>412</v>
      </c>
      <c r="G1384">
        <v>2</v>
      </c>
      <c r="H1384">
        <v>39</v>
      </c>
      <c r="I1384" t="s">
        <v>386</v>
      </c>
      <c r="J1384" t="s">
        <v>386</v>
      </c>
      <c r="K1384">
        <v>1000000</v>
      </c>
      <c r="L1384">
        <v>280</v>
      </c>
      <c r="M1384">
        <v>280</v>
      </c>
      <c r="N1384">
        <v>480</v>
      </c>
      <c r="O1384">
        <v>0</v>
      </c>
      <c r="P1384">
        <v>1209</v>
      </c>
      <c r="Q1384">
        <v>1445</v>
      </c>
      <c r="R1384">
        <v>1289</v>
      </c>
      <c r="S1384">
        <v>788</v>
      </c>
      <c r="T1384">
        <v>0</v>
      </c>
      <c r="U1384">
        <v>6729</v>
      </c>
      <c r="V1384">
        <v>4486.9694709400001</v>
      </c>
      <c r="AH1384">
        <f t="shared" si="194"/>
        <v>280</v>
      </c>
      <c r="AI1384">
        <f t="shared" si="195"/>
        <v>480</v>
      </c>
      <c r="AJ1384" t="str">
        <f t="shared" si="196"/>
        <v/>
      </c>
      <c r="AK1384">
        <f t="shared" si="197"/>
        <v>1209</v>
      </c>
      <c r="AL1384">
        <f t="shared" si="190"/>
        <v>1445</v>
      </c>
      <c r="AM1384">
        <f t="shared" si="191"/>
        <v>1289</v>
      </c>
      <c r="AN1384">
        <f t="shared" si="192"/>
        <v>788</v>
      </c>
      <c r="AO1384" t="str">
        <f t="shared" si="193"/>
        <v/>
      </c>
    </row>
    <row r="1385" spans="1:41">
      <c r="A1385">
        <f t="shared" si="198"/>
        <v>1381</v>
      </c>
      <c r="B1385" t="s">
        <v>270</v>
      </c>
      <c r="C1385">
        <v>5</v>
      </c>
      <c r="D1385">
        <v>5</v>
      </c>
      <c r="E1385" t="s">
        <v>387</v>
      </c>
      <c r="F1385">
        <v>412</v>
      </c>
      <c r="G1385">
        <v>2</v>
      </c>
      <c r="H1385">
        <v>40</v>
      </c>
      <c r="I1385" t="s">
        <v>386</v>
      </c>
      <c r="J1385" t="s">
        <v>386</v>
      </c>
      <c r="K1385">
        <v>1000000</v>
      </c>
      <c r="L1385">
        <v>306</v>
      </c>
      <c r="M1385">
        <v>306</v>
      </c>
      <c r="N1385">
        <v>514</v>
      </c>
      <c r="O1385">
        <v>0</v>
      </c>
      <c r="P1385">
        <v>1203</v>
      </c>
      <c r="Q1385">
        <v>1353</v>
      </c>
      <c r="R1385">
        <v>1168</v>
      </c>
      <c r="S1385">
        <v>704</v>
      </c>
      <c r="T1385">
        <v>0</v>
      </c>
      <c r="U1385">
        <v>6894</v>
      </c>
      <c r="V1385">
        <v>4517.6254218100003</v>
      </c>
      <c r="AH1385">
        <f t="shared" si="194"/>
        <v>306</v>
      </c>
      <c r="AI1385">
        <f t="shared" si="195"/>
        <v>514</v>
      </c>
      <c r="AJ1385" t="str">
        <f t="shared" si="196"/>
        <v/>
      </c>
      <c r="AK1385">
        <f t="shared" si="197"/>
        <v>1203</v>
      </c>
      <c r="AL1385">
        <f t="shared" si="190"/>
        <v>1353</v>
      </c>
      <c r="AM1385">
        <f t="shared" si="191"/>
        <v>1168</v>
      </c>
      <c r="AN1385">
        <f t="shared" si="192"/>
        <v>704</v>
      </c>
      <c r="AO1385" t="str">
        <f t="shared" si="193"/>
        <v/>
      </c>
    </row>
    <row r="1386" spans="1:41">
      <c r="A1386">
        <f t="shared" si="198"/>
        <v>1382</v>
      </c>
      <c r="B1386" t="s">
        <v>270</v>
      </c>
      <c r="C1386">
        <v>5</v>
      </c>
      <c r="D1386">
        <v>5</v>
      </c>
      <c r="E1386" t="s">
        <v>387</v>
      </c>
      <c r="F1386">
        <v>412</v>
      </c>
      <c r="G1386">
        <v>2</v>
      </c>
      <c r="H1386">
        <v>41</v>
      </c>
      <c r="I1386" t="s">
        <v>386</v>
      </c>
      <c r="J1386" t="s">
        <v>386</v>
      </c>
      <c r="K1386">
        <v>1000000</v>
      </c>
      <c r="L1386">
        <v>329</v>
      </c>
      <c r="M1386">
        <v>329</v>
      </c>
      <c r="N1386">
        <v>545</v>
      </c>
      <c r="O1386">
        <v>0</v>
      </c>
      <c r="P1386">
        <v>1159</v>
      </c>
      <c r="Q1386">
        <v>1244</v>
      </c>
      <c r="R1386">
        <v>1059</v>
      </c>
      <c r="S1386">
        <v>641</v>
      </c>
      <c r="T1386">
        <v>0</v>
      </c>
      <c r="U1386">
        <v>7040</v>
      </c>
      <c r="V1386">
        <v>4550.0480680800001</v>
      </c>
      <c r="AH1386">
        <f t="shared" si="194"/>
        <v>329</v>
      </c>
      <c r="AI1386">
        <f t="shared" si="195"/>
        <v>545</v>
      </c>
      <c r="AJ1386" t="str">
        <f t="shared" si="196"/>
        <v/>
      </c>
      <c r="AK1386">
        <f t="shared" si="197"/>
        <v>1159</v>
      </c>
      <c r="AL1386">
        <f t="shared" si="190"/>
        <v>1244</v>
      </c>
      <c r="AM1386">
        <f t="shared" si="191"/>
        <v>1059</v>
      </c>
      <c r="AN1386">
        <f t="shared" si="192"/>
        <v>641</v>
      </c>
      <c r="AO1386" t="str">
        <f t="shared" si="193"/>
        <v/>
      </c>
    </row>
    <row r="1387" spans="1:41">
      <c r="A1387">
        <f t="shared" si="198"/>
        <v>1383</v>
      </c>
      <c r="B1387" t="s">
        <v>270</v>
      </c>
      <c r="C1387">
        <v>5</v>
      </c>
      <c r="D1387">
        <v>5</v>
      </c>
      <c r="E1387" t="s">
        <v>387</v>
      </c>
      <c r="F1387">
        <v>412</v>
      </c>
      <c r="G1387">
        <v>2</v>
      </c>
      <c r="H1387">
        <v>42</v>
      </c>
      <c r="I1387" t="s">
        <v>386</v>
      </c>
      <c r="J1387" t="s">
        <v>386</v>
      </c>
      <c r="K1387">
        <v>1000000</v>
      </c>
      <c r="L1387">
        <v>348</v>
      </c>
      <c r="M1387">
        <v>348</v>
      </c>
      <c r="N1387">
        <v>571</v>
      </c>
      <c r="O1387">
        <v>0</v>
      </c>
      <c r="P1387">
        <v>1116</v>
      </c>
      <c r="Q1387">
        <v>1159</v>
      </c>
      <c r="R1387">
        <v>977</v>
      </c>
      <c r="S1387">
        <v>580</v>
      </c>
      <c r="T1387">
        <v>0</v>
      </c>
      <c r="U1387">
        <v>7163</v>
      </c>
      <c r="V1387">
        <v>4585.10713889</v>
      </c>
      <c r="AH1387">
        <f t="shared" si="194"/>
        <v>348</v>
      </c>
      <c r="AI1387">
        <f t="shared" si="195"/>
        <v>571</v>
      </c>
      <c r="AJ1387" t="str">
        <f t="shared" si="196"/>
        <v/>
      </c>
      <c r="AK1387">
        <f t="shared" si="197"/>
        <v>1116</v>
      </c>
      <c r="AL1387">
        <f t="shared" si="190"/>
        <v>1159</v>
      </c>
      <c r="AM1387">
        <f t="shared" si="191"/>
        <v>977</v>
      </c>
      <c r="AN1387">
        <f t="shared" si="192"/>
        <v>580</v>
      </c>
      <c r="AO1387" t="str">
        <f t="shared" si="193"/>
        <v/>
      </c>
    </row>
    <row r="1388" spans="1:41">
      <c r="A1388">
        <f t="shared" si="198"/>
        <v>1384</v>
      </c>
      <c r="B1388" t="s">
        <v>270</v>
      </c>
      <c r="C1388">
        <v>5</v>
      </c>
      <c r="D1388">
        <v>5</v>
      </c>
      <c r="E1388" t="s">
        <v>387</v>
      </c>
      <c r="F1388">
        <v>412</v>
      </c>
      <c r="G1388">
        <v>2</v>
      </c>
      <c r="H1388">
        <v>43</v>
      </c>
      <c r="I1388" t="s">
        <v>386</v>
      </c>
      <c r="J1388" t="s">
        <v>386</v>
      </c>
      <c r="K1388">
        <v>1000000</v>
      </c>
      <c r="L1388">
        <v>364</v>
      </c>
      <c r="M1388">
        <v>364</v>
      </c>
      <c r="N1388">
        <v>592</v>
      </c>
      <c r="O1388">
        <v>0</v>
      </c>
      <c r="P1388">
        <v>1088</v>
      </c>
      <c r="Q1388">
        <v>1103</v>
      </c>
      <c r="R1388">
        <v>908</v>
      </c>
      <c r="S1388">
        <v>538</v>
      </c>
      <c r="T1388">
        <v>0</v>
      </c>
      <c r="U1388">
        <v>7267</v>
      </c>
      <c r="V1388">
        <v>4623.5845976199998</v>
      </c>
      <c r="AH1388">
        <f t="shared" si="194"/>
        <v>364</v>
      </c>
      <c r="AI1388">
        <f t="shared" si="195"/>
        <v>592</v>
      </c>
      <c r="AJ1388" t="str">
        <f t="shared" si="196"/>
        <v/>
      </c>
      <c r="AK1388">
        <f t="shared" si="197"/>
        <v>1088</v>
      </c>
      <c r="AL1388">
        <f t="shared" si="190"/>
        <v>1103</v>
      </c>
      <c r="AM1388">
        <f t="shared" si="191"/>
        <v>908</v>
      </c>
      <c r="AN1388">
        <f t="shared" si="192"/>
        <v>538</v>
      </c>
      <c r="AO1388" t="str">
        <f t="shared" si="193"/>
        <v/>
      </c>
    </row>
    <row r="1389" spans="1:41">
      <c r="A1389">
        <f t="shared" si="198"/>
        <v>1385</v>
      </c>
      <c r="B1389" t="s">
        <v>270</v>
      </c>
      <c r="C1389">
        <v>5</v>
      </c>
      <c r="D1389">
        <v>5</v>
      </c>
      <c r="E1389" t="s">
        <v>387</v>
      </c>
      <c r="F1389">
        <v>412</v>
      </c>
      <c r="G1389">
        <v>2</v>
      </c>
      <c r="H1389">
        <v>44</v>
      </c>
      <c r="I1389" t="s">
        <v>386</v>
      </c>
      <c r="J1389" t="s">
        <v>386</v>
      </c>
      <c r="K1389">
        <v>1000000</v>
      </c>
      <c r="L1389">
        <v>379</v>
      </c>
      <c r="M1389">
        <v>379</v>
      </c>
      <c r="N1389">
        <v>613</v>
      </c>
      <c r="O1389">
        <v>0</v>
      </c>
      <c r="P1389">
        <v>1077</v>
      </c>
      <c r="Q1389">
        <v>1064</v>
      </c>
      <c r="R1389">
        <v>881</v>
      </c>
      <c r="S1389">
        <v>535</v>
      </c>
      <c r="T1389">
        <v>0</v>
      </c>
      <c r="U1389">
        <v>7363</v>
      </c>
      <c r="V1389">
        <v>4668.34434599</v>
      </c>
      <c r="AH1389">
        <f t="shared" si="194"/>
        <v>379</v>
      </c>
      <c r="AI1389">
        <f t="shared" si="195"/>
        <v>613</v>
      </c>
      <c r="AJ1389" t="str">
        <f t="shared" si="196"/>
        <v/>
      </c>
      <c r="AK1389">
        <f t="shared" si="197"/>
        <v>1077</v>
      </c>
      <c r="AL1389">
        <f t="shared" si="190"/>
        <v>1064</v>
      </c>
      <c r="AM1389">
        <f t="shared" si="191"/>
        <v>881</v>
      </c>
      <c r="AN1389">
        <f t="shared" si="192"/>
        <v>535</v>
      </c>
      <c r="AO1389" t="str">
        <f t="shared" si="193"/>
        <v/>
      </c>
    </row>
    <row r="1390" spans="1:41">
      <c r="A1390">
        <f t="shared" si="198"/>
        <v>1386</v>
      </c>
      <c r="B1390" t="s">
        <v>270</v>
      </c>
      <c r="C1390">
        <v>5</v>
      </c>
      <c r="D1390">
        <v>5</v>
      </c>
      <c r="E1390" t="s">
        <v>387</v>
      </c>
      <c r="F1390">
        <v>412</v>
      </c>
      <c r="G1390">
        <v>2</v>
      </c>
      <c r="H1390">
        <v>45</v>
      </c>
      <c r="I1390" t="s">
        <v>386</v>
      </c>
      <c r="J1390" t="s">
        <v>386</v>
      </c>
      <c r="K1390">
        <v>1000000</v>
      </c>
      <c r="L1390">
        <v>394</v>
      </c>
      <c r="M1390">
        <v>394</v>
      </c>
      <c r="N1390">
        <v>632</v>
      </c>
      <c r="O1390">
        <v>0</v>
      </c>
      <c r="P1390">
        <v>1078</v>
      </c>
      <c r="Q1390">
        <v>1073</v>
      </c>
      <c r="R1390">
        <v>913</v>
      </c>
      <c r="S1390">
        <v>568</v>
      </c>
      <c r="T1390">
        <v>0</v>
      </c>
      <c r="U1390">
        <v>7457</v>
      </c>
      <c r="V1390">
        <v>4722.3771646300002</v>
      </c>
      <c r="AH1390">
        <f t="shared" si="194"/>
        <v>394</v>
      </c>
      <c r="AI1390">
        <f t="shared" si="195"/>
        <v>632</v>
      </c>
      <c r="AJ1390" t="str">
        <f t="shared" si="196"/>
        <v/>
      </c>
      <c r="AK1390">
        <f t="shared" si="197"/>
        <v>1078</v>
      </c>
      <c r="AL1390">
        <f t="shared" si="190"/>
        <v>1073</v>
      </c>
      <c r="AM1390">
        <f t="shared" si="191"/>
        <v>913</v>
      </c>
      <c r="AN1390">
        <f t="shared" si="192"/>
        <v>568</v>
      </c>
      <c r="AO1390" t="str">
        <f t="shared" si="193"/>
        <v/>
      </c>
    </row>
    <row r="1391" spans="1:41">
      <c r="A1391">
        <f t="shared" si="198"/>
        <v>1387</v>
      </c>
      <c r="B1391" t="s">
        <v>270</v>
      </c>
      <c r="C1391">
        <v>5</v>
      </c>
      <c r="D1391">
        <v>5</v>
      </c>
      <c r="E1391" t="s">
        <v>387</v>
      </c>
      <c r="F1391">
        <v>412</v>
      </c>
      <c r="G1391">
        <v>2</v>
      </c>
      <c r="H1391">
        <v>46</v>
      </c>
      <c r="I1391" t="s">
        <v>386</v>
      </c>
      <c r="J1391" t="s">
        <v>386</v>
      </c>
      <c r="K1391">
        <v>1000000</v>
      </c>
      <c r="L1391">
        <v>409</v>
      </c>
      <c r="M1391">
        <v>409</v>
      </c>
      <c r="N1391">
        <v>653</v>
      </c>
      <c r="O1391">
        <v>0</v>
      </c>
      <c r="P1391">
        <v>1114</v>
      </c>
      <c r="Q1391">
        <v>1138</v>
      </c>
      <c r="R1391">
        <v>984</v>
      </c>
      <c r="S1391">
        <v>613</v>
      </c>
      <c r="T1391">
        <v>0</v>
      </c>
      <c r="U1391">
        <v>7554</v>
      </c>
      <c r="V1391">
        <v>4788.0344075000003</v>
      </c>
      <c r="AH1391">
        <f t="shared" si="194"/>
        <v>409</v>
      </c>
      <c r="AI1391">
        <f t="shared" si="195"/>
        <v>653</v>
      </c>
      <c r="AJ1391" t="str">
        <f t="shared" si="196"/>
        <v/>
      </c>
      <c r="AK1391">
        <f t="shared" si="197"/>
        <v>1114</v>
      </c>
      <c r="AL1391">
        <f t="shared" si="190"/>
        <v>1138</v>
      </c>
      <c r="AM1391">
        <f t="shared" si="191"/>
        <v>984</v>
      </c>
      <c r="AN1391">
        <f t="shared" si="192"/>
        <v>613</v>
      </c>
      <c r="AO1391" t="str">
        <f t="shared" si="193"/>
        <v/>
      </c>
    </row>
    <row r="1392" spans="1:41">
      <c r="A1392">
        <f t="shared" si="198"/>
        <v>1388</v>
      </c>
      <c r="B1392" t="s">
        <v>270</v>
      </c>
      <c r="C1392">
        <v>5</v>
      </c>
      <c r="D1392">
        <v>5</v>
      </c>
      <c r="E1392" t="s">
        <v>387</v>
      </c>
      <c r="F1392">
        <v>412</v>
      </c>
      <c r="G1392">
        <v>2</v>
      </c>
      <c r="H1392">
        <v>47</v>
      </c>
      <c r="I1392" t="s">
        <v>386</v>
      </c>
      <c r="J1392" t="s">
        <v>386</v>
      </c>
      <c r="K1392">
        <v>1000000</v>
      </c>
      <c r="L1392">
        <v>425</v>
      </c>
      <c r="M1392">
        <v>425</v>
      </c>
      <c r="N1392">
        <v>674</v>
      </c>
      <c r="O1392">
        <v>0</v>
      </c>
      <c r="P1392">
        <v>1171</v>
      </c>
      <c r="Q1392">
        <v>1211</v>
      </c>
      <c r="R1392">
        <v>1041</v>
      </c>
      <c r="S1392">
        <v>635</v>
      </c>
      <c r="T1392">
        <v>0</v>
      </c>
      <c r="U1392">
        <v>7656</v>
      </c>
      <c r="V1392">
        <v>4863.0259801100001</v>
      </c>
      <c r="AH1392">
        <f t="shared" si="194"/>
        <v>425</v>
      </c>
      <c r="AI1392">
        <f t="shared" si="195"/>
        <v>674</v>
      </c>
      <c r="AJ1392" t="str">
        <f t="shared" si="196"/>
        <v/>
      </c>
      <c r="AK1392">
        <f t="shared" si="197"/>
        <v>1171</v>
      </c>
      <c r="AL1392">
        <f t="shared" si="190"/>
        <v>1211</v>
      </c>
      <c r="AM1392">
        <f t="shared" si="191"/>
        <v>1041</v>
      </c>
      <c r="AN1392">
        <f t="shared" si="192"/>
        <v>635</v>
      </c>
      <c r="AO1392" t="str">
        <f t="shared" si="193"/>
        <v/>
      </c>
    </row>
    <row r="1393" spans="1:41">
      <c r="A1393">
        <f t="shared" si="198"/>
        <v>1389</v>
      </c>
      <c r="B1393" t="s">
        <v>270</v>
      </c>
      <c r="C1393">
        <v>5</v>
      </c>
      <c r="D1393">
        <v>5</v>
      </c>
      <c r="E1393" t="s">
        <v>387</v>
      </c>
      <c r="F1393">
        <v>412</v>
      </c>
      <c r="G1393">
        <v>2</v>
      </c>
      <c r="H1393">
        <v>48</v>
      </c>
      <c r="I1393" t="s">
        <v>386</v>
      </c>
      <c r="J1393" t="s">
        <v>386</v>
      </c>
      <c r="K1393">
        <v>1000000</v>
      </c>
      <c r="L1393">
        <v>441</v>
      </c>
      <c r="M1393">
        <v>441</v>
      </c>
      <c r="N1393">
        <v>696</v>
      </c>
      <c r="O1393">
        <v>0</v>
      </c>
      <c r="P1393">
        <v>1216</v>
      </c>
      <c r="Q1393">
        <v>1246</v>
      </c>
      <c r="R1393">
        <v>1046</v>
      </c>
      <c r="S1393">
        <v>624</v>
      </c>
      <c r="T1393">
        <v>0</v>
      </c>
      <c r="U1393">
        <v>7761</v>
      </c>
      <c r="V1393">
        <v>4943.2455640199996</v>
      </c>
      <c r="AH1393">
        <f t="shared" si="194"/>
        <v>441</v>
      </c>
      <c r="AI1393">
        <f t="shared" si="195"/>
        <v>696</v>
      </c>
      <c r="AJ1393" t="str">
        <f t="shared" si="196"/>
        <v/>
      </c>
      <c r="AK1393">
        <f t="shared" si="197"/>
        <v>1216</v>
      </c>
      <c r="AL1393">
        <f t="shared" si="190"/>
        <v>1246</v>
      </c>
      <c r="AM1393">
        <f t="shared" si="191"/>
        <v>1046</v>
      </c>
      <c r="AN1393">
        <f t="shared" si="192"/>
        <v>624</v>
      </c>
      <c r="AO1393" t="str">
        <f t="shared" si="193"/>
        <v/>
      </c>
    </row>
    <row r="1394" spans="1:41">
      <c r="A1394">
        <f t="shared" si="198"/>
        <v>1390</v>
      </c>
      <c r="B1394" t="s">
        <v>270</v>
      </c>
      <c r="C1394">
        <v>5</v>
      </c>
      <c r="D1394">
        <v>5</v>
      </c>
      <c r="E1394" t="s">
        <v>387</v>
      </c>
      <c r="F1394">
        <v>412</v>
      </c>
      <c r="G1394">
        <v>2</v>
      </c>
      <c r="H1394">
        <v>49</v>
      </c>
      <c r="I1394" t="s">
        <v>386</v>
      </c>
      <c r="J1394" t="s">
        <v>386</v>
      </c>
      <c r="K1394">
        <v>1000000</v>
      </c>
      <c r="L1394">
        <v>458</v>
      </c>
      <c r="M1394">
        <v>458</v>
      </c>
      <c r="N1394">
        <v>718</v>
      </c>
      <c r="O1394">
        <v>0</v>
      </c>
      <c r="P1394">
        <v>1236</v>
      </c>
      <c r="Q1394">
        <v>1234</v>
      </c>
      <c r="R1394">
        <v>1016</v>
      </c>
      <c r="S1394">
        <v>603</v>
      </c>
      <c r="T1394">
        <v>0</v>
      </c>
      <c r="U1394">
        <v>7866</v>
      </c>
      <c r="V1394">
        <v>5022.9706336600002</v>
      </c>
      <c r="AH1394">
        <f t="shared" si="194"/>
        <v>458</v>
      </c>
      <c r="AI1394">
        <f t="shared" si="195"/>
        <v>718</v>
      </c>
      <c r="AJ1394" t="str">
        <f t="shared" si="196"/>
        <v/>
      </c>
      <c r="AK1394">
        <f t="shared" si="197"/>
        <v>1236</v>
      </c>
      <c r="AL1394">
        <f t="shared" si="190"/>
        <v>1234</v>
      </c>
      <c r="AM1394">
        <f t="shared" si="191"/>
        <v>1016</v>
      </c>
      <c r="AN1394">
        <f t="shared" si="192"/>
        <v>603</v>
      </c>
      <c r="AO1394" t="str">
        <f t="shared" si="193"/>
        <v/>
      </c>
    </row>
    <row r="1395" spans="1:41">
      <c r="A1395">
        <f t="shared" si="198"/>
        <v>1391</v>
      </c>
      <c r="B1395" t="s">
        <v>270</v>
      </c>
      <c r="C1395">
        <v>5</v>
      </c>
      <c r="D1395">
        <v>5</v>
      </c>
      <c r="E1395" t="s">
        <v>387</v>
      </c>
      <c r="F1395">
        <v>412</v>
      </c>
      <c r="G1395">
        <v>2</v>
      </c>
      <c r="H1395">
        <v>50</v>
      </c>
      <c r="I1395" t="s">
        <v>386</v>
      </c>
      <c r="J1395" t="s">
        <v>386</v>
      </c>
      <c r="K1395">
        <v>1000000</v>
      </c>
      <c r="L1395">
        <v>474</v>
      </c>
      <c r="M1395">
        <v>474</v>
      </c>
      <c r="N1395">
        <v>739</v>
      </c>
      <c r="O1395">
        <v>0</v>
      </c>
      <c r="P1395">
        <v>1239</v>
      </c>
      <c r="Q1395">
        <v>1218</v>
      </c>
      <c r="R1395">
        <v>1007</v>
      </c>
      <c r="S1395">
        <v>613</v>
      </c>
      <c r="T1395">
        <v>0</v>
      </c>
      <c r="U1395">
        <v>7969</v>
      </c>
      <c r="V1395">
        <v>5100.9229044599997</v>
      </c>
      <c r="AH1395">
        <f t="shared" si="194"/>
        <v>474</v>
      </c>
      <c r="AI1395">
        <f t="shared" si="195"/>
        <v>739</v>
      </c>
      <c r="AJ1395" t="str">
        <f t="shared" si="196"/>
        <v/>
      </c>
      <c r="AK1395">
        <f t="shared" si="197"/>
        <v>1239</v>
      </c>
      <c r="AL1395">
        <f t="shared" si="190"/>
        <v>1218</v>
      </c>
      <c r="AM1395">
        <f t="shared" si="191"/>
        <v>1007</v>
      </c>
      <c r="AN1395">
        <f t="shared" si="192"/>
        <v>613</v>
      </c>
      <c r="AO1395" t="str">
        <f t="shared" si="193"/>
        <v/>
      </c>
    </row>
    <row r="1396" spans="1:41">
      <c r="A1396">
        <f t="shared" si="198"/>
        <v>1392</v>
      </c>
      <c r="B1396" t="s">
        <v>270</v>
      </c>
      <c r="C1396">
        <v>5</v>
      </c>
      <c r="D1396">
        <v>5</v>
      </c>
      <c r="E1396" t="s">
        <v>387</v>
      </c>
      <c r="F1396">
        <v>412</v>
      </c>
      <c r="G1396">
        <v>2</v>
      </c>
      <c r="H1396">
        <v>51</v>
      </c>
      <c r="I1396" t="s">
        <v>386</v>
      </c>
      <c r="J1396" t="s">
        <v>386</v>
      </c>
      <c r="K1396">
        <v>1000000</v>
      </c>
      <c r="L1396">
        <v>490</v>
      </c>
      <c r="M1396">
        <v>490</v>
      </c>
      <c r="N1396">
        <v>762</v>
      </c>
      <c r="O1396">
        <v>0</v>
      </c>
      <c r="P1396">
        <v>1259</v>
      </c>
      <c r="Q1396">
        <v>1250</v>
      </c>
      <c r="R1396">
        <v>1065</v>
      </c>
      <c r="S1396">
        <v>668</v>
      </c>
      <c r="T1396">
        <v>0</v>
      </c>
      <c r="U1396">
        <v>8075</v>
      </c>
      <c r="V1396">
        <v>5180.1334318400004</v>
      </c>
      <c r="AH1396">
        <f t="shared" si="194"/>
        <v>490</v>
      </c>
      <c r="AI1396">
        <f t="shared" si="195"/>
        <v>762</v>
      </c>
      <c r="AJ1396" t="str">
        <f t="shared" si="196"/>
        <v/>
      </c>
      <c r="AK1396">
        <f t="shared" si="197"/>
        <v>1259</v>
      </c>
      <c r="AL1396">
        <f t="shared" si="190"/>
        <v>1250</v>
      </c>
      <c r="AM1396">
        <f t="shared" si="191"/>
        <v>1065</v>
      </c>
      <c r="AN1396">
        <f t="shared" si="192"/>
        <v>668</v>
      </c>
      <c r="AO1396" t="str">
        <f t="shared" si="193"/>
        <v/>
      </c>
    </row>
    <row r="1397" spans="1:41">
      <c r="A1397">
        <f t="shared" si="198"/>
        <v>1393</v>
      </c>
      <c r="B1397" t="s">
        <v>270</v>
      </c>
      <c r="C1397">
        <v>5</v>
      </c>
      <c r="D1397">
        <v>5</v>
      </c>
      <c r="E1397" t="s">
        <v>387</v>
      </c>
      <c r="F1397">
        <v>412</v>
      </c>
      <c r="G1397">
        <v>2</v>
      </c>
      <c r="H1397">
        <v>52</v>
      </c>
      <c r="I1397" t="s">
        <v>386</v>
      </c>
      <c r="J1397" t="s">
        <v>386</v>
      </c>
      <c r="K1397">
        <v>1000000</v>
      </c>
      <c r="L1397">
        <v>508</v>
      </c>
      <c r="M1397">
        <v>508</v>
      </c>
      <c r="N1397">
        <v>786</v>
      </c>
      <c r="O1397">
        <v>0</v>
      </c>
      <c r="P1397">
        <v>1317</v>
      </c>
      <c r="Q1397">
        <v>1354</v>
      </c>
      <c r="R1397">
        <v>1186</v>
      </c>
      <c r="S1397">
        <v>754</v>
      </c>
      <c r="T1397">
        <v>0</v>
      </c>
      <c r="U1397">
        <v>8190</v>
      </c>
      <c r="V1397">
        <v>5268.2747232399997</v>
      </c>
      <c r="AH1397">
        <f t="shared" si="194"/>
        <v>508</v>
      </c>
      <c r="AI1397">
        <f t="shared" si="195"/>
        <v>786</v>
      </c>
      <c r="AJ1397" t="str">
        <f t="shared" si="196"/>
        <v/>
      </c>
      <c r="AK1397">
        <f t="shared" si="197"/>
        <v>1317</v>
      </c>
      <c r="AL1397">
        <f t="shared" si="190"/>
        <v>1354</v>
      </c>
      <c r="AM1397">
        <f t="shared" si="191"/>
        <v>1186</v>
      </c>
      <c r="AN1397">
        <f t="shared" si="192"/>
        <v>754</v>
      </c>
      <c r="AO1397" t="str">
        <f t="shared" si="193"/>
        <v/>
      </c>
    </row>
    <row r="1398" spans="1:41">
      <c r="A1398">
        <f t="shared" si="198"/>
        <v>1394</v>
      </c>
      <c r="B1398" t="s">
        <v>270</v>
      </c>
      <c r="C1398">
        <v>5</v>
      </c>
      <c r="D1398">
        <v>5</v>
      </c>
      <c r="E1398" t="s">
        <v>387</v>
      </c>
      <c r="F1398">
        <v>412</v>
      </c>
      <c r="G1398">
        <v>2</v>
      </c>
      <c r="H1398">
        <v>53</v>
      </c>
      <c r="I1398" t="s">
        <v>386</v>
      </c>
      <c r="J1398" t="s">
        <v>386</v>
      </c>
      <c r="K1398">
        <v>1000000</v>
      </c>
      <c r="L1398">
        <v>529</v>
      </c>
      <c r="M1398">
        <v>529</v>
      </c>
      <c r="N1398">
        <v>814</v>
      </c>
      <c r="O1398">
        <v>0</v>
      </c>
      <c r="P1398">
        <v>1416</v>
      </c>
      <c r="Q1398">
        <v>1504</v>
      </c>
      <c r="R1398">
        <v>1336</v>
      </c>
      <c r="S1398">
        <v>854</v>
      </c>
      <c r="T1398">
        <v>0</v>
      </c>
      <c r="U1398">
        <v>8324</v>
      </c>
      <c r="V1398">
        <v>5374.1500682200003</v>
      </c>
      <c r="AH1398">
        <f t="shared" si="194"/>
        <v>529</v>
      </c>
      <c r="AI1398">
        <f t="shared" si="195"/>
        <v>814</v>
      </c>
      <c r="AJ1398" t="str">
        <f t="shared" si="196"/>
        <v/>
      </c>
      <c r="AK1398">
        <f t="shared" si="197"/>
        <v>1416</v>
      </c>
      <c r="AL1398">
        <f t="shared" si="190"/>
        <v>1504</v>
      </c>
      <c r="AM1398">
        <f t="shared" si="191"/>
        <v>1336</v>
      </c>
      <c r="AN1398">
        <f t="shared" si="192"/>
        <v>854</v>
      </c>
      <c r="AO1398" t="str">
        <f t="shared" si="193"/>
        <v/>
      </c>
    </row>
    <row r="1399" spans="1:41">
      <c r="A1399">
        <f t="shared" si="198"/>
        <v>1395</v>
      </c>
      <c r="B1399" t="s">
        <v>270</v>
      </c>
      <c r="C1399">
        <v>5</v>
      </c>
      <c r="D1399">
        <v>5</v>
      </c>
      <c r="E1399" t="s">
        <v>387</v>
      </c>
      <c r="F1399">
        <v>412</v>
      </c>
      <c r="G1399">
        <v>2</v>
      </c>
      <c r="H1399">
        <v>54</v>
      </c>
      <c r="I1399" t="s">
        <v>386</v>
      </c>
      <c r="J1399" t="s">
        <v>386</v>
      </c>
      <c r="K1399">
        <v>1000000</v>
      </c>
      <c r="L1399">
        <v>553</v>
      </c>
      <c r="M1399">
        <v>553</v>
      </c>
      <c r="N1399">
        <v>846</v>
      </c>
      <c r="O1399">
        <v>0</v>
      </c>
      <c r="P1399">
        <v>1530</v>
      </c>
      <c r="Q1399">
        <v>1657</v>
      </c>
      <c r="R1399">
        <v>1480</v>
      </c>
      <c r="S1399">
        <v>940</v>
      </c>
      <c r="T1399">
        <v>0</v>
      </c>
      <c r="U1399">
        <v>8478</v>
      </c>
      <c r="V1399">
        <v>5506.2647359900002</v>
      </c>
      <c r="AH1399">
        <f t="shared" si="194"/>
        <v>553</v>
      </c>
      <c r="AI1399">
        <f t="shared" si="195"/>
        <v>846</v>
      </c>
      <c r="AJ1399" t="str">
        <f t="shared" si="196"/>
        <v/>
      </c>
      <c r="AK1399">
        <f t="shared" si="197"/>
        <v>1530</v>
      </c>
      <c r="AL1399">
        <f t="shared" si="190"/>
        <v>1657</v>
      </c>
      <c r="AM1399">
        <f t="shared" si="191"/>
        <v>1480</v>
      </c>
      <c r="AN1399">
        <f t="shared" si="192"/>
        <v>940</v>
      </c>
      <c r="AO1399" t="str">
        <f t="shared" si="193"/>
        <v/>
      </c>
    </row>
    <row r="1400" spans="1:41">
      <c r="A1400">
        <f t="shared" si="198"/>
        <v>1396</v>
      </c>
      <c r="B1400" t="s">
        <v>270</v>
      </c>
      <c r="C1400">
        <v>5</v>
      </c>
      <c r="D1400">
        <v>5</v>
      </c>
      <c r="E1400" t="s">
        <v>387</v>
      </c>
      <c r="F1400">
        <v>412</v>
      </c>
      <c r="G1400">
        <v>2</v>
      </c>
      <c r="H1400">
        <v>55</v>
      </c>
      <c r="I1400" t="s">
        <v>386</v>
      </c>
      <c r="J1400" t="s">
        <v>386</v>
      </c>
      <c r="K1400">
        <v>1000000</v>
      </c>
      <c r="L1400">
        <v>580</v>
      </c>
      <c r="M1400">
        <v>580</v>
      </c>
      <c r="N1400">
        <v>883</v>
      </c>
      <c r="O1400">
        <v>0</v>
      </c>
      <c r="P1400">
        <v>1635</v>
      </c>
      <c r="Q1400">
        <v>1789</v>
      </c>
      <c r="R1400">
        <v>1592</v>
      </c>
      <c r="S1400">
        <v>1004</v>
      </c>
      <c r="T1400">
        <v>0</v>
      </c>
      <c r="U1400">
        <v>8653</v>
      </c>
      <c r="V1400">
        <v>5672.3732040499999</v>
      </c>
      <c r="AH1400">
        <f t="shared" si="194"/>
        <v>580</v>
      </c>
      <c r="AI1400">
        <f t="shared" si="195"/>
        <v>883</v>
      </c>
      <c r="AJ1400" t="str">
        <f t="shared" si="196"/>
        <v/>
      </c>
      <c r="AK1400">
        <f t="shared" si="197"/>
        <v>1635</v>
      </c>
      <c r="AL1400">
        <f t="shared" si="190"/>
        <v>1789</v>
      </c>
      <c r="AM1400">
        <f t="shared" si="191"/>
        <v>1592</v>
      </c>
      <c r="AN1400">
        <f t="shared" si="192"/>
        <v>1004</v>
      </c>
      <c r="AO1400" t="str">
        <f t="shared" si="193"/>
        <v/>
      </c>
    </row>
    <row r="1401" spans="1:41">
      <c r="A1401">
        <f t="shared" si="198"/>
        <v>1397</v>
      </c>
      <c r="B1401" t="s">
        <v>270</v>
      </c>
      <c r="C1401">
        <v>5</v>
      </c>
      <c r="D1401">
        <v>5</v>
      </c>
      <c r="E1401" t="s">
        <v>387</v>
      </c>
      <c r="F1401">
        <v>412</v>
      </c>
      <c r="G1401">
        <v>2</v>
      </c>
      <c r="H1401">
        <v>56</v>
      </c>
      <c r="I1401" t="s">
        <v>386</v>
      </c>
      <c r="J1401" t="s">
        <v>386</v>
      </c>
      <c r="K1401">
        <v>1000000</v>
      </c>
      <c r="L1401">
        <v>610</v>
      </c>
      <c r="M1401">
        <v>610</v>
      </c>
      <c r="N1401">
        <v>923</v>
      </c>
      <c r="O1401">
        <v>0</v>
      </c>
      <c r="P1401">
        <v>1725</v>
      </c>
      <c r="Q1401">
        <v>1888</v>
      </c>
      <c r="R1401">
        <v>1672</v>
      </c>
      <c r="S1401">
        <v>1052</v>
      </c>
      <c r="T1401">
        <v>0</v>
      </c>
      <c r="U1401">
        <v>8843</v>
      </c>
      <c r="V1401">
        <v>5884.2120219099997</v>
      </c>
      <c r="AH1401">
        <f t="shared" si="194"/>
        <v>610</v>
      </c>
      <c r="AI1401">
        <f t="shared" si="195"/>
        <v>923</v>
      </c>
      <c r="AJ1401" t="str">
        <f t="shared" si="196"/>
        <v/>
      </c>
      <c r="AK1401">
        <f t="shared" si="197"/>
        <v>1725</v>
      </c>
      <c r="AL1401">
        <f t="shared" si="190"/>
        <v>1888</v>
      </c>
      <c r="AM1401">
        <f t="shared" si="191"/>
        <v>1672</v>
      </c>
      <c r="AN1401">
        <f t="shared" si="192"/>
        <v>1052</v>
      </c>
      <c r="AO1401" t="str">
        <f t="shared" si="193"/>
        <v/>
      </c>
    </row>
    <row r="1402" spans="1:41">
      <c r="A1402">
        <f t="shared" si="198"/>
        <v>1398</v>
      </c>
      <c r="B1402" t="s">
        <v>270</v>
      </c>
      <c r="C1402">
        <v>5</v>
      </c>
      <c r="D1402">
        <v>5</v>
      </c>
      <c r="E1402" t="s">
        <v>387</v>
      </c>
      <c r="F1402">
        <v>412</v>
      </c>
      <c r="G1402">
        <v>2</v>
      </c>
      <c r="H1402">
        <v>57</v>
      </c>
      <c r="I1402" t="s">
        <v>386</v>
      </c>
      <c r="J1402" t="s">
        <v>386</v>
      </c>
      <c r="K1402">
        <v>1000000</v>
      </c>
      <c r="L1402">
        <v>642</v>
      </c>
      <c r="M1402">
        <v>642</v>
      </c>
      <c r="N1402">
        <v>966</v>
      </c>
      <c r="O1402">
        <v>0</v>
      </c>
      <c r="P1402">
        <v>1797</v>
      </c>
      <c r="Q1402">
        <v>1966</v>
      </c>
      <c r="R1402">
        <v>1743</v>
      </c>
      <c r="S1402">
        <v>1101</v>
      </c>
      <c r="T1402">
        <v>0</v>
      </c>
      <c r="U1402">
        <v>9046</v>
      </c>
      <c r="V1402">
        <v>6163.1739694300004</v>
      </c>
      <c r="AH1402">
        <f t="shared" si="194"/>
        <v>642</v>
      </c>
      <c r="AI1402">
        <f t="shared" si="195"/>
        <v>966</v>
      </c>
      <c r="AJ1402" t="str">
        <f t="shared" si="196"/>
        <v/>
      </c>
      <c r="AK1402">
        <f t="shared" si="197"/>
        <v>1797</v>
      </c>
      <c r="AL1402">
        <f t="shared" si="190"/>
        <v>1966</v>
      </c>
      <c r="AM1402">
        <f t="shared" si="191"/>
        <v>1743</v>
      </c>
      <c r="AN1402">
        <f t="shared" si="192"/>
        <v>1101</v>
      </c>
      <c r="AO1402" t="str">
        <f t="shared" si="193"/>
        <v/>
      </c>
    </row>
    <row r="1403" spans="1:41">
      <c r="A1403">
        <f t="shared" si="198"/>
        <v>1399</v>
      </c>
      <c r="B1403" t="s">
        <v>270</v>
      </c>
      <c r="C1403">
        <v>5</v>
      </c>
      <c r="D1403">
        <v>5</v>
      </c>
      <c r="E1403" t="s">
        <v>387</v>
      </c>
      <c r="F1403">
        <v>412</v>
      </c>
      <c r="G1403">
        <v>2</v>
      </c>
      <c r="H1403">
        <v>58</v>
      </c>
      <c r="I1403" t="s">
        <v>386</v>
      </c>
      <c r="J1403" t="s">
        <v>386</v>
      </c>
      <c r="K1403">
        <v>1000000</v>
      </c>
      <c r="L1403">
        <v>676</v>
      </c>
      <c r="M1403">
        <v>676</v>
      </c>
      <c r="N1403">
        <v>1011</v>
      </c>
      <c r="O1403">
        <v>0</v>
      </c>
      <c r="P1403">
        <v>1867</v>
      </c>
      <c r="Q1403">
        <v>2052</v>
      </c>
      <c r="R1403">
        <v>1832</v>
      </c>
      <c r="S1403">
        <v>1168</v>
      </c>
      <c r="T1403">
        <v>0</v>
      </c>
      <c r="U1403">
        <v>9262</v>
      </c>
      <c r="V1403">
        <v>6536.9498390899998</v>
      </c>
      <c r="AH1403">
        <f t="shared" si="194"/>
        <v>676</v>
      </c>
      <c r="AI1403">
        <f t="shared" si="195"/>
        <v>1011</v>
      </c>
      <c r="AJ1403" t="str">
        <f t="shared" si="196"/>
        <v/>
      </c>
      <c r="AK1403">
        <f t="shared" si="197"/>
        <v>1867</v>
      </c>
      <c r="AL1403">
        <f t="shared" si="190"/>
        <v>2052</v>
      </c>
      <c r="AM1403">
        <f t="shared" si="191"/>
        <v>1832</v>
      </c>
      <c r="AN1403">
        <f t="shared" si="192"/>
        <v>1168</v>
      </c>
      <c r="AO1403" t="str">
        <f t="shared" si="193"/>
        <v/>
      </c>
    </row>
    <row r="1404" spans="1:41">
      <c r="A1404">
        <f t="shared" si="198"/>
        <v>1400</v>
      </c>
      <c r="B1404" t="s">
        <v>270</v>
      </c>
      <c r="C1404">
        <v>5</v>
      </c>
      <c r="D1404">
        <v>5</v>
      </c>
      <c r="E1404" t="s">
        <v>387</v>
      </c>
      <c r="F1404">
        <v>412</v>
      </c>
      <c r="G1404">
        <v>2</v>
      </c>
      <c r="H1404">
        <v>59</v>
      </c>
      <c r="I1404" t="s">
        <v>386</v>
      </c>
      <c r="J1404" t="s">
        <v>386</v>
      </c>
      <c r="K1404">
        <v>1000000</v>
      </c>
      <c r="L1404">
        <v>712</v>
      </c>
      <c r="M1404">
        <v>712</v>
      </c>
      <c r="N1404">
        <v>1060</v>
      </c>
      <c r="O1404">
        <v>0</v>
      </c>
      <c r="P1404">
        <v>1952</v>
      </c>
      <c r="Q1404">
        <v>2172</v>
      </c>
      <c r="R1404">
        <v>1962</v>
      </c>
      <c r="S1404">
        <v>1265</v>
      </c>
      <c r="T1404">
        <v>0</v>
      </c>
      <c r="U1404">
        <v>9495</v>
      </c>
      <c r="V1404">
        <v>7030.1608812499999</v>
      </c>
      <c r="AH1404">
        <f t="shared" si="194"/>
        <v>712</v>
      </c>
      <c r="AI1404">
        <f t="shared" si="195"/>
        <v>1060</v>
      </c>
      <c r="AJ1404" t="str">
        <f t="shared" si="196"/>
        <v/>
      </c>
      <c r="AK1404">
        <f t="shared" si="197"/>
        <v>1952</v>
      </c>
      <c r="AL1404">
        <f t="shared" si="190"/>
        <v>2172</v>
      </c>
      <c r="AM1404">
        <f t="shared" si="191"/>
        <v>1962</v>
      </c>
      <c r="AN1404">
        <f t="shared" si="192"/>
        <v>1265</v>
      </c>
      <c r="AO1404" t="str">
        <f t="shared" si="193"/>
        <v/>
      </c>
    </row>
    <row r="1405" spans="1:41">
      <c r="A1405">
        <f t="shared" si="198"/>
        <v>1401</v>
      </c>
      <c r="B1405" t="s">
        <v>270</v>
      </c>
      <c r="C1405">
        <v>5</v>
      </c>
      <c r="D1405">
        <v>5</v>
      </c>
      <c r="E1405" t="s">
        <v>387</v>
      </c>
      <c r="F1405">
        <v>412</v>
      </c>
      <c r="G1405">
        <v>2</v>
      </c>
      <c r="H1405">
        <v>60</v>
      </c>
      <c r="I1405" t="s">
        <v>386</v>
      </c>
      <c r="J1405" t="s">
        <v>386</v>
      </c>
      <c r="K1405">
        <v>1000000</v>
      </c>
      <c r="L1405">
        <v>752</v>
      </c>
      <c r="M1405">
        <v>752</v>
      </c>
      <c r="N1405">
        <v>1113</v>
      </c>
      <c r="O1405">
        <v>0</v>
      </c>
      <c r="P1405">
        <v>2061</v>
      </c>
      <c r="Q1405">
        <v>2330</v>
      </c>
      <c r="R1405">
        <v>2129</v>
      </c>
      <c r="S1405">
        <v>1378</v>
      </c>
      <c r="T1405">
        <v>0</v>
      </c>
      <c r="U1405">
        <v>9748</v>
      </c>
      <c r="V1405">
        <v>7653.5608824600004</v>
      </c>
      <c r="AH1405">
        <f t="shared" si="194"/>
        <v>752</v>
      </c>
      <c r="AI1405">
        <f t="shared" si="195"/>
        <v>1113</v>
      </c>
      <c r="AJ1405" t="str">
        <f t="shared" si="196"/>
        <v/>
      </c>
      <c r="AK1405">
        <f t="shared" si="197"/>
        <v>2061</v>
      </c>
      <c r="AL1405">
        <f t="shared" si="190"/>
        <v>2330</v>
      </c>
      <c r="AM1405">
        <f t="shared" si="191"/>
        <v>2129</v>
      </c>
      <c r="AN1405">
        <f t="shared" si="192"/>
        <v>1378</v>
      </c>
      <c r="AO1405" t="str">
        <f t="shared" si="193"/>
        <v/>
      </c>
    </row>
    <row r="1406" spans="1:41">
      <c r="A1406">
        <f t="shared" si="198"/>
        <v>1402</v>
      </c>
      <c r="B1406" t="s">
        <v>270</v>
      </c>
      <c r="C1406">
        <v>5</v>
      </c>
      <c r="D1406">
        <v>5</v>
      </c>
      <c r="E1406" t="s">
        <v>387</v>
      </c>
      <c r="F1406">
        <v>412</v>
      </c>
      <c r="G1406">
        <v>2</v>
      </c>
      <c r="H1406">
        <v>61</v>
      </c>
      <c r="I1406" t="s">
        <v>386</v>
      </c>
      <c r="J1406" t="s">
        <v>386</v>
      </c>
      <c r="K1406">
        <v>1000000</v>
      </c>
      <c r="L1406">
        <v>795</v>
      </c>
      <c r="M1406">
        <v>795</v>
      </c>
      <c r="N1406">
        <v>1172</v>
      </c>
      <c r="O1406">
        <v>0</v>
      </c>
      <c r="P1406">
        <v>2187</v>
      </c>
      <c r="Q1406">
        <v>2511</v>
      </c>
      <c r="R1406">
        <v>2304</v>
      </c>
      <c r="S1406">
        <v>1490</v>
      </c>
      <c r="T1406">
        <v>0</v>
      </c>
      <c r="U1406">
        <v>10027</v>
      </c>
      <c r="V1406">
        <v>8399.6252899699994</v>
      </c>
      <c r="AH1406">
        <f t="shared" si="194"/>
        <v>795</v>
      </c>
      <c r="AI1406">
        <f t="shared" si="195"/>
        <v>1172</v>
      </c>
      <c r="AJ1406" t="str">
        <f t="shared" si="196"/>
        <v/>
      </c>
      <c r="AK1406">
        <f t="shared" si="197"/>
        <v>2187</v>
      </c>
      <c r="AL1406">
        <f t="shared" si="190"/>
        <v>2511</v>
      </c>
      <c r="AM1406">
        <f t="shared" si="191"/>
        <v>2304</v>
      </c>
      <c r="AN1406">
        <f t="shared" si="192"/>
        <v>1490</v>
      </c>
      <c r="AO1406" t="str">
        <f t="shared" si="193"/>
        <v/>
      </c>
    </row>
    <row r="1407" spans="1:41">
      <c r="A1407">
        <f t="shared" si="198"/>
        <v>1403</v>
      </c>
      <c r="B1407" t="s">
        <v>270</v>
      </c>
      <c r="C1407">
        <v>5</v>
      </c>
      <c r="D1407">
        <v>5</v>
      </c>
      <c r="E1407" t="s">
        <v>387</v>
      </c>
      <c r="F1407">
        <v>412</v>
      </c>
      <c r="G1407">
        <v>2</v>
      </c>
      <c r="H1407">
        <v>62</v>
      </c>
      <c r="I1407" t="s">
        <v>386</v>
      </c>
      <c r="J1407" t="s">
        <v>386</v>
      </c>
      <c r="K1407">
        <v>1000000</v>
      </c>
      <c r="L1407">
        <v>843</v>
      </c>
      <c r="M1407">
        <v>843</v>
      </c>
      <c r="N1407">
        <v>1236</v>
      </c>
      <c r="O1407">
        <v>0</v>
      </c>
      <c r="P1407">
        <v>2322</v>
      </c>
      <c r="Q1407">
        <v>2689</v>
      </c>
      <c r="R1407">
        <v>2470</v>
      </c>
      <c r="S1407">
        <v>1597</v>
      </c>
      <c r="T1407">
        <v>0</v>
      </c>
      <c r="U1407">
        <v>10331</v>
      </c>
      <c r="V1407">
        <v>9244.87397289</v>
      </c>
      <c r="AH1407">
        <f t="shared" si="194"/>
        <v>843</v>
      </c>
      <c r="AI1407">
        <f t="shared" si="195"/>
        <v>1236</v>
      </c>
      <c r="AJ1407" t="str">
        <f t="shared" si="196"/>
        <v/>
      </c>
      <c r="AK1407">
        <f t="shared" si="197"/>
        <v>2322</v>
      </c>
      <c r="AL1407">
        <f t="shared" si="190"/>
        <v>2689</v>
      </c>
      <c r="AM1407">
        <f t="shared" si="191"/>
        <v>2470</v>
      </c>
      <c r="AN1407">
        <f t="shared" si="192"/>
        <v>1597</v>
      </c>
      <c r="AO1407" t="str">
        <f t="shared" si="193"/>
        <v/>
      </c>
    </row>
    <row r="1408" spans="1:41">
      <c r="A1408">
        <f t="shared" si="198"/>
        <v>1404</v>
      </c>
      <c r="B1408" t="s">
        <v>270</v>
      </c>
      <c r="C1408">
        <v>5</v>
      </c>
      <c r="D1408">
        <v>5</v>
      </c>
      <c r="E1408" t="s">
        <v>387</v>
      </c>
      <c r="F1408">
        <v>412</v>
      </c>
      <c r="G1408">
        <v>2</v>
      </c>
      <c r="H1408">
        <v>63</v>
      </c>
      <c r="I1408" t="s">
        <v>386</v>
      </c>
      <c r="J1408" t="s">
        <v>386</v>
      </c>
      <c r="K1408">
        <v>1000000</v>
      </c>
      <c r="L1408">
        <v>895</v>
      </c>
      <c r="M1408">
        <v>895</v>
      </c>
      <c r="N1408">
        <v>1306</v>
      </c>
      <c r="O1408">
        <v>0</v>
      </c>
      <c r="P1408">
        <v>2450</v>
      </c>
      <c r="Q1408">
        <v>2853</v>
      </c>
      <c r="R1408">
        <v>2626</v>
      </c>
      <c r="S1408">
        <v>1699</v>
      </c>
      <c r="T1408">
        <v>0</v>
      </c>
      <c r="U1408">
        <v>10663</v>
      </c>
      <c r="V1408">
        <v>10161.95645702</v>
      </c>
      <c r="AH1408">
        <f t="shared" si="194"/>
        <v>895</v>
      </c>
      <c r="AI1408">
        <f t="shared" si="195"/>
        <v>1306</v>
      </c>
      <c r="AJ1408" t="str">
        <f t="shared" si="196"/>
        <v/>
      </c>
      <c r="AK1408">
        <f t="shared" si="197"/>
        <v>2450</v>
      </c>
      <c r="AL1408">
        <f t="shared" si="190"/>
        <v>2853</v>
      </c>
      <c r="AM1408">
        <f t="shared" si="191"/>
        <v>2626</v>
      </c>
      <c r="AN1408">
        <f t="shared" si="192"/>
        <v>1699</v>
      </c>
      <c r="AO1408" t="str">
        <f t="shared" si="193"/>
        <v/>
      </c>
    </row>
    <row r="1409" spans="1:41">
      <c r="A1409">
        <f t="shared" si="198"/>
        <v>1405</v>
      </c>
      <c r="B1409" t="s">
        <v>270</v>
      </c>
      <c r="C1409">
        <v>5</v>
      </c>
      <c r="D1409">
        <v>5</v>
      </c>
      <c r="E1409" t="s">
        <v>387</v>
      </c>
      <c r="F1409">
        <v>412</v>
      </c>
      <c r="G1409">
        <v>2</v>
      </c>
      <c r="H1409">
        <v>64</v>
      </c>
      <c r="I1409" t="s">
        <v>386</v>
      </c>
      <c r="J1409" t="s">
        <v>386</v>
      </c>
      <c r="K1409">
        <v>1000000</v>
      </c>
      <c r="L1409">
        <v>951</v>
      </c>
      <c r="M1409">
        <v>951</v>
      </c>
      <c r="N1409">
        <v>1381</v>
      </c>
      <c r="O1409">
        <v>0</v>
      </c>
      <c r="P1409">
        <v>2573</v>
      </c>
      <c r="Q1409">
        <v>3015</v>
      </c>
      <c r="R1409">
        <v>2782</v>
      </c>
      <c r="S1409">
        <v>1804</v>
      </c>
      <c r="T1409">
        <v>0</v>
      </c>
      <c r="U1409">
        <v>11019</v>
      </c>
      <c r="V1409">
        <v>11131.43107192</v>
      </c>
      <c r="AH1409">
        <f t="shared" si="194"/>
        <v>951</v>
      </c>
      <c r="AI1409">
        <f t="shared" si="195"/>
        <v>1381</v>
      </c>
      <c r="AJ1409" t="str">
        <f t="shared" si="196"/>
        <v/>
      </c>
      <c r="AK1409">
        <f t="shared" si="197"/>
        <v>2573</v>
      </c>
      <c r="AL1409">
        <f t="shared" si="190"/>
        <v>3015</v>
      </c>
      <c r="AM1409">
        <f t="shared" si="191"/>
        <v>2782</v>
      </c>
      <c r="AN1409">
        <f t="shared" si="192"/>
        <v>1804</v>
      </c>
      <c r="AO1409" t="str">
        <f t="shared" si="193"/>
        <v/>
      </c>
    </row>
    <row r="1410" spans="1:41">
      <c r="A1410">
        <f t="shared" si="198"/>
        <v>1406</v>
      </c>
      <c r="B1410" t="s">
        <v>270</v>
      </c>
      <c r="C1410">
        <v>5</v>
      </c>
      <c r="D1410">
        <v>5</v>
      </c>
      <c r="E1410" t="s">
        <v>387</v>
      </c>
      <c r="F1410">
        <v>412</v>
      </c>
      <c r="G1410">
        <v>2</v>
      </c>
      <c r="H1410">
        <v>65</v>
      </c>
      <c r="I1410" t="s">
        <v>386</v>
      </c>
      <c r="J1410" t="s">
        <v>386</v>
      </c>
      <c r="K1410">
        <v>1000000</v>
      </c>
      <c r="L1410">
        <v>1010</v>
      </c>
      <c r="M1410">
        <v>1010</v>
      </c>
      <c r="N1410">
        <v>1461</v>
      </c>
      <c r="O1410">
        <v>0</v>
      </c>
      <c r="P1410">
        <v>2700</v>
      </c>
      <c r="Q1410">
        <v>3180</v>
      </c>
      <c r="R1410">
        <v>2942</v>
      </c>
      <c r="S1410">
        <v>1909</v>
      </c>
      <c r="T1410">
        <v>0</v>
      </c>
      <c r="U1410">
        <v>11398</v>
      </c>
      <c r="V1410">
        <v>12146.646624929999</v>
      </c>
      <c r="AH1410">
        <f t="shared" si="194"/>
        <v>1010</v>
      </c>
      <c r="AI1410">
        <f t="shared" si="195"/>
        <v>1461</v>
      </c>
      <c r="AJ1410" t="str">
        <f t="shared" si="196"/>
        <v/>
      </c>
      <c r="AK1410">
        <f t="shared" si="197"/>
        <v>2700</v>
      </c>
      <c r="AL1410">
        <f t="shared" si="190"/>
        <v>3180</v>
      </c>
      <c r="AM1410">
        <f t="shared" si="191"/>
        <v>2942</v>
      </c>
      <c r="AN1410">
        <f t="shared" si="192"/>
        <v>1909</v>
      </c>
      <c r="AO1410" t="str">
        <f t="shared" si="193"/>
        <v/>
      </c>
    </row>
    <row r="1411" spans="1:41">
      <c r="A1411">
        <f t="shared" si="198"/>
        <v>1407</v>
      </c>
      <c r="B1411" t="s">
        <v>270</v>
      </c>
      <c r="C1411">
        <v>5</v>
      </c>
      <c r="D1411">
        <v>5</v>
      </c>
      <c r="E1411" t="s">
        <v>387</v>
      </c>
      <c r="F1411">
        <v>412</v>
      </c>
      <c r="G1411">
        <v>2</v>
      </c>
      <c r="H1411">
        <v>66</v>
      </c>
      <c r="I1411" t="s">
        <v>386</v>
      </c>
      <c r="J1411" t="s">
        <v>386</v>
      </c>
      <c r="K1411">
        <v>1000000</v>
      </c>
      <c r="L1411">
        <v>1073</v>
      </c>
      <c r="M1411">
        <v>1073</v>
      </c>
      <c r="N1411">
        <v>1546</v>
      </c>
      <c r="O1411">
        <v>0</v>
      </c>
      <c r="P1411">
        <v>2830</v>
      </c>
      <c r="Q1411">
        <v>3347</v>
      </c>
      <c r="R1411">
        <v>3099</v>
      </c>
      <c r="S1411">
        <v>2008</v>
      </c>
      <c r="T1411">
        <v>0</v>
      </c>
      <c r="U1411">
        <v>11801</v>
      </c>
      <c r="V1411">
        <v>13210.157283050001</v>
      </c>
      <c r="AH1411">
        <f t="shared" si="194"/>
        <v>1073</v>
      </c>
      <c r="AI1411">
        <f t="shared" si="195"/>
        <v>1546</v>
      </c>
      <c r="AJ1411" t="str">
        <f t="shared" si="196"/>
        <v/>
      </c>
      <c r="AK1411">
        <f t="shared" si="197"/>
        <v>2830</v>
      </c>
      <c r="AL1411">
        <f t="shared" si="190"/>
        <v>3347</v>
      </c>
      <c r="AM1411">
        <f t="shared" si="191"/>
        <v>3099</v>
      </c>
      <c r="AN1411">
        <f t="shared" si="192"/>
        <v>2008</v>
      </c>
      <c r="AO1411" t="str">
        <f t="shared" si="193"/>
        <v/>
      </c>
    </row>
    <row r="1412" spans="1:41">
      <c r="A1412">
        <f t="shared" si="198"/>
        <v>1408</v>
      </c>
      <c r="B1412" t="s">
        <v>270</v>
      </c>
      <c r="C1412">
        <v>5</v>
      </c>
      <c r="D1412">
        <v>5</v>
      </c>
      <c r="E1412" t="s">
        <v>387</v>
      </c>
      <c r="F1412">
        <v>412</v>
      </c>
      <c r="G1412">
        <v>2</v>
      </c>
      <c r="H1412">
        <v>67</v>
      </c>
      <c r="I1412" t="s">
        <v>386</v>
      </c>
      <c r="J1412" t="s">
        <v>386</v>
      </c>
      <c r="K1412">
        <v>1000000</v>
      </c>
      <c r="L1412">
        <v>1140</v>
      </c>
      <c r="M1412">
        <v>1140</v>
      </c>
      <c r="N1412">
        <v>1636</v>
      </c>
      <c r="O1412">
        <v>0</v>
      </c>
      <c r="P1412">
        <v>2961</v>
      </c>
      <c r="Q1412">
        <v>3508</v>
      </c>
      <c r="R1412">
        <v>3245</v>
      </c>
      <c r="S1412">
        <v>2100</v>
      </c>
      <c r="T1412">
        <v>0</v>
      </c>
      <c r="U1412">
        <v>12227</v>
      </c>
      <c r="V1412">
        <v>14324.40888737</v>
      </c>
      <c r="AH1412">
        <f t="shared" si="194"/>
        <v>1140</v>
      </c>
      <c r="AI1412">
        <f t="shared" si="195"/>
        <v>1636</v>
      </c>
      <c r="AJ1412" t="str">
        <f t="shared" si="196"/>
        <v/>
      </c>
      <c r="AK1412">
        <f t="shared" si="197"/>
        <v>2961</v>
      </c>
      <c r="AL1412">
        <f t="shared" si="190"/>
        <v>3508</v>
      </c>
      <c r="AM1412">
        <f t="shared" si="191"/>
        <v>3245</v>
      </c>
      <c r="AN1412">
        <f t="shared" si="192"/>
        <v>2100</v>
      </c>
      <c r="AO1412" t="str">
        <f t="shared" si="193"/>
        <v/>
      </c>
    </row>
    <row r="1413" spans="1:41">
      <c r="A1413">
        <f t="shared" si="198"/>
        <v>1409</v>
      </c>
      <c r="B1413" t="s">
        <v>270</v>
      </c>
      <c r="C1413">
        <v>5</v>
      </c>
      <c r="D1413">
        <v>5</v>
      </c>
      <c r="E1413" t="s">
        <v>387</v>
      </c>
      <c r="F1413">
        <v>412</v>
      </c>
      <c r="G1413">
        <v>2</v>
      </c>
      <c r="H1413">
        <v>68</v>
      </c>
      <c r="I1413" t="s">
        <v>386</v>
      </c>
      <c r="J1413" t="s">
        <v>386</v>
      </c>
      <c r="K1413">
        <v>1000000</v>
      </c>
      <c r="L1413">
        <v>1210</v>
      </c>
      <c r="M1413">
        <v>1210</v>
      </c>
      <c r="N1413">
        <v>1730</v>
      </c>
      <c r="O1413">
        <v>0</v>
      </c>
      <c r="P1413">
        <v>3091</v>
      </c>
      <c r="Q1413">
        <v>3664</v>
      </c>
      <c r="R1413">
        <v>3389</v>
      </c>
      <c r="S1413">
        <v>2197</v>
      </c>
      <c r="T1413">
        <v>0</v>
      </c>
      <c r="U1413">
        <v>12673</v>
      </c>
      <c r="V1413">
        <v>15484.512826779999</v>
      </c>
      <c r="AH1413">
        <f t="shared" si="194"/>
        <v>1210</v>
      </c>
      <c r="AI1413">
        <f t="shared" si="195"/>
        <v>1730</v>
      </c>
      <c r="AJ1413" t="str">
        <f t="shared" si="196"/>
        <v/>
      </c>
      <c r="AK1413">
        <f t="shared" si="197"/>
        <v>3091</v>
      </c>
      <c r="AL1413">
        <f t="shared" ref="AL1413:AL1476" si="199">IF(Q1413=AC1413, "", Q1413-AC1413)</f>
        <v>3664</v>
      </c>
      <c r="AM1413">
        <f t="shared" ref="AM1413:AM1476" si="200">IF(R1413=AD1413, "", R1413-AD1413)</f>
        <v>3389</v>
      </c>
      <c r="AN1413">
        <f t="shared" ref="AN1413:AN1476" si="201">IF(S1413=AE1413, "", S1413-AE1413)</f>
        <v>2197</v>
      </c>
      <c r="AO1413" t="str">
        <f t="shared" ref="AO1413:AO1476" si="202">IF(T1413=AF1413, "", T1413-AF1413)</f>
        <v/>
      </c>
    </row>
    <row r="1414" spans="1:41">
      <c r="A1414">
        <f t="shared" si="198"/>
        <v>1410</v>
      </c>
      <c r="B1414" t="s">
        <v>270</v>
      </c>
      <c r="C1414">
        <v>5</v>
      </c>
      <c r="D1414">
        <v>5</v>
      </c>
      <c r="E1414" t="s">
        <v>387</v>
      </c>
      <c r="F1414">
        <v>412</v>
      </c>
      <c r="G1414">
        <v>2</v>
      </c>
      <c r="H1414">
        <v>69</v>
      </c>
      <c r="I1414" t="s">
        <v>386</v>
      </c>
      <c r="J1414" t="s">
        <v>386</v>
      </c>
      <c r="K1414">
        <v>1000000</v>
      </c>
      <c r="L1414">
        <v>1283</v>
      </c>
      <c r="M1414">
        <v>1283</v>
      </c>
      <c r="N1414">
        <v>1829</v>
      </c>
      <c r="O1414">
        <v>0</v>
      </c>
      <c r="P1414">
        <v>3223</v>
      </c>
      <c r="Q1414">
        <v>3825</v>
      </c>
      <c r="R1414">
        <v>3547</v>
      </c>
      <c r="S1414">
        <v>2304</v>
      </c>
      <c r="T1414">
        <v>0</v>
      </c>
      <c r="U1414">
        <v>13142</v>
      </c>
      <c r="V1414">
        <v>16676.539570410001</v>
      </c>
      <c r="AH1414">
        <f t="shared" ref="AH1414:AH1477" si="203">IF(L1414=Y1414, "",L1414-Y1414)</f>
        <v>1283</v>
      </c>
      <c r="AI1414">
        <f t="shared" ref="AI1414:AI1477" si="204">IF(N1414=Z1414, "", N1414-Z1414)</f>
        <v>1829</v>
      </c>
      <c r="AJ1414" t="str">
        <f t="shared" ref="AJ1414:AJ1477" si="205">IF(O1414=AA1414, "", O1414-AA1414)</f>
        <v/>
      </c>
      <c r="AK1414">
        <f t="shared" ref="AK1414:AK1477" si="206">IF(P1414=AB1414, "", P1414-AB1414)</f>
        <v>3223</v>
      </c>
      <c r="AL1414">
        <f t="shared" si="199"/>
        <v>3825</v>
      </c>
      <c r="AM1414">
        <f t="shared" si="200"/>
        <v>3547</v>
      </c>
      <c r="AN1414">
        <f t="shared" si="201"/>
        <v>2304</v>
      </c>
      <c r="AO1414" t="str">
        <f t="shared" si="202"/>
        <v/>
      </c>
    </row>
    <row r="1415" spans="1:41">
      <c r="A1415">
        <f t="shared" ref="A1415:A1478" si="207">A1414+1</f>
        <v>1411</v>
      </c>
      <c r="B1415" t="s">
        <v>270</v>
      </c>
      <c r="C1415">
        <v>5</v>
      </c>
      <c r="D1415">
        <v>5</v>
      </c>
      <c r="E1415" t="s">
        <v>387</v>
      </c>
      <c r="F1415">
        <v>412</v>
      </c>
      <c r="G1415">
        <v>2</v>
      </c>
      <c r="H1415">
        <v>70</v>
      </c>
      <c r="I1415" t="s">
        <v>386</v>
      </c>
      <c r="J1415" t="s">
        <v>386</v>
      </c>
      <c r="K1415">
        <v>1000000</v>
      </c>
      <c r="L1415">
        <v>1360</v>
      </c>
      <c r="M1415">
        <v>1360</v>
      </c>
      <c r="N1415">
        <v>1933</v>
      </c>
      <c r="O1415">
        <v>0</v>
      </c>
      <c r="P1415">
        <v>3359</v>
      </c>
      <c r="Q1415">
        <v>3997</v>
      </c>
      <c r="R1415">
        <v>3708</v>
      </c>
      <c r="S1415">
        <v>2402</v>
      </c>
      <c r="T1415">
        <v>0</v>
      </c>
      <c r="U1415">
        <v>13630</v>
      </c>
      <c r="V1415">
        <v>17882.220176399998</v>
      </c>
      <c r="AH1415">
        <f t="shared" si="203"/>
        <v>1360</v>
      </c>
      <c r="AI1415">
        <f t="shared" si="204"/>
        <v>1933</v>
      </c>
      <c r="AJ1415" t="str">
        <f t="shared" si="205"/>
        <v/>
      </c>
      <c r="AK1415">
        <f t="shared" si="206"/>
        <v>3359</v>
      </c>
      <c r="AL1415">
        <f t="shared" si="199"/>
        <v>3997</v>
      </c>
      <c r="AM1415">
        <f t="shared" si="200"/>
        <v>3708</v>
      </c>
      <c r="AN1415">
        <f t="shared" si="201"/>
        <v>2402</v>
      </c>
      <c r="AO1415" t="str">
        <f t="shared" si="202"/>
        <v/>
      </c>
    </row>
    <row r="1416" spans="1:41">
      <c r="A1416">
        <f t="shared" si="207"/>
        <v>1412</v>
      </c>
      <c r="B1416" t="s">
        <v>270</v>
      </c>
      <c r="C1416">
        <v>5</v>
      </c>
      <c r="D1416">
        <v>5</v>
      </c>
      <c r="E1416" t="s">
        <v>387</v>
      </c>
      <c r="F1416">
        <v>412</v>
      </c>
      <c r="G1416">
        <v>2</v>
      </c>
      <c r="H1416">
        <v>71</v>
      </c>
      <c r="I1416" t="s">
        <v>386</v>
      </c>
      <c r="J1416" t="s">
        <v>386</v>
      </c>
      <c r="K1416">
        <v>1000000</v>
      </c>
      <c r="L1416">
        <v>1439</v>
      </c>
      <c r="M1416">
        <v>1439</v>
      </c>
      <c r="N1416">
        <v>2039</v>
      </c>
      <c r="O1416">
        <v>0</v>
      </c>
      <c r="P1416">
        <v>3482</v>
      </c>
      <c r="Q1416">
        <v>4129</v>
      </c>
      <c r="R1416">
        <v>3800</v>
      </c>
      <c r="S1416">
        <v>2420</v>
      </c>
      <c r="T1416">
        <v>0</v>
      </c>
      <c r="U1416">
        <v>14131</v>
      </c>
      <c r="V1416">
        <v>19084.87538035</v>
      </c>
      <c r="AH1416">
        <f t="shared" si="203"/>
        <v>1439</v>
      </c>
      <c r="AI1416">
        <f t="shared" si="204"/>
        <v>2039</v>
      </c>
      <c r="AJ1416" t="str">
        <f t="shared" si="205"/>
        <v/>
      </c>
      <c r="AK1416">
        <f t="shared" si="206"/>
        <v>3482</v>
      </c>
      <c r="AL1416">
        <f t="shared" si="199"/>
        <v>4129</v>
      </c>
      <c r="AM1416">
        <f t="shared" si="200"/>
        <v>3800</v>
      </c>
      <c r="AN1416">
        <f t="shared" si="201"/>
        <v>2420</v>
      </c>
      <c r="AO1416" t="str">
        <f t="shared" si="202"/>
        <v/>
      </c>
    </row>
    <row r="1417" spans="1:41">
      <c r="A1417">
        <f t="shared" si="207"/>
        <v>1413</v>
      </c>
      <c r="B1417" t="s">
        <v>270</v>
      </c>
      <c r="C1417">
        <v>5</v>
      </c>
      <c r="D1417">
        <v>5</v>
      </c>
      <c r="E1417" t="s">
        <v>387</v>
      </c>
      <c r="F1417">
        <v>412</v>
      </c>
      <c r="G1417">
        <v>2</v>
      </c>
      <c r="H1417">
        <v>72</v>
      </c>
      <c r="I1417" t="s">
        <v>386</v>
      </c>
      <c r="J1417" t="s">
        <v>386</v>
      </c>
      <c r="K1417">
        <v>1000000</v>
      </c>
      <c r="L1417">
        <v>1516</v>
      </c>
      <c r="M1417">
        <v>1516</v>
      </c>
      <c r="N1417">
        <v>2143</v>
      </c>
      <c r="O1417">
        <v>0</v>
      </c>
      <c r="P1417">
        <v>3538</v>
      </c>
      <c r="Q1417">
        <v>4124</v>
      </c>
      <c r="R1417">
        <v>3701</v>
      </c>
      <c r="S1417">
        <v>2283</v>
      </c>
      <c r="T1417">
        <v>0</v>
      </c>
      <c r="U1417">
        <v>14623</v>
      </c>
      <c r="V1417">
        <v>20272.168999509999</v>
      </c>
      <c r="AH1417">
        <f t="shared" si="203"/>
        <v>1516</v>
      </c>
      <c r="AI1417">
        <f t="shared" si="204"/>
        <v>2143</v>
      </c>
      <c r="AJ1417" t="str">
        <f t="shared" si="205"/>
        <v/>
      </c>
      <c r="AK1417">
        <f t="shared" si="206"/>
        <v>3538</v>
      </c>
      <c r="AL1417">
        <f t="shared" si="199"/>
        <v>4124</v>
      </c>
      <c r="AM1417">
        <f t="shared" si="200"/>
        <v>3701</v>
      </c>
      <c r="AN1417">
        <f t="shared" si="201"/>
        <v>2283</v>
      </c>
      <c r="AO1417" t="str">
        <f t="shared" si="202"/>
        <v/>
      </c>
    </row>
    <row r="1418" spans="1:41">
      <c r="A1418">
        <f t="shared" si="207"/>
        <v>1414</v>
      </c>
      <c r="B1418" t="s">
        <v>270</v>
      </c>
      <c r="C1418">
        <v>5</v>
      </c>
      <c r="D1418">
        <v>5</v>
      </c>
      <c r="E1418" t="s">
        <v>387</v>
      </c>
      <c r="F1418">
        <v>412</v>
      </c>
      <c r="G1418">
        <v>2</v>
      </c>
      <c r="H1418">
        <v>73</v>
      </c>
      <c r="I1418" t="s">
        <v>386</v>
      </c>
      <c r="J1418" t="s">
        <v>386</v>
      </c>
      <c r="K1418">
        <v>1000000</v>
      </c>
      <c r="L1418">
        <v>1587</v>
      </c>
      <c r="M1418">
        <v>1587</v>
      </c>
      <c r="N1418">
        <v>2239</v>
      </c>
      <c r="O1418">
        <v>0</v>
      </c>
      <c r="P1418">
        <v>3458</v>
      </c>
      <c r="Q1418">
        <v>3868</v>
      </c>
      <c r="R1418">
        <v>3322</v>
      </c>
      <c r="S1418">
        <v>1952</v>
      </c>
      <c r="T1418">
        <v>0</v>
      </c>
      <c r="U1418">
        <v>15074</v>
      </c>
      <c r="V1418">
        <v>21434.821132500001</v>
      </c>
      <c r="AH1418">
        <f t="shared" si="203"/>
        <v>1587</v>
      </c>
      <c r="AI1418">
        <f t="shared" si="204"/>
        <v>2239</v>
      </c>
      <c r="AJ1418" t="str">
        <f t="shared" si="205"/>
        <v/>
      </c>
      <c r="AK1418">
        <f t="shared" si="206"/>
        <v>3458</v>
      </c>
      <c r="AL1418">
        <f t="shared" si="199"/>
        <v>3868</v>
      </c>
      <c r="AM1418">
        <f t="shared" si="200"/>
        <v>3322</v>
      </c>
      <c r="AN1418">
        <f t="shared" si="201"/>
        <v>1952</v>
      </c>
      <c r="AO1418" t="str">
        <f t="shared" si="202"/>
        <v/>
      </c>
    </row>
    <row r="1419" spans="1:41">
      <c r="A1419">
        <f t="shared" si="207"/>
        <v>1415</v>
      </c>
      <c r="B1419" t="s">
        <v>270</v>
      </c>
      <c r="C1419">
        <v>5</v>
      </c>
      <c r="D1419">
        <v>5</v>
      </c>
      <c r="E1419" t="s">
        <v>387</v>
      </c>
      <c r="F1419">
        <v>412</v>
      </c>
      <c r="G1419">
        <v>2</v>
      </c>
      <c r="H1419">
        <v>74</v>
      </c>
      <c r="I1419" t="s">
        <v>386</v>
      </c>
      <c r="J1419" t="s">
        <v>386</v>
      </c>
      <c r="K1419">
        <v>1000000</v>
      </c>
      <c r="L1419">
        <v>1646</v>
      </c>
      <c r="M1419">
        <v>1646</v>
      </c>
      <c r="N1419">
        <v>2319</v>
      </c>
      <c r="O1419">
        <v>0</v>
      </c>
      <c r="P1419">
        <v>3197</v>
      </c>
      <c r="Q1419">
        <v>3335</v>
      </c>
      <c r="R1419">
        <v>2681</v>
      </c>
      <c r="S1419">
        <v>1480</v>
      </c>
      <c r="T1419">
        <v>0</v>
      </c>
      <c r="U1419">
        <v>15448</v>
      </c>
      <c r="V1419">
        <v>22567.452677810001</v>
      </c>
      <c r="AH1419">
        <f t="shared" si="203"/>
        <v>1646</v>
      </c>
      <c r="AI1419">
        <f t="shared" si="204"/>
        <v>2319</v>
      </c>
      <c r="AJ1419" t="str">
        <f t="shared" si="205"/>
        <v/>
      </c>
      <c r="AK1419">
        <f t="shared" si="206"/>
        <v>3197</v>
      </c>
      <c r="AL1419">
        <f t="shared" si="199"/>
        <v>3335</v>
      </c>
      <c r="AM1419">
        <f t="shared" si="200"/>
        <v>2681</v>
      </c>
      <c r="AN1419">
        <f t="shared" si="201"/>
        <v>1480</v>
      </c>
      <c r="AO1419" t="str">
        <f t="shared" si="202"/>
        <v/>
      </c>
    </row>
    <row r="1420" spans="1:41">
      <c r="A1420">
        <f t="shared" si="207"/>
        <v>1416</v>
      </c>
      <c r="B1420" t="s">
        <v>270</v>
      </c>
      <c r="C1420">
        <v>5</v>
      </c>
      <c r="D1420">
        <v>5</v>
      </c>
      <c r="E1420" t="s">
        <v>387</v>
      </c>
      <c r="F1420">
        <v>412</v>
      </c>
      <c r="G1420">
        <v>2</v>
      </c>
      <c r="H1420">
        <v>75</v>
      </c>
      <c r="I1420" t="s">
        <v>386</v>
      </c>
      <c r="J1420" t="s">
        <v>386</v>
      </c>
      <c r="K1420">
        <v>1000000</v>
      </c>
      <c r="L1420">
        <v>1688</v>
      </c>
      <c r="M1420">
        <v>1688</v>
      </c>
      <c r="N1420">
        <v>2376</v>
      </c>
      <c r="O1420">
        <v>0</v>
      </c>
      <c r="P1420">
        <v>2792</v>
      </c>
      <c r="Q1420">
        <v>2627</v>
      </c>
      <c r="R1420">
        <v>1937</v>
      </c>
      <c r="S1420">
        <v>992</v>
      </c>
      <c r="T1420">
        <v>0</v>
      </c>
      <c r="U1420">
        <v>15717</v>
      </c>
      <c r="V1420">
        <v>23666.87972868</v>
      </c>
      <c r="AH1420">
        <f t="shared" si="203"/>
        <v>1688</v>
      </c>
      <c r="AI1420">
        <f t="shared" si="204"/>
        <v>2376</v>
      </c>
      <c r="AJ1420" t="str">
        <f t="shared" si="205"/>
        <v/>
      </c>
      <c r="AK1420">
        <f t="shared" si="206"/>
        <v>2792</v>
      </c>
      <c r="AL1420">
        <f t="shared" si="199"/>
        <v>2627</v>
      </c>
      <c r="AM1420">
        <f t="shared" si="200"/>
        <v>1937</v>
      </c>
      <c r="AN1420">
        <f t="shared" si="201"/>
        <v>992</v>
      </c>
      <c r="AO1420" t="str">
        <f t="shared" si="202"/>
        <v/>
      </c>
    </row>
    <row r="1421" spans="1:41">
      <c r="A1421">
        <f t="shared" si="207"/>
        <v>1417</v>
      </c>
      <c r="B1421" t="s">
        <v>270</v>
      </c>
      <c r="C1421">
        <v>5</v>
      </c>
      <c r="D1421">
        <v>5</v>
      </c>
      <c r="E1421" t="s">
        <v>387</v>
      </c>
      <c r="F1421">
        <v>412</v>
      </c>
      <c r="G1421">
        <v>2</v>
      </c>
      <c r="H1421">
        <v>76</v>
      </c>
      <c r="I1421" t="s">
        <v>386</v>
      </c>
      <c r="J1421" t="s">
        <v>386</v>
      </c>
      <c r="K1421">
        <v>1000000</v>
      </c>
      <c r="L1421">
        <v>1712</v>
      </c>
      <c r="M1421">
        <v>1712</v>
      </c>
      <c r="N1421">
        <v>2410</v>
      </c>
      <c r="O1421">
        <v>0</v>
      </c>
      <c r="P1421">
        <v>2354</v>
      </c>
      <c r="Q1421">
        <v>1952</v>
      </c>
      <c r="R1421">
        <v>1310</v>
      </c>
      <c r="S1421">
        <v>634</v>
      </c>
      <c r="T1421">
        <v>0</v>
      </c>
      <c r="U1421">
        <v>15875</v>
      </c>
      <c r="V1421">
        <v>20185.318114940001</v>
      </c>
      <c r="AH1421">
        <f t="shared" si="203"/>
        <v>1712</v>
      </c>
      <c r="AI1421">
        <f t="shared" si="204"/>
        <v>2410</v>
      </c>
      <c r="AJ1421" t="str">
        <f t="shared" si="205"/>
        <v/>
      </c>
      <c r="AK1421">
        <f t="shared" si="206"/>
        <v>2354</v>
      </c>
      <c r="AL1421">
        <f t="shared" si="199"/>
        <v>1952</v>
      </c>
      <c r="AM1421">
        <f t="shared" si="200"/>
        <v>1310</v>
      </c>
      <c r="AN1421">
        <f t="shared" si="201"/>
        <v>634</v>
      </c>
      <c r="AO1421" t="str">
        <f t="shared" si="202"/>
        <v/>
      </c>
    </row>
    <row r="1422" spans="1:41">
      <c r="A1422">
        <f t="shared" si="207"/>
        <v>1418</v>
      </c>
      <c r="B1422" t="s">
        <v>270</v>
      </c>
      <c r="C1422">
        <v>5</v>
      </c>
      <c r="D1422">
        <v>5</v>
      </c>
      <c r="E1422" t="s">
        <v>387</v>
      </c>
      <c r="F1422">
        <v>412</v>
      </c>
      <c r="G1422">
        <v>2</v>
      </c>
      <c r="H1422">
        <v>77</v>
      </c>
      <c r="I1422" t="s">
        <v>386</v>
      </c>
      <c r="J1422" t="s">
        <v>386</v>
      </c>
      <c r="K1422">
        <v>1000000</v>
      </c>
      <c r="L1422">
        <v>1724</v>
      </c>
      <c r="M1422">
        <v>1724</v>
      </c>
      <c r="N1422">
        <v>2425</v>
      </c>
      <c r="O1422">
        <v>0</v>
      </c>
      <c r="P1422">
        <v>2034</v>
      </c>
      <c r="Q1422">
        <v>1532</v>
      </c>
      <c r="R1422">
        <v>1002</v>
      </c>
      <c r="S1422">
        <v>522</v>
      </c>
      <c r="T1422">
        <v>0</v>
      </c>
      <c r="U1422">
        <v>15947</v>
      </c>
      <c r="V1422">
        <v>16461.918353789999</v>
      </c>
      <c r="AH1422">
        <f t="shared" si="203"/>
        <v>1724</v>
      </c>
      <c r="AI1422">
        <f t="shared" si="204"/>
        <v>2425</v>
      </c>
      <c r="AJ1422" t="str">
        <f t="shared" si="205"/>
        <v/>
      </c>
      <c r="AK1422">
        <f t="shared" si="206"/>
        <v>2034</v>
      </c>
      <c r="AL1422">
        <f t="shared" si="199"/>
        <v>1532</v>
      </c>
      <c r="AM1422">
        <f t="shared" si="200"/>
        <v>1002</v>
      </c>
      <c r="AN1422">
        <f t="shared" si="201"/>
        <v>522</v>
      </c>
      <c r="AO1422" t="str">
        <f t="shared" si="202"/>
        <v/>
      </c>
    </row>
    <row r="1423" spans="1:41">
      <c r="A1423">
        <f t="shared" si="207"/>
        <v>1419</v>
      </c>
      <c r="B1423" t="s">
        <v>270</v>
      </c>
      <c r="C1423">
        <v>5</v>
      </c>
      <c r="D1423">
        <v>5</v>
      </c>
      <c r="E1423" t="s">
        <v>387</v>
      </c>
      <c r="F1423">
        <v>412</v>
      </c>
      <c r="G1423">
        <v>2</v>
      </c>
      <c r="H1423">
        <v>78</v>
      </c>
      <c r="I1423" t="s">
        <v>386</v>
      </c>
      <c r="J1423" t="s">
        <v>386</v>
      </c>
      <c r="K1423">
        <v>1000000</v>
      </c>
      <c r="L1423">
        <v>1728</v>
      </c>
      <c r="M1423">
        <v>1728</v>
      </c>
      <c r="N1423">
        <v>2430</v>
      </c>
      <c r="O1423">
        <v>0</v>
      </c>
      <c r="P1423">
        <v>1924</v>
      </c>
      <c r="Q1423">
        <v>1461</v>
      </c>
      <c r="R1423">
        <v>1051</v>
      </c>
      <c r="S1423">
        <v>602</v>
      </c>
      <c r="T1423">
        <v>0</v>
      </c>
      <c r="U1423">
        <v>15972</v>
      </c>
      <c r="V1423">
        <v>12507.971852750001</v>
      </c>
      <c r="AH1423">
        <f t="shared" si="203"/>
        <v>1728</v>
      </c>
      <c r="AI1423">
        <f t="shared" si="204"/>
        <v>2430</v>
      </c>
      <c r="AJ1423" t="str">
        <f t="shared" si="205"/>
        <v/>
      </c>
      <c r="AK1423">
        <f t="shared" si="206"/>
        <v>1924</v>
      </c>
      <c r="AL1423">
        <f t="shared" si="199"/>
        <v>1461</v>
      </c>
      <c r="AM1423">
        <f t="shared" si="200"/>
        <v>1051</v>
      </c>
      <c r="AN1423">
        <f t="shared" si="201"/>
        <v>602</v>
      </c>
      <c r="AO1423" t="str">
        <f t="shared" si="202"/>
        <v/>
      </c>
    </row>
    <row r="1424" spans="1:41">
      <c r="A1424">
        <f t="shared" si="207"/>
        <v>1420</v>
      </c>
      <c r="B1424" t="s">
        <v>270</v>
      </c>
      <c r="C1424">
        <v>5</v>
      </c>
      <c r="D1424">
        <v>5</v>
      </c>
      <c r="E1424" t="s">
        <v>387</v>
      </c>
      <c r="F1424">
        <v>412</v>
      </c>
      <c r="G1424">
        <v>2</v>
      </c>
      <c r="H1424">
        <v>79</v>
      </c>
      <c r="I1424" t="s">
        <v>386</v>
      </c>
      <c r="J1424" t="s">
        <v>386</v>
      </c>
      <c r="K1424">
        <v>1000000</v>
      </c>
      <c r="L1424">
        <v>1731</v>
      </c>
      <c r="M1424">
        <v>1731</v>
      </c>
      <c r="N1424">
        <v>2435</v>
      </c>
      <c r="O1424">
        <v>0</v>
      </c>
      <c r="P1424">
        <v>2024</v>
      </c>
      <c r="Q1424">
        <v>1682</v>
      </c>
      <c r="R1424">
        <v>1303</v>
      </c>
      <c r="S1424">
        <v>776</v>
      </c>
      <c r="T1424">
        <v>0</v>
      </c>
      <c r="U1424">
        <v>15993</v>
      </c>
      <c r="V1424">
        <v>8334.2060374100001</v>
      </c>
      <c r="AH1424">
        <f t="shared" si="203"/>
        <v>1731</v>
      </c>
      <c r="AI1424">
        <f t="shared" si="204"/>
        <v>2435</v>
      </c>
      <c r="AJ1424" t="str">
        <f t="shared" si="205"/>
        <v/>
      </c>
      <c r="AK1424">
        <f t="shared" si="206"/>
        <v>2024</v>
      </c>
      <c r="AL1424">
        <f t="shared" si="199"/>
        <v>1682</v>
      </c>
      <c r="AM1424">
        <f t="shared" si="200"/>
        <v>1303</v>
      </c>
      <c r="AN1424">
        <f t="shared" si="201"/>
        <v>776</v>
      </c>
      <c r="AO1424" t="str">
        <f t="shared" si="202"/>
        <v/>
      </c>
    </row>
    <row r="1425" spans="1:41">
      <c r="A1425">
        <f t="shared" si="207"/>
        <v>1421</v>
      </c>
      <c r="B1425" t="s">
        <v>270</v>
      </c>
      <c r="C1425">
        <v>5</v>
      </c>
      <c r="D1425">
        <v>5</v>
      </c>
      <c r="E1425" t="s">
        <v>387</v>
      </c>
      <c r="F1425">
        <v>412</v>
      </c>
      <c r="G1425">
        <v>2</v>
      </c>
      <c r="H1425">
        <v>80</v>
      </c>
      <c r="I1425" t="s">
        <v>386</v>
      </c>
      <c r="J1425" t="s">
        <v>386</v>
      </c>
      <c r="K1425">
        <v>1000000</v>
      </c>
      <c r="L1425">
        <v>1738</v>
      </c>
      <c r="M1425">
        <v>1738</v>
      </c>
      <c r="N1425">
        <v>2444</v>
      </c>
      <c r="O1425">
        <v>0</v>
      </c>
      <c r="P1425">
        <v>2244</v>
      </c>
      <c r="Q1425">
        <v>1976</v>
      </c>
      <c r="R1425">
        <v>1566</v>
      </c>
      <c r="S1425">
        <v>912</v>
      </c>
      <c r="T1425">
        <v>0</v>
      </c>
      <c r="U1425">
        <v>16037</v>
      </c>
      <c r="V1425">
        <v>3976.2374338300001</v>
      </c>
      <c r="AH1425">
        <f t="shared" si="203"/>
        <v>1738</v>
      </c>
      <c r="AI1425">
        <f t="shared" si="204"/>
        <v>2444</v>
      </c>
      <c r="AJ1425" t="str">
        <f t="shared" si="205"/>
        <v/>
      </c>
      <c r="AK1425">
        <f t="shared" si="206"/>
        <v>2244</v>
      </c>
      <c r="AL1425">
        <f t="shared" si="199"/>
        <v>1976</v>
      </c>
      <c r="AM1425">
        <f t="shared" si="200"/>
        <v>1566</v>
      </c>
      <c r="AN1425">
        <f t="shared" si="201"/>
        <v>912</v>
      </c>
      <c r="AO1425" t="str">
        <f t="shared" si="202"/>
        <v/>
      </c>
    </row>
    <row r="1426" spans="1:41">
      <c r="A1426">
        <f t="shared" si="207"/>
        <v>1422</v>
      </c>
      <c r="B1426" t="s">
        <v>270</v>
      </c>
      <c r="C1426">
        <v>5</v>
      </c>
      <c r="D1426">
        <v>5</v>
      </c>
      <c r="E1426" t="s">
        <v>387</v>
      </c>
      <c r="F1426">
        <v>412</v>
      </c>
      <c r="G1426">
        <v>2</v>
      </c>
      <c r="H1426">
        <v>81</v>
      </c>
      <c r="I1426" t="s">
        <v>386</v>
      </c>
      <c r="J1426" t="s">
        <v>386</v>
      </c>
      <c r="K1426">
        <v>1000000</v>
      </c>
      <c r="L1426">
        <v>1749</v>
      </c>
      <c r="M1426">
        <v>1749</v>
      </c>
      <c r="N1426">
        <v>2459</v>
      </c>
      <c r="O1426">
        <v>0</v>
      </c>
      <c r="P1426">
        <v>2422</v>
      </c>
      <c r="Q1426">
        <v>2163</v>
      </c>
      <c r="R1426">
        <v>1670</v>
      </c>
      <c r="S1426">
        <v>924</v>
      </c>
      <c r="T1426">
        <v>0</v>
      </c>
      <c r="U1426">
        <v>16105</v>
      </c>
      <c r="V1426">
        <v>3979.6764623399999</v>
      </c>
      <c r="AH1426">
        <f t="shared" si="203"/>
        <v>1749</v>
      </c>
      <c r="AI1426">
        <f t="shared" si="204"/>
        <v>2459</v>
      </c>
      <c r="AJ1426" t="str">
        <f t="shared" si="205"/>
        <v/>
      </c>
      <c r="AK1426">
        <f t="shared" si="206"/>
        <v>2422</v>
      </c>
      <c r="AL1426">
        <f t="shared" si="199"/>
        <v>2163</v>
      </c>
      <c r="AM1426">
        <f t="shared" si="200"/>
        <v>1670</v>
      </c>
      <c r="AN1426">
        <f t="shared" si="201"/>
        <v>924</v>
      </c>
      <c r="AO1426" t="str">
        <f t="shared" si="202"/>
        <v/>
      </c>
    </row>
    <row r="1427" spans="1:41">
      <c r="A1427">
        <f t="shared" si="207"/>
        <v>1423</v>
      </c>
      <c r="B1427" t="s">
        <v>270</v>
      </c>
      <c r="C1427">
        <v>5</v>
      </c>
      <c r="D1427">
        <v>5</v>
      </c>
      <c r="E1427" t="s">
        <v>387</v>
      </c>
      <c r="F1427">
        <v>412</v>
      </c>
      <c r="G1427">
        <v>2</v>
      </c>
      <c r="H1427">
        <v>82</v>
      </c>
      <c r="I1427" t="s">
        <v>386</v>
      </c>
      <c r="J1427" t="s">
        <v>386</v>
      </c>
      <c r="K1427">
        <v>1000000</v>
      </c>
      <c r="L1427">
        <v>1760</v>
      </c>
      <c r="M1427">
        <v>1760</v>
      </c>
      <c r="N1427">
        <v>2474</v>
      </c>
      <c r="O1427">
        <v>0</v>
      </c>
      <c r="P1427">
        <v>2489</v>
      </c>
      <c r="Q1427">
        <v>2147</v>
      </c>
      <c r="R1427">
        <v>1560</v>
      </c>
      <c r="S1427">
        <v>801</v>
      </c>
      <c r="T1427">
        <v>0</v>
      </c>
      <c r="U1427">
        <v>16176</v>
      </c>
      <c r="V1427">
        <v>3983.5599824800001</v>
      </c>
      <c r="AH1427">
        <f t="shared" si="203"/>
        <v>1760</v>
      </c>
      <c r="AI1427">
        <f t="shared" si="204"/>
        <v>2474</v>
      </c>
      <c r="AJ1427" t="str">
        <f t="shared" si="205"/>
        <v/>
      </c>
      <c r="AK1427">
        <f t="shared" si="206"/>
        <v>2489</v>
      </c>
      <c r="AL1427">
        <f t="shared" si="199"/>
        <v>2147</v>
      </c>
      <c r="AM1427">
        <f t="shared" si="200"/>
        <v>1560</v>
      </c>
      <c r="AN1427">
        <f t="shared" si="201"/>
        <v>801</v>
      </c>
      <c r="AO1427" t="str">
        <f t="shared" si="202"/>
        <v/>
      </c>
    </row>
    <row r="1428" spans="1:41">
      <c r="A1428">
        <f t="shared" si="207"/>
        <v>1424</v>
      </c>
      <c r="B1428" t="s">
        <v>270</v>
      </c>
      <c r="C1428">
        <v>5</v>
      </c>
      <c r="D1428">
        <v>5</v>
      </c>
      <c r="E1428" t="s">
        <v>387</v>
      </c>
      <c r="F1428">
        <v>412</v>
      </c>
      <c r="G1428">
        <v>2</v>
      </c>
      <c r="H1428">
        <v>83</v>
      </c>
      <c r="I1428" t="s">
        <v>386</v>
      </c>
      <c r="J1428" t="s">
        <v>386</v>
      </c>
      <c r="K1428">
        <v>1000000</v>
      </c>
      <c r="L1428">
        <v>1767</v>
      </c>
      <c r="M1428">
        <v>1767</v>
      </c>
      <c r="N1428">
        <v>2484</v>
      </c>
      <c r="O1428">
        <v>0</v>
      </c>
      <c r="P1428">
        <v>2417</v>
      </c>
      <c r="Q1428">
        <v>1934</v>
      </c>
      <c r="R1428">
        <v>1285</v>
      </c>
      <c r="S1428">
        <v>599</v>
      </c>
      <c r="T1428">
        <v>0</v>
      </c>
      <c r="U1428">
        <v>16224</v>
      </c>
      <c r="V1428">
        <v>3987.8991150400002</v>
      </c>
      <c r="AH1428">
        <f t="shared" si="203"/>
        <v>1767</v>
      </c>
      <c r="AI1428">
        <f t="shared" si="204"/>
        <v>2484</v>
      </c>
      <c r="AJ1428" t="str">
        <f t="shared" si="205"/>
        <v/>
      </c>
      <c r="AK1428">
        <f t="shared" si="206"/>
        <v>2417</v>
      </c>
      <c r="AL1428">
        <f t="shared" si="199"/>
        <v>1934</v>
      </c>
      <c r="AM1428">
        <f t="shared" si="200"/>
        <v>1285</v>
      </c>
      <c r="AN1428">
        <f t="shared" si="201"/>
        <v>599</v>
      </c>
      <c r="AO1428" t="str">
        <f t="shared" si="202"/>
        <v/>
      </c>
    </row>
    <row r="1429" spans="1:41">
      <c r="A1429">
        <f t="shared" si="207"/>
        <v>1425</v>
      </c>
      <c r="B1429" t="s">
        <v>270</v>
      </c>
      <c r="C1429">
        <v>5</v>
      </c>
      <c r="D1429">
        <v>5</v>
      </c>
      <c r="E1429" t="s">
        <v>387</v>
      </c>
      <c r="F1429">
        <v>412</v>
      </c>
      <c r="G1429">
        <v>2</v>
      </c>
      <c r="H1429">
        <v>84</v>
      </c>
      <c r="I1429" t="s">
        <v>386</v>
      </c>
      <c r="J1429" t="s">
        <v>386</v>
      </c>
      <c r="K1429">
        <v>1000000</v>
      </c>
      <c r="L1429">
        <v>1768</v>
      </c>
      <c r="M1429">
        <v>1768</v>
      </c>
      <c r="N1429">
        <v>2485</v>
      </c>
      <c r="O1429">
        <v>0</v>
      </c>
      <c r="P1429">
        <v>2256</v>
      </c>
      <c r="Q1429">
        <v>1632</v>
      </c>
      <c r="R1429">
        <v>972</v>
      </c>
      <c r="S1429">
        <v>402</v>
      </c>
      <c r="T1429">
        <v>0</v>
      </c>
      <c r="U1429">
        <v>16229</v>
      </c>
      <c r="V1429">
        <v>3992.6509863800002</v>
      </c>
      <c r="AH1429">
        <f t="shared" si="203"/>
        <v>1768</v>
      </c>
      <c r="AI1429">
        <f t="shared" si="204"/>
        <v>2485</v>
      </c>
      <c r="AJ1429" t="str">
        <f t="shared" si="205"/>
        <v/>
      </c>
      <c r="AK1429">
        <f t="shared" si="206"/>
        <v>2256</v>
      </c>
      <c r="AL1429">
        <f t="shared" si="199"/>
        <v>1632</v>
      </c>
      <c r="AM1429">
        <f t="shared" si="200"/>
        <v>972</v>
      </c>
      <c r="AN1429">
        <f t="shared" si="201"/>
        <v>402</v>
      </c>
      <c r="AO1429" t="str">
        <f t="shared" si="202"/>
        <v/>
      </c>
    </row>
    <row r="1430" spans="1:41">
      <c r="A1430">
        <f t="shared" si="207"/>
        <v>1426</v>
      </c>
      <c r="B1430" t="s">
        <v>270</v>
      </c>
      <c r="C1430">
        <v>5</v>
      </c>
      <c r="D1430">
        <v>5</v>
      </c>
      <c r="E1430" t="s">
        <v>387</v>
      </c>
      <c r="F1430">
        <v>412</v>
      </c>
      <c r="G1430">
        <v>2</v>
      </c>
      <c r="H1430">
        <v>85</v>
      </c>
      <c r="I1430" t="s">
        <v>386</v>
      </c>
      <c r="J1430" t="s">
        <v>386</v>
      </c>
      <c r="K1430">
        <v>1000000</v>
      </c>
      <c r="L1430">
        <v>1761</v>
      </c>
      <c r="M1430">
        <v>1761</v>
      </c>
      <c r="N1430">
        <v>2476</v>
      </c>
      <c r="O1430">
        <v>0</v>
      </c>
      <c r="P1430">
        <v>2087</v>
      </c>
      <c r="Q1430">
        <v>1367</v>
      </c>
      <c r="R1430">
        <v>734</v>
      </c>
      <c r="S1430">
        <v>266</v>
      </c>
      <c r="T1430">
        <v>0</v>
      </c>
      <c r="U1430">
        <v>16187</v>
      </c>
      <c r="V1430">
        <v>3998.2386540500002</v>
      </c>
      <c r="AH1430">
        <f t="shared" si="203"/>
        <v>1761</v>
      </c>
      <c r="AI1430">
        <f t="shared" si="204"/>
        <v>2476</v>
      </c>
      <c r="AJ1430" t="str">
        <f t="shared" si="205"/>
        <v/>
      </c>
      <c r="AK1430">
        <f t="shared" si="206"/>
        <v>2087</v>
      </c>
      <c r="AL1430">
        <f t="shared" si="199"/>
        <v>1367</v>
      </c>
      <c r="AM1430">
        <f t="shared" si="200"/>
        <v>734</v>
      </c>
      <c r="AN1430">
        <f t="shared" si="201"/>
        <v>266</v>
      </c>
      <c r="AO1430" t="str">
        <f t="shared" si="202"/>
        <v/>
      </c>
    </row>
    <row r="1431" spans="1:41">
      <c r="A1431">
        <f t="shared" si="207"/>
        <v>1427</v>
      </c>
      <c r="B1431" t="s">
        <v>270</v>
      </c>
      <c r="C1431">
        <v>5</v>
      </c>
      <c r="D1431">
        <v>5</v>
      </c>
      <c r="E1431" t="s">
        <v>387</v>
      </c>
      <c r="F1431">
        <v>412</v>
      </c>
      <c r="G1431">
        <v>2</v>
      </c>
      <c r="H1431">
        <v>86</v>
      </c>
      <c r="I1431" t="s">
        <v>386</v>
      </c>
      <c r="J1431" t="s">
        <v>386</v>
      </c>
      <c r="K1431">
        <v>1000000</v>
      </c>
      <c r="L1431">
        <v>1748</v>
      </c>
      <c r="M1431">
        <v>1748</v>
      </c>
      <c r="N1431">
        <v>2459</v>
      </c>
      <c r="O1431">
        <v>0</v>
      </c>
      <c r="P1431">
        <v>1977</v>
      </c>
      <c r="Q1431">
        <v>1214</v>
      </c>
      <c r="R1431">
        <v>612</v>
      </c>
      <c r="S1431">
        <v>204</v>
      </c>
      <c r="T1431">
        <v>0</v>
      </c>
      <c r="U1431">
        <v>16105</v>
      </c>
      <c r="V1431">
        <v>4004.6830201100001</v>
      </c>
      <c r="AH1431">
        <f t="shared" si="203"/>
        <v>1748</v>
      </c>
      <c r="AI1431">
        <f t="shared" si="204"/>
        <v>2459</v>
      </c>
      <c r="AJ1431" t="str">
        <f t="shared" si="205"/>
        <v/>
      </c>
      <c r="AK1431">
        <f t="shared" si="206"/>
        <v>1977</v>
      </c>
      <c r="AL1431">
        <f t="shared" si="199"/>
        <v>1214</v>
      </c>
      <c r="AM1431">
        <f t="shared" si="200"/>
        <v>612</v>
      </c>
      <c r="AN1431">
        <f t="shared" si="201"/>
        <v>204</v>
      </c>
      <c r="AO1431" t="str">
        <f t="shared" si="202"/>
        <v/>
      </c>
    </row>
    <row r="1432" spans="1:41">
      <c r="A1432">
        <f t="shared" si="207"/>
        <v>1428</v>
      </c>
      <c r="B1432" t="s">
        <v>270</v>
      </c>
      <c r="C1432">
        <v>5</v>
      </c>
      <c r="D1432">
        <v>5</v>
      </c>
      <c r="E1432" t="s">
        <v>387</v>
      </c>
      <c r="F1432">
        <v>412</v>
      </c>
      <c r="G1432">
        <v>2</v>
      </c>
      <c r="H1432">
        <v>87</v>
      </c>
      <c r="I1432" t="s">
        <v>386</v>
      </c>
      <c r="J1432" t="s">
        <v>386</v>
      </c>
      <c r="K1432">
        <v>1000000</v>
      </c>
      <c r="L1432">
        <v>1732</v>
      </c>
      <c r="M1432">
        <v>1732</v>
      </c>
      <c r="N1432">
        <v>2436</v>
      </c>
      <c r="O1432">
        <v>0</v>
      </c>
      <c r="P1432">
        <v>1942</v>
      </c>
      <c r="Q1432">
        <v>1168</v>
      </c>
      <c r="R1432">
        <v>581</v>
      </c>
      <c r="S1432">
        <v>190</v>
      </c>
      <c r="T1432">
        <v>0</v>
      </c>
      <c r="U1432">
        <v>15998</v>
      </c>
      <c r="V1432">
        <v>4012.4182482599999</v>
      </c>
      <c r="AH1432">
        <f t="shared" si="203"/>
        <v>1732</v>
      </c>
      <c r="AI1432">
        <f t="shared" si="204"/>
        <v>2436</v>
      </c>
      <c r="AJ1432" t="str">
        <f t="shared" si="205"/>
        <v/>
      </c>
      <c r="AK1432">
        <f t="shared" si="206"/>
        <v>1942</v>
      </c>
      <c r="AL1432">
        <f t="shared" si="199"/>
        <v>1168</v>
      </c>
      <c r="AM1432">
        <f t="shared" si="200"/>
        <v>581</v>
      </c>
      <c r="AN1432">
        <f t="shared" si="201"/>
        <v>190</v>
      </c>
      <c r="AO1432" t="str">
        <f t="shared" si="202"/>
        <v/>
      </c>
    </row>
    <row r="1433" spans="1:41">
      <c r="A1433">
        <f t="shared" si="207"/>
        <v>1429</v>
      </c>
      <c r="B1433" t="s">
        <v>270</v>
      </c>
      <c r="C1433">
        <v>5</v>
      </c>
      <c r="D1433">
        <v>5</v>
      </c>
      <c r="E1433" t="s">
        <v>387</v>
      </c>
      <c r="F1433">
        <v>412</v>
      </c>
      <c r="G1433">
        <v>2</v>
      </c>
      <c r="H1433">
        <v>88</v>
      </c>
      <c r="I1433" t="s">
        <v>386</v>
      </c>
      <c r="J1433" t="s">
        <v>386</v>
      </c>
      <c r="K1433">
        <v>1000000</v>
      </c>
      <c r="L1433">
        <v>1713</v>
      </c>
      <c r="M1433">
        <v>1713</v>
      </c>
      <c r="N1433">
        <v>2411</v>
      </c>
      <c r="O1433">
        <v>0</v>
      </c>
      <c r="P1433">
        <v>1959</v>
      </c>
      <c r="Q1433">
        <v>1185</v>
      </c>
      <c r="R1433">
        <v>597</v>
      </c>
      <c r="S1433">
        <v>201</v>
      </c>
      <c r="T1433">
        <v>0</v>
      </c>
      <c r="U1433">
        <v>15881</v>
      </c>
      <c r="V1433">
        <v>4021.4766382799999</v>
      </c>
      <c r="AH1433">
        <f t="shared" si="203"/>
        <v>1713</v>
      </c>
      <c r="AI1433">
        <f t="shared" si="204"/>
        <v>2411</v>
      </c>
      <c r="AJ1433" t="str">
        <f t="shared" si="205"/>
        <v/>
      </c>
      <c r="AK1433">
        <f t="shared" si="206"/>
        <v>1959</v>
      </c>
      <c r="AL1433">
        <f t="shared" si="199"/>
        <v>1185</v>
      </c>
      <c r="AM1433">
        <f t="shared" si="200"/>
        <v>597</v>
      </c>
      <c r="AN1433">
        <f t="shared" si="201"/>
        <v>201</v>
      </c>
      <c r="AO1433" t="str">
        <f t="shared" si="202"/>
        <v/>
      </c>
    </row>
    <row r="1434" spans="1:41">
      <c r="A1434">
        <f t="shared" si="207"/>
        <v>1430</v>
      </c>
      <c r="B1434" t="s">
        <v>270</v>
      </c>
      <c r="C1434">
        <v>5</v>
      </c>
      <c r="D1434">
        <v>5</v>
      </c>
      <c r="E1434" t="s">
        <v>387</v>
      </c>
      <c r="F1434">
        <v>412</v>
      </c>
      <c r="G1434">
        <v>2</v>
      </c>
      <c r="H1434">
        <v>89</v>
      </c>
      <c r="I1434" t="s">
        <v>386</v>
      </c>
      <c r="J1434" t="s">
        <v>386</v>
      </c>
      <c r="K1434">
        <v>1000000</v>
      </c>
      <c r="L1434">
        <v>1695</v>
      </c>
      <c r="M1434">
        <v>1695</v>
      </c>
      <c r="N1434">
        <v>2386</v>
      </c>
      <c r="O1434">
        <v>0</v>
      </c>
      <c r="P1434">
        <v>1998</v>
      </c>
      <c r="Q1434">
        <v>1223</v>
      </c>
      <c r="R1434">
        <v>632</v>
      </c>
      <c r="S1434">
        <v>225</v>
      </c>
      <c r="T1434">
        <v>0</v>
      </c>
      <c r="U1434">
        <v>15763</v>
      </c>
      <c r="V1434">
        <v>4031.4242850000001</v>
      </c>
      <c r="AH1434">
        <f t="shared" si="203"/>
        <v>1695</v>
      </c>
      <c r="AI1434">
        <f t="shared" si="204"/>
        <v>2386</v>
      </c>
      <c r="AJ1434" t="str">
        <f t="shared" si="205"/>
        <v/>
      </c>
      <c r="AK1434">
        <f t="shared" si="206"/>
        <v>1998</v>
      </c>
      <c r="AL1434">
        <f t="shared" si="199"/>
        <v>1223</v>
      </c>
      <c r="AM1434">
        <f t="shared" si="200"/>
        <v>632</v>
      </c>
      <c r="AN1434">
        <f t="shared" si="201"/>
        <v>225</v>
      </c>
      <c r="AO1434" t="str">
        <f t="shared" si="202"/>
        <v/>
      </c>
    </row>
    <row r="1435" spans="1:41">
      <c r="A1435">
        <f t="shared" si="207"/>
        <v>1431</v>
      </c>
      <c r="B1435" t="s">
        <v>270</v>
      </c>
      <c r="C1435">
        <v>5</v>
      </c>
      <c r="D1435">
        <v>5</v>
      </c>
      <c r="E1435" t="s">
        <v>387</v>
      </c>
      <c r="F1435">
        <v>412</v>
      </c>
      <c r="G1435">
        <v>2</v>
      </c>
      <c r="H1435">
        <v>90</v>
      </c>
      <c r="I1435" t="s">
        <v>386</v>
      </c>
      <c r="J1435" t="s">
        <v>386</v>
      </c>
      <c r="K1435">
        <v>1000000</v>
      </c>
      <c r="L1435">
        <v>1677</v>
      </c>
      <c r="M1435">
        <v>1677</v>
      </c>
      <c r="N1435">
        <v>2362</v>
      </c>
      <c r="O1435">
        <v>0</v>
      </c>
      <c r="P1435">
        <v>2043</v>
      </c>
      <c r="Q1435">
        <v>1274</v>
      </c>
      <c r="R1435">
        <v>681</v>
      </c>
      <c r="S1435">
        <v>260</v>
      </c>
      <c r="T1435">
        <v>0</v>
      </c>
      <c r="U1435">
        <v>15650</v>
      </c>
      <c r="V1435">
        <v>4041.81642298</v>
      </c>
      <c r="AH1435">
        <f t="shared" si="203"/>
        <v>1677</v>
      </c>
      <c r="AI1435">
        <f t="shared" si="204"/>
        <v>2362</v>
      </c>
      <c r="AJ1435" t="str">
        <f t="shared" si="205"/>
        <v/>
      </c>
      <c r="AK1435">
        <f t="shared" si="206"/>
        <v>2043</v>
      </c>
      <c r="AL1435">
        <f t="shared" si="199"/>
        <v>1274</v>
      </c>
      <c r="AM1435">
        <f t="shared" si="200"/>
        <v>681</v>
      </c>
      <c r="AN1435">
        <f t="shared" si="201"/>
        <v>260</v>
      </c>
      <c r="AO1435" t="str">
        <f t="shared" si="202"/>
        <v/>
      </c>
    </row>
    <row r="1436" spans="1:41">
      <c r="A1436">
        <f t="shared" si="207"/>
        <v>1432</v>
      </c>
      <c r="B1436" t="s">
        <v>270</v>
      </c>
      <c r="C1436">
        <v>5</v>
      </c>
      <c r="D1436">
        <v>5</v>
      </c>
      <c r="E1436" t="s">
        <v>387</v>
      </c>
      <c r="F1436">
        <v>412</v>
      </c>
      <c r="G1436">
        <v>2</v>
      </c>
      <c r="H1436">
        <v>91</v>
      </c>
      <c r="I1436" t="s">
        <v>386</v>
      </c>
      <c r="J1436" t="s">
        <v>386</v>
      </c>
      <c r="K1436">
        <v>1000000</v>
      </c>
      <c r="L1436">
        <v>1660</v>
      </c>
      <c r="M1436">
        <v>1660</v>
      </c>
      <c r="N1436">
        <v>2339</v>
      </c>
      <c r="O1436">
        <v>0</v>
      </c>
      <c r="P1436">
        <v>2097</v>
      </c>
      <c r="Q1436">
        <v>1341</v>
      </c>
      <c r="R1436">
        <v>750</v>
      </c>
      <c r="S1436">
        <v>310</v>
      </c>
      <c r="T1436">
        <v>0</v>
      </c>
      <c r="U1436">
        <v>15545</v>
      </c>
      <c r="V1436">
        <v>4053.0769044799999</v>
      </c>
      <c r="AH1436">
        <f t="shared" si="203"/>
        <v>1660</v>
      </c>
      <c r="AI1436">
        <f t="shared" si="204"/>
        <v>2339</v>
      </c>
      <c r="AJ1436" t="str">
        <f t="shared" si="205"/>
        <v/>
      </c>
      <c r="AK1436">
        <f t="shared" si="206"/>
        <v>2097</v>
      </c>
      <c r="AL1436">
        <f t="shared" si="199"/>
        <v>1341</v>
      </c>
      <c r="AM1436">
        <f t="shared" si="200"/>
        <v>750</v>
      </c>
      <c r="AN1436">
        <f t="shared" si="201"/>
        <v>310</v>
      </c>
      <c r="AO1436" t="str">
        <f t="shared" si="202"/>
        <v/>
      </c>
    </row>
    <row r="1437" spans="1:41">
      <c r="A1437">
        <f t="shared" si="207"/>
        <v>1433</v>
      </c>
      <c r="B1437" t="s">
        <v>270</v>
      </c>
      <c r="C1437">
        <v>5</v>
      </c>
      <c r="D1437">
        <v>5</v>
      </c>
      <c r="E1437" t="s">
        <v>387</v>
      </c>
      <c r="F1437">
        <v>412</v>
      </c>
      <c r="G1437">
        <v>2</v>
      </c>
      <c r="H1437">
        <v>92</v>
      </c>
      <c r="I1437" t="s">
        <v>386</v>
      </c>
      <c r="J1437" t="s">
        <v>386</v>
      </c>
      <c r="K1437">
        <v>1000000</v>
      </c>
      <c r="L1437">
        <v>1646</v>
      </c>
      <c r="M1437">
        <v>1646</v>
      </c>
      <c r="N1437">
        <v>2319</v>
      </c>
      <c r="O1437">
        <v>0</v>
      </c>
      <c r="P1437">
        <v>2160</v>
      </c>
      <c r="Q1437">
        <v>1425</v>
      </c>
      <c r="R1437">
        <v>836</v>
      </c>
      <c r="S1437">
        <v>368</v>
      </c>
      <c r="T1437">
        <v>0</v>
      </c>
      <c r="U1437">
        <v>15450</v>
      </c>
      <c r="V1437">
        <v>4064.3477149300002</v>
      </c>
      <c r="AH1437">
        <f t="shared" si="203"/>
        <v>1646</v>
      </c>
      <c r="AI1437">
        <f t="shared" si="204"/>
        <v>2319</v>
      </c>
      <c r="AJ1437" t="str">
        <f t="shared" si="205"/>
        <v/>
      </c>
      <c r="AK1437">
        <f t="shared" si="206"/>
        <v>2160</v>
      </c>
      <c r="AL1437">
        <f t="shared" si="199"/>
        <v>1425</v>
      </c>
      <c r="AM1437">
        <f t="shared" si="200"/>
        <v>836</v>
      </c>
      <c r="AN1437">
        <f t="shared" si="201"/>
        <v>368</v>
      </c>
      <c r="AO1437" t="str">
        <f t="shared" si="202"/>
        <v/>
      </c>
    </row>
    <row r="1438" spans="1:41">
      <c r="A1438">
        <f t="shared" si="207"/>
        <v>1434</v>
      </c>
      <c r="B1438" t="s">
        <v>270</v>
      </c>
      <c r="C1438">
        <v>5</v>
      </c>
      <c r="D1438">
        <v>5</v>
      </c>
      <c r="E1438" t="s">
        <v>387</v>
      </c>
      <c r="F1438">
        <v>412</v>
      </c>
      <c r="G1438">
        <v>2</v>
      </c>
      <c r="H1438">
        <v>93</v>
      </c>
      <c r="I1438" t="s">
        <v>386</v>
      </c>
      <c r="J1438" t="s">
        <v>386</v>
      </c>
      <c r="K1438">
        <v>1000000</v>
      </c>
      <c r="L1438">
        <v>1633</v>
      </c>
      <c r="M1438">
        <v>1633</v>
      </c>
      <c r="N1438">
        <v>2302</v>
      </c>
      <c r="O1438">
        <v>0</v>
      </c>
      <c r="P1438">
        <v>2231</v>
      </c>
      <c r="Q1438">
        <v>1523</v>
      </c>
      <c r="R1438">
        <v>932</v>
      </c>
      <c r="S1438">
        <v>433</v>
      </c>
      <c r="T1438">
        <v>0</v>
      </c>
      <c r="U1438">
        <v>15369</v>
      </c>
      <c r="V1438">
        <v>4076.0418257599999</v>
      </c>
      <c r="AH1438">
        <f t="shared" si="203"/>
        <v>1633</v>
      </c>
      <c r="AI1438">
        <f t="shared" si="204"/>
        <v>2302</v>
      </c>
      <c r="AJ1438" t="str">
        <f t="shared" si="205"/>
        <v/>
      </c>
      <c r="AK1438">
        <f t="shared" si="206"/>
        <v>2231</v>
      </c>
      <c r="AL1438">
        <f t="shared" si="199"/>
        <v>1523</v>
      </c>
      <c r="AM1438">
        <f t="shared" si="200"/>
        <v>932</v>
      </c>
      <c r="AN1438">
        <f t="shared" si="201"/>
        <v>433</v>
      </c>
      <c r="AO1438" t="str">
        <f t="shared" si="202"/>
        <v/>
      </c>
    </row>
    <row r="1439" spans="1:41">
      <c r="A1439">
        <f t="shared" si="207"/>
        <v>1435</v>
      </c>
      <c r="B1439" t="s">
        <v>270</v>
      </c>
      <c r="C1439">
        <v>5</v>
      </c>
      <c r="D1439">
        <v>5</v>
      </c>
      <c r="E1439" t="s">
        <v>387</v>
      </c>
      <c r="F1439">
        <v>412</v>
      </c>
      <c r="G1439">
        <v>2</v>
      </c>
      <c r="H1439">
        <v>94</v>
      </c>
      <c r="I1439" t="s">
        <v>386</v>
      </c>
      <c r="J1439" t="s">
        <v>386</v>
      </c>
      <c r="K1439">
        <v>1000000</v>
      </c>
      <c r="L1439">
        <v>1622</v>
      </c>
      <c r="M1439">
        <v>1622</v>
      </c>
      <c r="N1439">
        <v>2288</v>
      </c>
      <c r="O1439">
        <v>0</v>
      </c>
      <c r="P1439">
        <v>2307</v>
      </c>
      <c r="Q1439">
        <v>1624</v>
      </c>
      <c r="R1439">
        <v>1030</v>
      </c>
      <c r="S1439">
        <v>497</v>
      </c>
      <c r="T1439">
        <v>0</v>
      </c>
      <c r="U1439">
        <v>15302</v>
      </c>
      <c r="V1439">
        <v>4087.7571360799998</v>
      </c>
      <c r="AH1439">
        <f t="shared" si="203"/>
        <v>1622</v>
      </c>
      <c r="AI1439">
        <f t="shared" si="204"/>
        <v>2288</v>
      </c>
      <c r="AJ1439" t="str">
        <f t="shared" si="205"/>
        <v/>
      </c>
      <c r="AK1439">
        <f t="shared" si="206"/>
        <v>2307</v>
      </c>
      <c r="AL1439">
        <f t="shared" si="199"/>
        <v>1624</v>
      </c>
      <c r="AM1439">
        <f t="shared" si="200"/>
        <v>1030</v>
      </c>
      <c r="AN1439">
        <f t="shared" si="201"/>
        <v>497</v>
      </c>
      <c r="AO1439" t="str">
        <f t="shared" si="202"/>
        <v/>
      </c>
    </row>
    <row r="1440" spans="1:41">
      <c r="A1440">
        <f t="shared" si="207"/>
        <v>1436</v>
      </c>
      <c r="B1440" t="s">
        <v>270</v>
      </c>
      <c r="C1440">
        <v>5</v>
      </c>
      <c r="D1440">
        <v>5</v>
      </c>
      <c r="E1440" t="s">
        <v>387</v>
      </c>
      <c r="F1440">
        <v>412</v>
      </c>
      <c r="G1440">
        <v>2</v>
      </c>
      <c r="H1440">
        <v>95</v>
      </c>
      <c r="I1440" t="s">
        <v>386</v>
      </c>
      <c r="J1440" t="s">
        <v>386</v>
      </c>
      <c r="K1440">
        <v>1000000</v>
      </c>
      <c r="L1440">
        <v>1614</v>
      </c>
      <c r="M1440">
        <v>1614</v>
      </c>
      <c r="N1440">
        <v>2277</v>
      </c>
      <c r="O1440">
        <v>0</v>
      </c>
      <c r="P1440">
        <v>2379</v>
      </c>
      <c r="Q1440">
        <v>1723</v>
      </c>
      <c r="R1440">
        <v>1125</v>
      </c>
      <c r="S1440">
        <v>560</v>
      </c>
      <c r="T1440">
        <v>0</v>
      </c>
      <c r="U1440">
        <v>15251</v>
      </c>
      <c r="V1440">
        <v>4099.08149452</v>
      </c>
      <c r="AH1440">
        <f t="shared" si="203"/>
        <v>1614</v>
      </c>
      <c r="AI1440">
        <f t="shared" si="204"/>
        <v>2277</v>
      </c>
      <c r="AJ1440" t="str">
        <f t="shared" si="205"/>
        <v/>
      </c>
      <c r="AK1440">
        <f t="shared" si="206"/>
        <v>2379</v>
      </c>
      <c r="AL1440">
        <f t="shared" si="199"/>
        <v>1723</v>
      </c>
      <c r="AM1440">
        <f t="shared" si="200"/>
        <v>1125</v>
      </c>
      <c r="AN1440">
        <f t="shared" si="201"/>
        <v>560</v>
      </c>
      <c r="AO1440" t="str">
        <f t="shared" si="202"/>
        <v/>
      </c>
    </row>
    <row r="1441" spans="1:41">
      <c r="A1441">
        <f t="shared" si="207"/>
        <v>1437</v>
      </c>
      <c r="B1441" t="s">
        <v>270</v>
      </c>
      <c r="C1441">
        <v>4</v>
      </c>
      <c r="D1441">
        <v>4</v>
      </c>
      <c r="E1441" t="s">
        <v>387</v>
      </c>
      <c r="F1441">
        <v>412</v>
      </c>
      <c r="G1441">
        <v>2</v>
      </c>
      <c r="H1441">
        <v>96</v>
      </c>
      <c r="I1441" t="s">
        <v>386</v>
      </c>
      <c r="J1441" t="s">
        <v>386</v>
      </c>
      <c r="K1441">
        <v>1000000</v>
      </c>
      <c r="L1441">
        <v>1597</v>
      </c>
      <c r="M1441">
        <v>1597</v>
      </c>
      <c r="N1441">
        <v>2341</v>
      </c>
      <c r="O1441">
        <v>0</v>
      </c>
      <c r="P1441">
        <v>2306</v>
      </c>
      <c r="Q1441">
        <v>1522</v>
      </c>
      <c r="R1441">
        <v>763</v>
      </c>
      <c r="S1441">
        <v>0</v>
      </c>
      <c r="T1441" t="s">
        <v>386</v>
      </c>
      <c r="U1441">
        <v>15551</v>
      </c>
      <c r="V1441">
        <v>4109.1253504400001</v>
      </c>
      <c r="AH1441">
        <f t="shared" si="203"/>
        <v>1597</v>
      </c>
      <c r="AI1441">
        <f t="shared" si="204"/>
        <v>2341</v>
      </c>
      <c r="AJ1441" t="str">
        <f t="shared" si="205"/>
        <v/>
      </c>
      <c r="AK1441">
        <f t="shared" si="206"/>
        <v>2306</v>
      </c>
      <c r="AL1441">
        <f t="shared" si="199"/>
        <v>1522</v>
      </c>
      <c r="AM1441">
        <f t="shared" si="200"/>
        <v>763</v>
      </c>
      <c r="AN1441" t="str">
        <f t="shared" si="201"/>
        <v/>
      </c>
      <c r="AO1441" t="e">
        <f t="shared" si="202"/>
        <v>#VALUE!</v>
      </c>
    </row>
    <row r="1442" spans="1:41">
      <c r="A1442">
        <f t="shared" si="207"/>
        <v>1438</v>
      </c>
      <c r="B1442" t="s">
        <v>270</v>
      </c>
      <c r="C1442">
        <v>3</v>
      </c>
      <c r="D1442">
        <v>3</v>
      </c>
      <c r="E1442" t="s">
        <v>387</v>
      </c>
      <c r="F1442">
        <v>412</v>
      </c>
      <c r="G1442">
        <v>2</v>
      </c>
      <c r="H1442">
        <v>97</v>
      </c>
      <c r="I1442" t="s">
        <v>386</v>
      </c>
      <c r="J1442" t="s">
        <v>386</v>
      </c>
      <c r="K1442">
        <v>1000000</v>
      </c>
      <c r="L1442">
        <v>1572</v>
      </c>
      <c r="M1442">
        <v>1572</v>
      </c>
      <c r="N1442">
        <v>2462</v>
      </c>
      <c r="O1442">
        <v>0</v>
      </c>
      <c r="P1442">
        <v>2101</v>
      </c>
      <c r="Q1442">
        <v>1059</v>
      </c>
      <c r="R1442">
        <v>0</v>
      </c>
      <c r="S1442" t="s">
        <v>386</v>
      </c>
      <c r="T1442" t="s">
        <v>386</v>
      </c>
      <c r="U1442">
        <v>16115</v>
      </c>
      <c r="V1442">
        <v>4118.32369371</v>
      </c>
      <c r="AH1442">
        <f t="shared" si="203"/>
        <v>1572</v>
      </c>
      <c r="AI1442">
        <f t="shared" si="204"/>
        <v>2462</v>
      </c>
      <c r="AJ1442" t="str">
        <f t="shared" si="205"/>
        <v/>
      </c>
      <c r="AK1442">
        <f t="shared" si="206"/>
        <v>2101</v>
      </c>
      <c r="AL1442">
        <f t="shared" si="199"/>
        <v>1059</v>
      </c>
      <c r="AM1442" t="str">
        <f t="shared" si="200"/>
        <v/>
      </c>
      <c r="AN1442" t="e">
        <f t="shared" si="201"/>
        <v>#VALUE!</v>
      </c>
      <c r="AO1442" t="e">
        <f t="shared" si="202"/>
        <v>#VALUE!</v>
      </c>
    </row>
    <row r="1443" spans="1:41">
      <c r="A1443">
        <f t="shared" si="207"/>
        <v>1439</v>
      </c>
      <c r="B1443" t="s">
        <v>270</v>
      </c>
      <c r="C1443">
        <v>2</v>
      </c>
      <c r="D1443">
        <v>2</v>
      </c>
      <c r="E1443" t="s">
        <v>387</v>
      </c>
      <c r="F1443">
        <v>412</v>
      </c>
      <c r="G1443">
        <v>2</v>
      </c>
      <c r="H1443">
        <v>98</v>
      </c>
      <c r="I1443" t="s">
        <v>386</v>
      </c>
      <c r="J1443" t="s">
        <v>386</v>
      </c>
      <c r="K1443">
        <v>1000000</v>
      </c>
      <c r="L1443">
        <v>1525</v>
      </c>
      <c r="M1443">
        <v>1525</v>
      </c>
      <c r="N1443">
        <v>2664</v>
      </c>
      <c r="O1443">
        <v>0</v>
      </c>
      <c r="P1443">
        <v>1605</v>
      </c>
      <c r="Q1443">
        <v>0</v>
      </c>
      <c r="R1443" t="s">
        <v>386</v>
      </c>
      <c r="S1443" t="s">
        <v>386</v>
      </c>
      <c r="T1443" t="s">
        <v>386</v>
      </c>
      <c r="U1443">
        <v>15838</v>
      </c>
      <c r="V1443">
        <v>4127.0136030399999</v>
      </c>
      <c r="AH1443">
        <f t="shared" si="203"/>
        <v>1525</v>
      </c>
      <c r="AI1443">
        <f t="shared" si="204"/>
        <v>2664</v>
      </c>
      <c r="AJ1443" t="str">
        <f t="shared" si="205"/>
        <v/>
      </c>
      <c r="AK1443">
        <f t="shared" si="206"/>
        <v>1605</v>
      </c>
      <c r="AL1443" t="str">
        <f t="shared" si="199"/>
        <v/>
      </c>
      <c r="AM1443" t="e">
        <f t="shared" si="200"/>
        <v>#VALUE!</v>
      </c>
      <c r="AN1443" t="e">
        <f t="shared" si="201"/>
        <v>#VALUE!</v>
      </c>
      <c r="AO1443" t="e">
        <f t="shared" si="202"/>
        <v>#VALUE!</v>
      </c>
    </row>
    <row r="1444" spans="1:41">
      <c r="A1444">
        <f t="shared" si="207"/>
        <v>1440</v>
      </c>
      <c r="B1444" t="s">
        <v>270</v>
      </c>
      <c r="C1444">
        <v>1</v>
      </c>
      <c r="D1444">
        <v>1</v>
      </c>
      <c r="E1444" t="s">
        <v>387</v>
      </c>
      <c r="F1444">
        <v>412</v>
      </c>
      <c r="G1444">
        <v>2</v>
      </c>
      <c r="H1444">
        <v>99</v>
      </c>
      <c r="I1444" t="s">
        <v>386</v>
      </c>
      <c r="J1444" t="s">
        <v>386</v>
      </c>
      <c r="K1444">
        <v>1000000</v>
      </c>
      <c r="L1444">
        <v>1389</v>
      </c>
      <c r="M1444">
        <v>1389</v>
      </c>
      <c r="N1444">
        <v>3230</v>
      </c>
      <c r="O1444">
        <v>0</v>
      </c>
      <c r="P1444">
        <v>0</v>
      </c>
      <c r="Q1444" t="s">
        <v>386</v>
      </c>
      <c r="R1444" t="s">
        <v>386</v>
      </c>
      <c r="S1444" t="s">
        <v>386</v>
      </c>
      <c r="T1444" t="s">
        <v>386</v>
      </c>
      <c r="U1444">
        <v>15090</v>
      </c>
      <c r="V1444">
        <v>4136.0620727100004</v>
      </c>
      <c r="AH1444">
        <f t="shared" si="203"/>
        <v>1389</v>
      </c>
      <c r="AI1444">
        <f t="shared" si="204"/>
        <v>3230</v>
      </c>
      <c r="AJ1444" t="str">
        <f t="shared" si="205"/>
        <v/>
      </c>
      <c r="AK1444" t="str">
        <f t="shared" si="206"/>
        <v/>
      </c>
      <c r="AL1444" t="e">
        <f t="shared" si="199"/>
        <v>#VALUE!</v>
      </c>
      <c r="AM1444" t="e">
        <f t="shared" si="200"/>
        <v>#VALUE!</v>
      </c>
      <c r="AN1444" t="e">
        <f t="shared" si="201"/>
        <v>#VALUE!</v>
      </c>
      <c r="AO1444" t="e">
        <f t="shared" si="202"/>
        <v>#VALUE!</v>
      </c>
    </row>
    <row r="1445" spans="1:41">
      <c r="A1445">
        <f t="shared" si="207"/>
        <v>1441</v>
      </c>
      <c r="B1445" t="s">
        <v>276</v>
      </c>
      <c r="C1445">
        <v>5</v>
      </c>
      <c r="D1445">
        <v>5</v>
      </c>
      <c r="E1445" t="s">
        <v>385</v>
      </c>
      <c r="F1445">
        <v>412</v>
      </c>
      <c r="G1445">
        <v>1</v>
      </c>
      <c r="H1445">
        <v>30</v>
      </c>
      <c r="I1445" t="s">
        <v>386</v>
      </c>
      <c r="J1445" t="s">
        <v>386</v>
      </c>
      <c r="K1445">
        <v>10000000</v>
      </c>
      <c r="L1445">
        <v>3</v>
      </c>
      <c r="M1445">
        <v>3</v>
      </c>
      <c r="N1445">
        <v>4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16</v>
      </c>
      <c r="V1445">
        <v>516.29712518999997</v>
      </c>
      <c r="AH1445">
        <f t="shared" si="203"/>
        <v>3</v>
      </c>
      <c r="AI1445">
        <f t="shared" si="204"/>
        <v>4</v>
      </c>
      <c r="AJ1445" t="str">
        <f t="shared" si="205"/>
        <v/>
      </c>
      <c r="AK1445" t="str">
        <f t="shared" si="206"/>
        <v/>
      </c>
      <c r="AL1445" t="str">
        <f t="shared" si="199"/>
        <v/>
      </c>
      <c r="AM1445" t="str">
        <f t="shared" si="200"/>
        <v/>
      </c>
      <c r="AN1445" t="str">
        <f t="shared" si="201"/>
        <v/>
      </c>
      <c r="AO1445" t="str">
        <f t="shared" si="202"/>
        <v/>
      </c>
    </row>
    <row r="1446" spans="1:41">
      <c r="A1446">
        <f t="shared" si="207"/>
        <v>1442</v>
      </c>
      <c r="B1446" t="s">
        <v>276</v>
      </c>
      <c r="C1446">
        <v>5</v>
      </c>
      <c r="D1446">
        <v>5</v>
      </c>
      <c r="E1446" t="s">
        <v>385</v>
      </c>
      <c r="F1446">
        <v>412</v>
      </c>
      <c r="G1446">
        <v>1</v>
      </c>
      <c r="H1446">
        <v>31</v>
      </c>
      <c r="I1446" t="s">
        <v>386</v>
      </c>
      <c r="J1446" t="s">
        <v>386</v>
      </c>
      <c r="K1446">
        <v>10000000</v>
      </c>
      <c r="L1446">
        <v>3</v>
      </c>
      <c r="M1446">
        <v>3</v>
      </c>
      <c r="N1446">
        <v>4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16</v>
      </c>
      <c r="V1446">
        <v>516.29712518999997</v>
      </c>
      <c r="AH1446">
        <f t="shared" si="203"/>
        <v>3</v>
      </c>
      <c r="AI1446">
        <f t="shared" si="204"/>
        <v>4</v>
      </c>
      <c r="AJ1446" t="str">
        <f t="shared" si="205"/>
        <v/>
      </c>
      <c r="AK1446" t="str">
        <f t="shared" si="206"/>
        <v/>
      </c>
      <c r="AL1446" t="str">
        <f t="shared" si="199"/>
        <v/>
      </c>
      <c r="AM1446" t="str">
        <f t="shared" si="200"/>
        <v/>
      </c>
      <c r="AN1446" t="str">
        <f t="shared" si="201"/>
        <v/>
      </c>
      <c r="AO1446" t="str">
        <f t="shared" si="202"/>
        <v/>
      </c>
    </row>
    <row r="1447" spans="1:41">
      <c r="A1447">
        <f t="shared" si="207"/>
        <v>1443</v>
      </c>
      <c r="B1447" t="s">
        <v>276</v>
      </c>
      <c r="C1447">
        <v>5</v>
      </c>
      <c r="D1447">
        <v>5</v>
      </c>
      <c r="E1447" t="s">
        <v>385</v>
      </c>
      <c r="F1447">
        <v>412</v>
      </c>
      <c r="G1447">
        <v>1</v>
      </c>
      <c r="H1447">
        <v>32</v>
      </c>
      <c r="I1447" t="s">
        <v>386</v>
      </c>
      <c r="J1447" t="s">
        <v>386</v>
      </c>
      <c r="K1447">
        <v>10000000</v>
      </c>
      <c r="L1447">
        <v>3</v>
      </c>
      <c r="M1447">
        <v>3</v>
      </c>
      <c r="N1447">
        <v>4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16</v>
      </c>
      <c r="V1447">
        <v>516.29712518999997</v>
      </c>
      <c r="AH1447">
        <f t="shared" si="203"/>
        <v>3</v>
      </c>
      <c r="AI1447">
        <f t="shared" si="204"/>
        <v>4</v>
      </c>
      <c r="AJ1447" t="str">
        <f t="shared" si="205"/>
        <v/>
      </c>
      <c r="AK1447" t="str">
        <f t="shared" si="206"/>
        <v/>
      </c>
      <c r="AL1447" t="str">
        <f t="shared" si="199"/>
        <v/>
      </c>
      <c r="AM1447" t="str">
        <f t="shared" si="200"/>
        <v/>
      </c>
      <c r="AN1447" t="str">
        <f t="shared" si="201"/>
        <v/>
      </c>
      <c r="AO1447" t="str">
        <f t="shared" si="202"/>
        <v/>
      </c>
    </row>
    <row r="1448" spans="1:41">
      <c r="A1448">
        <f t="shared" si="207"/>
        <v>1444</v>
      </c>
      <c r="B1448" t="s">
        <v>276</v>
      </c>
      <c r="C1448">
        <v>5</v>
      </c>
      <c r="D1448">
        <v>5</v>
      </c>
      <c r="E1448" t="s">
        <v>385</v>
      </c>
      <c r="F1448">
        <v>412</v>
      </c>
      <c r="G1448">
        <v>1</v>
      </c>
      <c r="H1448">
        <v>33</v>
      </c>
      <c r="I1448" t="s">
        <v>386</v>
      </c>
      <c r="J1448" t="s">
        <v>386</v>
      </c>
      <c r="K1448">
        <v>10000000</v>
      </c>
      <c r="L1448">
        <v>3</v>
      </c>
      <c r="M1448">
        <v>3</v>
      </c>
      <c r="N1448">
        <v>4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16</v>
      </c>
      <c r="V1448">
        <v>516.29712518999997</v>
      </c>
      <c r="AH1448">
        <f t="shared" si="203"/>
        <v>3</v>
      </c>
      <c r="AI1448">
        <f t="shared" si="204"/>
        <v>4</v>
      </c>
      <c r="AJ1448" t="str">
        <f t="shared" si="205"/>
        <v/>
      </c>
      <c r="AK1448" t="str">
        <f t="shared" si="206"/>
        <v/>
      </c>
      <c r="AL1448" t="str">
        <f t="shared" si="199"/>
        <v/>
      </c>
      <c r="AM1448" t="str">
        <f t="shared" si="200"/>
        <v/>
      </c>
      <c r="AN1448" t="str">
        <f t="shared" si="201"/>
        <v/>
      </c>
      <c r="AO1448" t="str">
        <f t="shared" si="202"/>
        <v/>
      </c>
    </row>
    <row r="1449" spans="1:41">
      <c r="A1449">
        <f t="shared" si="207"/>
        <v>1445</v>
      </c>
      <c r="B1449" t="s">
        <v>276</v>
      </c>
      <c r="C1449">
        <v>5</v>
      </c>
      <c r="D1449">
        <v>5</v>
      </c>
      <c r="E1449" t="s">
        <v>385</v>
      </c>
      <c r="F1449">
        <v>412</v>
      </c>
      <c r="G1449">
        <v>1</v>
      </c>
      <c r="H1449">
        <v>34</v>
      </c>
      <c r="I1449" t="s">
        <v>386</v>
      </c>
      <c r="J1449" t="s">
        <v>386</v>
      </c>
      <c r="K1449">
        <v>10000000</v>
      </c>
      <c r="L1449">
        <v>3</v>
      </c>
      <c r="M1449">
        <v>3</v>
      </c>
      <c r="N1449">
        <v>4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16</v>
      </c>
      <c r="V1449">
        <v>516.29712518999997</v>
      </c>
      <c r="AH1449">
        <f t="shared" si="203"/>
        <v>3</v>
      </c>
      <c r="AI1449">
        <f t="shared" si="204"/>
        <v>4</v>
      </c>
      <c r="AJ1449" t="str">
        <f t="shared" si="205"/>
        <v/>
      </c>
      <c r="AK1449" t="str">
        <f t="shared" si="206"/>
        <v/>
      </c>
      <c r="AL1449" t="str">
        <f t="shared" si="199"/>
        <v/>
      </c>
      <c r="AM1449" t="str">
        <f t="shared" si="200"/>
        <v/>
      </c>
      <c r="AN1449" t="str">
        <f t="shared" si="201"/>
        <v/>
      </c>
      <c r="AO1449" t="str">
        <f t="shared" si="202"/>
        <v/>
      </c>
    </row>
    <row r="1450" spans="1:41">
      <c r="A1450">
        <f t="shared" si="207"/>
        <v>1446</v>
      </c>
      <c r="B1450" t="s">
        <v>276</v>
      </c>
      <c r="C1450">
        <v>5</v>
      </c>
      <c r="D1450">
        <v>5</v>
      </c>
      <c r="E1450" t="s">
        <v>385</v>
      </c>
      <c r="F1450">
        <v>412</v>
      </c>
      <c r="G1450">
        <v>1</v>
      </c>
      <c r="H1450">
        <v>35</v>
      </c>
      <c r="I1450" t="s">
        <v>386</v>
      </c>
      <c r="J1450" t="s">
        <v>386</v>
      </c>
      <c r="K1450">
        <v>10000000</v>
      </c>
      <c r="L1450">
        <v>3</v>
      </c>
      <c r="M1450">
        <v>3</v>
      </c>
      <c r="N1450">
        <v>4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16</v>
      </c>
      <c r="V1450">
        <v>516.29712518999997</v>
      </c>
      <c r="AH1450">
        <f t="shared" si="203"/>
        <v>3</v>
      </c>
      <c r="AI1450">
        <f t="shared" si="204"/>
        <v>4</v>
      </c>
      <c r="AJ1450" t="str">
        <f t="shared" si="205"/>
        <v/>
      </c>
      <c r="AK1450" t="str">
        <f t="shared" si="206"/>
        <v/>
      </c>
      <c r="AL1450" t="str">
        <f t="shared" si="199"/>
        <v/>
      </c>
      <c r="AM1450" t="str">
        <f t="shared" si="200"/>
        <v/>
      </c>
      <c r="AN1450" t="str">
        <f t="shared" si="201"/>
        <v/>
      </c>
      <c r="AO1450" t="str">
        <f t="shared" si="202"/>
        <v/>
      </c>
    </row>
    <row r="1451" spans="1:41">
      <c r="A1451">
        <f t="shared" si="207"/>
        <v>1447</v>
      </c>
      <c r="B1451" t="s">
        <v>276</v>
      </c>
      <c r="C1451">
        <v>5</v>
      </c>
      <c r="D1451">
        <v>5</v>
      </c>
      <c r="E1451" t="s">
        <v>385</v>
      </c>
      <c r="F1451">
        <v>412</v>
      </c>
      <c r="G1451">
        <v>1</v>
      </c>
      <c r="H1451">
        <v>36</v>
      </c>
      <c r="I1451" t="s">
        <v>386</v>
      </c>
      <c r="J1451" t="s">
        <v>386</v>
      </c>
      <c r="K1451">
        <v>10000000</v>
      </c>
      <c r="L1451">
        <v>3</v>
      </c>
      <c r="M1451">
        <v>3</v>
      </c>
      <c r="N1451">
        <v>4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16</v>
      </c>
      <c r="V1451">
        <v>516.29712518999997</v>
      </c>
      <c r="AH1451">
        <f t="shared" si="203"/>
        <v>3</v>
      </c>
      <c r="AI1451">
        <f t="shared" si="204"/>
        <v>4</v>
      </c>
      <c r="AJ1451" t="str">
        <f t="shared" si="205"/>
        <v/>
      </c>
      <c r="AK1451" t="str">
        <f t="shared" si="206"/>
        <v/>
      </c>
      <c r="AL1451" t="str">
        <f t="shared" si="199"/>
        <v/>
      </c>
      <c r="AM1451" t="str">
        <f t="shared" si="200"/>
        <v/>
      </c>
      <c r="AN1451" t="str">
        <f t="shared" si="201"/>
        <v/>
      </c>
      <c r="AO1451" t="str">
        <f t="shared" si="202"/>
        <v/>
      </c>
    </row>
    <row r="1452" spans="1:41">
      <c r="A1452">
        <f t="shared" si="207"/>
        <v>1448</v>
      </c>
      <c r="B1452" t="s">
        <v>276</v>
      </c>
      <c r="C1452">
        <v>5</v>
      </c>
      <c r="D1452">
        <v>5</v>
      </c>
      <c r="E1452" t="s">
        <v>385</v>
      </c>
      <c r="F1452">
        <v>412</v>
      </c>
      <c r="G1452">
        <v>1</v>
      </c>
      <c r="H1452">
        <v>37</v>
      </c>
      <c r="I1452" t="s">
        <v>386</v>
      </c>
      <c r="J1452" t="s">
        <v>386</v>
      </c>
      <c r="K1452">
        <v>10000000</v>
      </c>
      <c r="L1452">
        <v>3</v>
      </c>
      <c r="M1452">
        <v>3</v>
      </c>
      <c r="N1452">
        <v>4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16</v>
      </c>
      <c r="V1452">
        <v>516.29712518999997</v>
      </c>
      <c r="AH1452">
        <f t="shared" si="203"/>
        <v>3</v>
      </c>
      <c r="AI1452">
        <f t="shared" si="204"/>
        <v>4</v>
      </c>
      <c r="AJ1452" t="str">
        <f t="shared" si="205"/>
        <v/>
      </c>
      <c r="AK1452" t="str">
        <f t="shared" si="206"/>
        <v/>
      </c>
      <c r="AL1452" t="str">
        <f t="shared" si="199"/>
        <v/>
      </c>
      <c r="AM1452" t="str">
        <f t="shared" si="200"/>
        <v/>
      </c>
      <c r="AN1452" t="str">
        <f t="shared" si="201"/>
        <v/>
      </c>
      <c r="AO1452" t="str">
        <f t="shared" si="202"/>
        <v/>
      </c>
    </row>
    <row r="1453" spans="1:41">
      <c r="A1453">
        <f t="shared" si="207"/>
        <v>1449</v>
      </c>
      <c r="B1453" t="s">
        <v>276</v>
      </c>
      <c r="C1453">
        <v>5</v>
      </c>
      <c r="D1453">
        <v>5</v>
      </c>
      <c r="E1453" t="s">
        <v>385</v>
      </c>
      <c r="F1453">
        <v>412</v>
      </c>
      <c r="G1453">
        <v>1</v>
      </c>
      <c r="H1453">
        <v>38</v>
      </c>
      <c r="I1453" t="s">
        <v>386</v>
      </c>
      <c r="J1453" t="s">
        <v>386</v>
      </c>
      <c r="K1453">
        <v>10000000</v>
      </c>
      <c r="L1453">
        <v>3</v>
      </c>
      <c r="M1453">
        <v>3</v>
      </c>
      <c r="N1453">
        <v>4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16</v>
      </c>
      <c r="V1453">
        <v>516.29712518999997</v>
      </c>
      <c r="AH1453">
        <f t="shared" si="203"/>
        <v>3</v>
      </c>
      <c r="AI1453">
        <f t="shared" si="204"/>
        <v>4</v>
      </c>
      <c r="AJ1453" t="str">
        <f t="shared" si="205"/>
        <v/>
      </c>
      <c r="AK1453" t="str">
        <f t="shared" si="206"/>
        <v/>
      </c>
      <c r="AL1453" t="str">
        <f t="shared" si="199"/>
        <v/>
      </c>
      <c r="AM1453" t="str">
        <f t="shared" si="200"/>
        <v/>
      </c>
      <c r="AN1453" t="str">
        <f t="shared" si="201"/>
        <v/>
      </c>
      <c r="AO1453" t="str">
        <f t="shared" si="202"/>
        <v/>
      </c>
    </row>
    <row r="1454" spans="1:41">
      <c r="A1454">
        <f t="shared" si="207"/>
        <v>1450</v>
      </c>
      <c r="B1454" t="s">
        <v>276</v>
      </c>
      <c r="C1454">
        <v>5</v>
      </c>
      <c r="D1454">
        <v>5</v>
      </c>
      <c r="E1454" t="s">
        <v>385</v>
      </c>
      <c r="F1454">
        <v>412</v>
      </c>
      <c r="G1454">
        <v>1</v>
      </c>
      <c r="H1454">
        <v>39</v>
      </c>
      <c r="I1454" t="s">
        <v>386</v>
      </c>
      <c r="J1454" t="s">
        <v>386</v>
      </c>
      <c r="K1454">
        <v>10000000</v>
      </c>
      <c r="L1454">
        <v>3</v>
      </c>
      <c r="M1454">
        <v>3</v>
      </c>
      <c r="N1454">
        <v>4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16</v>
      </c>
      <c r="V1454">
        <v>516.29712518999997</v>
      </c>
      <c r="AH1454">
        <f t="shared" si="203"/>
        <v>3</v>
      </c>
      <c r="AI1454">
        <f t="shared" si="204"/>
        <v>4</v>
      </c>
      <c r="AJ1454" t="str">
        <f t="shared" si="205"/>
        <v/>
      </c>
      <c r="AK1454" t="str">
        <f t="shared" si="206"/>
        <v/>
      </c>
      <c r="AL1454" t="str">
        <f t="shared" si="199"/>
        <v/>
      </c>
      <c r="AM1454" t="str">
        <f t="shared" si="200"/>
        <v/>
      </c>
      <c r="AN1454" t="str">
        <f t="shared" si="201"/>
        <v/>
      </c>
      <c r="AO1454" t="str">
        <f t="shared" si="202"/>
        <v/>
      </c>
    </row>
    <row r="1455" spans="1:41">
      <c r="A1455">
        <f t="shared" si="207"/>
        <v>1451</v>
      </c>
      <c r="B1455" t="s">
        <v>276</v>
      </c>
      <c r="C1455">
        <v>5</v>
      </c>
      <c r="D1455">
        <v>5</v>
      </c>
      <c r="E1455" t="s">
        <v>385</v>
      </c>
      <c r="F1455">
        <v>412</v>
      </c>
      <c r="G1455">
        <v>1</v>
      </c>
      <c r="H1455">
        <v>40</v>
      </c>
      <c r="I1455" t="s">
        <v>386</v>
      </c>
      <c r="J1455" t="s">
        <v>386</v>
      </c>
      <c r="K1455">
        <v>10000000</v>
      </c>
      <c r="L1455">
        <v>3</v>
      </c>
      <c r="M1455">
        <v>3</v>
      </c>
      <c r="N1455">
        <v>4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16</v>
      </c>
      <c r="V1455">
        <v>516.29712518999997</v>
      </c>
      <c r="AH1455">
        <f t="shared" si="203"/>
        <v>3</v>
      </c>
      <c r="AI1455">
        <f t="shared" si="204"/>
        <v>4</v>
      </c>
      <c r="AJ1455" t="str">
        <f t="shared" si="205"/>
        <v/>
      </c>
      <c r="AK1455" t="str">
        <f t="shared" si="206"/>
        <v/>
      </c>
      <c r="AL1455" t="str">
        <f t="shared" si="199"/>
        <v/>
      </c>
      <c r="AM1455" t="str">
        <f t="shared" si="200"/>
        <v/>
      </c>
      <c r="AN1455" t="str">
        <f t="shared" si="201"/>
        <v/>
      </c>
      <c r="AO1455" t="str">
        <f t="shared" si="202"/>
        <v/>
      </c>
    </row>
    <row r="1456" spans="1:41">
      <c r="A1456">
        <f t="shared" si="207"/>
        <v>1452</v>
      </c>
      <c r="B1456" t="s">
        <v>276</v>
      </c>
      <c r="C1456">
        <v>5</v>
      </c>
      <c r="D1456">
        <v>5</v>
      </c>
      <c r="E1456" t="s">
        <v>385</v>
      </c>
      <c r="F1456">
        <v>412</v>
      </c>
      <c r="G1456">
        <v>1</v>
      </c>
      <c r="H1456">
        <v>41</v>
      </c>
      <c r="I1456" t="s">
        <v>386</v>
      </c>
      <c r="J1456" t="s">
        <v>386</v>
      </c>
      <c r="K1456">
        <v>10000000</v>
      </c>
      <c r="L1456">
        <v>3</v>
      </c>
      <c r="M1456">
        <v>3</v>
      </c>
      <c r="N1456">
        <v>4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16</v>
      </c>
      <c r="V1456">
        <v>516.29712518999997</v>
      </c>
      <c r="AH1456">
        <f t="shared" si="203"/>
        <v>3</v>
      </c>
      <c r="AI1456">
        <f t="shared" si="204"/>
        <v>4</v>
      </c>
      <c r="AJ1456" t="str">
        <f t="shared" si="205"/>
        <v/>
      </c>
      <c r="AK1456" t="str">
        <f t="shared" si="206"/>
        <v/>
      </c>
      <c r="AL1456" t="str">
        <f t="shared" si="199"/>
        <v/>
      </c>
      <c r="AM1456" t="str">
        <f t="shared" si="200"/>
        <v/>
      </c>
      <c r="AN1456" t="str">
        <f t="shared" si="201"/>
        <v/>
      </c>
      <c r="AO1456" t="str">
        <f t="shared" si="202"/>
        <v/>
      </c>
    </row>
    <row r="1457" spans="1:41">
      <c r="A1457">
        <f t="shared" si="207"/>
        <v>1453</v>
      </c>
      <c r="B1457" t="s">
        <v>276</v>
      </c>
      <c r="C1457">
        <v>5</v>
      </c>
      <c r="D1457">
        <v>5</v>
      </c>
      <c r="E1457" t="s">
        <v>385</v>
      </c>
      <c r="F1457">
        <v>412</v>
      </c>
      <c r="G1457">
        <v>1</v>
      </c>
      <c r="H1457">
        <v>42</v>
      </c>
      <c r="I1457" t="s">
        <v>386</v>
      </c>
      <c r="J1457" t="s">
        <v>386</v>
      </c>
      <c r="K1457">
        <v>10000000</v>
      </c>
      <c r="L1457">
        <v>3</v>
      </c>
      <c r="M1457">
        <v>3</v>
      </c>
      <c r="N1457">
        <v>4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16</v>
      </c>
      <c r="V1457">
        <v>516.29712518999997</v>
      </c>
      <c r="AH1457">
        <f t="shared" si="203"/>
        <v>3</v>
      </c>
      <c r="AI1457">
        <f t="shared" si="204"/>
        <v>4</v>
      </c>
      <c r="AJ1457" t="str">
        <f t="shared" si="205"/>
        <v/>
      </c>
      <c r="AK1457" t="str">
        <f t="shared" si="206"/>
        <v/>
      </c>
      <c r="AL1457" t="str">
        <f t="shared" si="199"/>
        <v/>
      </c>
      <c r="AM1457" t="str">
        <f t="shared" si="200"/>
        <v/>
      </c>
      <c r="AN1457" t="str">
        <f t="shared" si="201"/>
        <v/>
      </c>
      <c r="AO1457" t="str">
        <f t="shared" si="202"/>
        <v/>
      </c>
    </row>
    <row r="1458" spans="1:41">
      <c r="A1458">
        <f t="shared" si="207"/>
        <v>1454</v>
      </c>
      <c r="B1458" t="s">
        <v>276</v>
      </c>
      <c r="C1458">
        <v>5</v>
      </c>
      <c r="D1458">
        <v>5</v>
      </c>
      <c r="E1458" t="s">
        <v>385</v>
      </c>
      <c r="F1458">
        <v>412</v>
      </c>
      <c r="G1458">
        <v>1</v>
      </c>
      <c r="H1458">
        <v>43</v>
      </c>
      <c r="I1458" t="s">
        <v>386</v>
      </c>
      <c r="J1458" t="s">
        <v>386</v>
      </c>
      <c r="K1458">
        <v>10000000</v>
      </c>
      <c r="L1458">
        <v>3</v>
      </c>
      <c r="M1458">
        <v>3</v>
      </c>
      <c r="N1458">
        <v>4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16</v>
      </c>
      <c r="V1458">
        <v>516.29712518999997</v>
      </c>
      <c r="AH1458">
        <f t="shared" si="203"/>
        <v>3</v>
      </c>
      <c r="AI1458">
        <f t="shared" si="204"/>
        <v>4</v>
      </c>
      <c r="AJ1458" t="str">
        <f t="shared" si="205"/>
        <v/>
      </c>
      <c r="AK1458" t="str">
        <f t="shared" si="206"/>
        <v/>
      </c>
      <c r="AL1458" t="str">
        <f t="shared" si="199"/>
        <v/>
      </c>
      <c r="AM1458" t="str">
        <f t="shared" si="200"/>
        <v/>
      </c>
      <c r="AN1458" t="str">
        <f t="shared" si="201"/>
        <v/>
      </c>
      <c r="AO1458" t="str">
        <f t="shared" si="202"/>
        <v/>
      </c>
    </row>
    <row r="1459" spans="1:41">
      <c r="A1459">
        <f t="shared" si="207"/>
        <v>1455</v>
      </c>
      <c r="B1459" t="s">
        <v>276</v>
      </c>
      <c r="C1459">
        <v>5</v>
      </c>
      <c r="D1459">
        <v>5</v>
      </c>
      <c r="E1459" t="s">
        <v>385</v>
      </c>
      <c r="F1459">
        <v>412</v>
      </c>
      <c r="G1459">
        <v>1</v>
      </c>
      <c r="H1459">
        <v>44</v>
      </c>
      <c r="I1459" t="s">
        <v>386</v>
      </c>
      <c r="J1459" t="s">
        <v>386</v>
      </c>
      <c r="K1459">
        <v>10000000</v>
      </c>
      <c r="L1459">
        <v>3</v>
      </c>
      <c r="M1459">
        <v>3</v>
      </c>
      <c r="N1459">
        <v>4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16</v>
      </c>
      <c r="V1459">
        <v>516.29712518999997</v>
      </c>
      <c r="AH1459">
        <f t="shared" si="203"/>
        <v>3</v>
      </c>
      <c r="AI1459">
        <f t="shared" si="204"/>
        <v>4</v>
      </c>
      <c r="AJ1459" t="str">
        <f t="shared" si="205"/>
        <v/>
      </c>
      <c r="AK1459" t="str">
        <f t="shared" si="206"/>
        <v/>
      </c>
      <c r="AL1459" t="str">
        <f t="shared" si="199"/>
        <v/>
      </c>
      <c r="AM1459" t="str">
        <f t="shared" si="200"/>
        <v/>
      </c>
      <c r="AN1459" t="str">
        <f t="shared" si="201"/>
        <v/>
      </c>
      <c r="AO1459" t="str">
        <f t="shared" si="202"/>
        <v/>
      </c>
    </row>
    <row r="1460" spans="1:41">
      <c r="A1460">
        <f t="shared" si="207"/>
        <v>1456</v>
      </c>
      <c r="B1460" t="s">
        <v>276</v>
      </c>
      <c r="C1460">
        <v>5</v>
      </c>
      <c r="D1460">
        <v>5</v>
      </c>
      <c r="E1460" t="s">
        <v>385</v>
      </c>
      <c r="F1460">
        <v>412</v>
      </c>
      <c r="G1460">
        <v>1</v>
      </c>
      <c r="H1460">
        <v>45</v>
      </c>
      <c r="I1460" t="s">
        <v>386</v>
      </c>
      <c r="J1460" t="s">
        <v>386</v>
      </c>
      <c r="K1460">
        <v>10000000</v>
      </c>
      <c r="L1460">
        <v>3</v>
      </c>
      <c r="M1460">
        <v>3</v>
      </c>
      <c r="N1460">
        <v>4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16</v>
      </c>
      <c r="V1460">
        <v>516.29712518999997</v>
      </c>
      <c r="AH1460">
        <f t="shared" si="203"/>
        <v>3</v>
      </c>
      <c r="AI1460">
        <f t="shared" si="204"/>
        <v>4</v>
      </c>
      <c r="AJ1460" t="str">
        <f t="shared" si="205"/>
        <v/>
      </c>
      <c r="AK1460" t="str">
        <f t="shared" si="206"/>
        <v/>
      </c>
      <c r="AL1460" t="str">
        <f t="shared" si="199"/>
        <v/>
      </c>
      <c r="AM1460" t="str">
        <f t="shared" si="200"/>
        <v/>
      </c>
      <c r="AN1460" t="str">
        <f t="shared" si="201"/>
        <v/>
      </c>
      <c r="AO1460" t="str">
        <f t="shared" si="202"/>
        <v/>
      </c>
    </row>
    <row r="1461" spans="1:41">
      <c r="A1461">
        <f t="shared" si="207"/>
        <v>1457</v>
      </c>
      <c r="B1461" t="s">
        <v>276</v>
      </c>
      <c r="C1461">
        <v>5</v>
      </c>
      <c r="D1461">
        <v>5</v>
      </c>
      <c r="E1461" t="s">
        <v>385</v>
      </c>
      <c r="F1461">
        <v>412</v>
      </c>
      <c r="G1461">
        <v>1</v>
      </c>
      <c r="H1461">
        <v>46</v>
      </c>
      <c r="I1461" t="s">
        <v>386</v>
      </c>
      <c r="J1461" t="s">
        <v>386</v>
      </c>
      <c r="K1461">
        <v>10000000</v>
      </c>
      <c r="L1461">
        <v>3</v>
      </c>
      <c r="M1461">
        <v>3</v>
      </c>
      <c r="N1461">
        <v>4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16</v>
      </c>
      <c r="V1461">
        <v>516.29712518999997</v>
      </c>
      <c r="AH1461">
        <f t="shared" si="203"/>
        <v>3</v>
      </c>
      <c r="AI1461">
        <f t="shared" si="204"/>
        <v>4</v>
      </c>
      <c r="AJ1461" t="str">
        <f t="shared" si="205"/>
        <v/>
      </c>
      <c r="AK1461" t="str">
        <f t="shared" si="206"/>
        <v/>
      </c>
      <c r="AL1461" t="str">
        <f t="shared" si="199"/>
        <v/>
      </c>
      <c r="AM1461" t="str">
        <f t="shared" si="200"/>
        <v/>
      </c>
      <c r="AN1461" t="str">
        <f t="shared" si="201"/>
        <v/>
      </c>
      <c r="AO1461" t="str">
        <f t="shared" si="202"/>
        <v/>
      </c>
    </row>
    <row r="1462" spans="1:41">
      <c r="A1462">
        <f t="shared" si="207"/>
        <v>1458</v>
      </c>
      <c r="B1462" t="s">
        <v>276</v>
      </c>
      <c r="C1462">
        <v>5</v>
      </c>
      <c r="D1462">
        <v>5</v>
      </c>
      <c r="E1462" t="s">
        <v>385</v>
      </c>
      <c r="F1462">
        <v>412</v>
      </c>
      <c r="G1462">
        <v>1</v>
      </c>
      <c r="H1462">
        <v>47</v>
      </c>
      <c r="I1462" t="s">
        <v>386</v>
      </c>
      <c r="J1462" t="s">
        <v>386</v>
      </c>
      <c r="K1462">
        <v>10000000</v>
      </c>
      <c r="L1462">
        <v>3</v>
      </c>
      <c r="M1462">
        <v>3</v>
      </c>
      <c r="N1462">
        <v>4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16</v>
      </c>
      <c r="V1462">
        <v>516.29712518999997</v>
      </c>
      <c r="AH1462">
        <f t="shared" si="203"/>
        <v>3</v>
      </c>
      <c r="AI1462">
        <f t="shared" si="204"/>
        <v>4</v>
      </c>
      <c r="AJ1462" t="str">
        <f t="shared" si="205"/>
        <v/>
      </c>
      <c r="AK1462" t="str">
        <f t="shared" si="206"/>
        <v/>
      </c>
      <c r="AL1462" t="str">
        <f t="shared" si="199"/>
        <v/>
      </c>
      <c r="AM1462" t="str">
        <f t="shared" si="200"/>
        <v/>
      </c>
      <c r="AN1462" t="str">
        <f t="shared" si="201"/>
        <v/>
      </c>
      <c r="AO1462" t="str">
        <f t="shared" si="202"/>
        <v/>
      </c>
    </row>
    <row r="1463" spans="1:41">
      <c r="A1463">
        <f t="shared" si="207"/>
        <v>1459</v>
      </c>
      <c r="B1463" t="s">
        <v>276</v>
      </c>
      <c r="C1463">
        <v>5</v>
      </c>
      <c r="D1463">
        <v>5</v>
      </c>
      <c r="E1463" t="s">
        <v>385</v>
      </c>
      <c r="F1463">
        <v>412</v>
      </c>
      <c r="G1463">
        <v>1</v>
      </c>
      <c r="H1463">
        <v>48</v>
      </c>
      <c r="I1463" t="s">
        <v>386</v>
      </c>
      <c r="J1463" t="s">
        <v>386</v>
      </c>
      <c r="K1463">
        <v>10000000</v>
      </c>
      <c r="L1463">
        <v>3</v>
      </c>
      <c r="M1463">
        <v>3</v>
      </c>
      <c r="N1463">
        <v>4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16</v>
      </c>
      <c r="V1463">
        <v>516.29712518999997</v>
      </c>
      <c r="AH1463">
        <f t="shared" si="203"/>
        <v>3</v>
      </c>
      <c r="AI1463">
        <f t="shared" si="204"/>
        <v>4</v>
      </c>
      <c r="AJ1463" t="str">
        <f t="shared" si="205"/>
        <v/>
      </c>
      <c r="AK1463" t="str">
        <f t="shared" si="206"/>
        <v/>
      </c>
      <c r="AL1463" t="str">
        <f t="shared" si="199"/>
        <v/>
      </c>
      <c r="AM1463" t="str">
        <f t="shared" si="200"/>
        <v/>
      </c>
      <c r="AN1463" t="str">
        <f t="shared" si="201"/>
        <v/>
      </c>
      <c r="AO1463" t="str">
        <f t="shared" si="202"/>
        <v/>
      </c>
    </row>
    <row r="1464" spans="1:41">
      <c r="A1464">
        <f t="shared" si="207"/>
        <v>1460</v>
      </c>
      <c r="B1464" t="s">
        <v>276</v>
      </c>
      <c r="C1464">
        <v>5</v>
      </c>
      <c r="D1464">
        <v>5</v>
      </c>
      <c r="E1464" t="s">
        <v>385</v>
      </c>
      <c r="F1464">
        <v>412</v>
      </c>
      <c r="G1464">
        <v>1</v>
      </c>
      <c r="H1464">
        <v>49</v>
      </c>
      <c r="I1464" t="s">
        <v>386</v>
      </c>
      <c r="J1464" t="s">
        <v>386</v>
      </c>
      <c r="K1464">
        <v>10000000</v>
      </c>
      <c r="L1464">
        <v>3</v>
      </c>
      <c r="M1464">
        <v>3</v>
      </c>
      <c r="N1464">
        <v>4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16</v>
      </c>
      <c r="V1464">
        <v>516.29712518999997</v>
      </c>
      <c r="AH1464">
        <f t="shared" si="203"/>
        <v>3</v>
      </c>
      <c r="AI1464">
        <f t="shared" si="204"/>
        <v>4</v>
      </c>
      <c r="AJ1464" t="str">
        <f t="shared" si="205"/>
        <v/>
      </c>
      <c r="AK1464" t="str">
        <f t="shared" si="206"/>
        <v/>
      </c>
      <c r="AL1464" t="str">
        <f t="shared" si="199"/>
        <v/>
      </c>
      <c r="AM1464" t="str">
        <f t="shared" si="200"/>
        <v/>
      </c>
      <c r="AN1464" t="str">
        <f t="shared" si="201"/>
        <v/>
      </c>
      <c r="AO1464" t="str">
        <f t="shared" si="202"/>
        <v/>
      </c>
    </row>
    <row r="1465" spans="1:41">
      <c r="A1465">
        <f t="shared" si="207"/>
        <v>1461</v>
      </c>
      <c r="B1465" t="s">
        <v>276</v>
      </c>
      <c r="C1465">
        <v>5</v>
      </c>
      <c r="D1465">
        <v>5</v>
      </c>
      <c r="E1465" t="s">
        <v>385</v>
      </c>
      <c r="F1465">
        <v>412</v>
      </c>
      <c r="G1465">
        <v>1</v>
      </c>
      <c r="H1465">
        <v>50</v>
      </c>
      <c r="I1465" t="s">
        <v>386</v>
      </c>
      <c r="J1465" t="s">
        <v>386</v>
      </c>
      <c r="K1465">
        <v>10000000</v>
      </c>
      <c r="L1465">
        <v>3</v>
      </c>
      <c r="M1465">
        <v>3</v>
      </c>
      <c r="N1465">
        <v>4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16</v>
      </c>
      <c r="V1465">
        <v>516.29712518999997</v>
      </c>
      <c r="AH1465">
        <f t="shared" si="203"/>
        <v>3</v>
      </c>
      <c r="AI1465">
        <f t="shared" si="204"/>
        <v>4</v>
      </c>
      <c r="AJ1465" t="str">
        <f t="shared" si="205"/>
        <v/>
      </c>
      <c r="AK1465" t="str">
        <f t="shared" si="206"/>
        <v/>
      </c>
      <c r="AL1465" t="str">
        <f t="shared" si="199"/>
        <v/>
      </c>
      <c r="AM1465" t="str">
        <f t="shared" si="200"/>
        <v/>
      </c>
      <c r="AN1465" t="str">
        <f t="shared" si="201"/>
        <v/>
      </c>
      <c r="AO1465" t="str">
        <f t="shared" si="202"/>
        <v/>
      </c>
    </row>
    <row r="1466" spans="1:41">
      <c r="A1466">
        <f t="shared" si="207"/>
        <v>1462</v>
      </c>
      <c r="B1466" t="s">
        <v>276</v>
      </c>
      <c r="C1466">
        <v>5</v>
      </c>
      <c r="D1466">
        <v>5</v>
      </c>
      <c r="E1466" t="s">
        <v>385</v>
      </c>
      <c r="F1466">
        <v>412</v>
      </c>
      <c r="G1466">
        <v>1</v>
      </c>
      <c r="H1466">
        <v>51</v>
      </c>
      <c r="I1466" t="s">
        <v>386</v>
      </c>
      <c r="J1466" t="s">
        <v>386</v>
      </c>
      <c r="K1466">
        <v>10000000</v>
      </c>
      <c r="L1466">
        <v>3</v>
      </c>
      <c r="M1466">
        <v>3</v>
      </c>
      <c r="N1466">
        <v>4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16</v>
      </c>
      <c r="V1466">
        <v>516.29712518999997</v>
      </c>
      <c r="AH1466">
        <f t="shared" si="203"/>
        <v>3</v>
      </c>
      <c r="AI1466">
        <f t="shared" si="204"/>
        <v>4</v>
      </c>
      <c r="AJ1466" t="str">
        <f t="shared" si="205"/>
        <v/>
      </c>
      <c r="AK1466" t="str">
        <f t="shared" si="206"/>
        <v/>
      </c>
      <c r="AL1466" t="str">
        <f t="shared" si="199"/>
        <v/>
      </c>
      <c r="AM1466" t="str">
        <f t="shared" si="200"/>
        <v/>
      </c>
      <c r="AN1466" t="str">
        <f t="shared" si="201"/>
        <v/>
      </c>
      <c r="AO1466" t="str">
        <f t="shared" si="202"/>
        <v/>
      </c>
    </row>
    <row r="1467" spans="1:41">
      <c r="A1467">
        <f t="shared" si="207"/>
        <v>1463</v>
      </c>
      <c r="B1467" t="s">
        <v>276</v>
      </c>
      <c r="C1467">
        <v>5</v>
      </c>
      <c r="D1467">
        <v>5</v>
      </c>
      <c r="E1467" t="s">
        <v>385</v>
      </c>
      <c r="F1467">
        <v>412</v>
      </c>
      <c r="G1467">
        <v>1</v>
      </c>
      <c r="H1467">
        <v>52</v>
      </c>
      <c r="I1467" t="s">
        <v>386</v>
      </c>
      <c r="J1467" t="s">
        <v>386</v>
      </c>
      <c r="K1467">
        <v>10000000</v>
      </c>
      <c r="L1467">
        <v>3</v>
      </c>
      <c r="M1467">
        <v>3</v>
      </c>
      <c r="N1467">
        <v>4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16</v>
      </c>
      <c r="V1467">
        <v>516.29712518999997</v>
      </c>
      <c r="AH1467">
        <f t="shared" si="203"/>
        <v>3</v>
      </c>
      <c r="AI1467">
        <f t="shared" si="204"/>
        <v>4</v>
      </c>
      <c r="AJ1467" t="str">
        <f t="shared" si="205"/>
        <v/>
      </c>
      <c r="AK1467" t="str">
        <f t="shared" si="206"/>
        <v/>
      </c>
      <c r="AL1467" t="str">
        <f t="shared" si="199"/>
        <v/>
      </c>
      <c r="AM1467" t="str">
        <f t="shared" si="200"/>
        <v/>
      </c>
      <c r="AN1467" t="str">
        <f t="shared" si="201"/>
        <v/>
      </c>
      <c r="AO1467" t="str">
        <f t="shared" si="202"/>
        <v/>
      </c>
    </row>
    <row r="1468" spans="1:41">
      <c r="A1468">
        <f t="shared" si="207"/>
        <v>1464</v>
      </c>
      <c r="B1468" t="s">
        <v>276</v>
      </c>
      <c r="C1468">
        <v>5</v>
      </c>
      <c r="D1468">
        <v>5</v>
      </c>
      <c r="E1468" t="s">
        <v>385</v>
      </c>
      <c r="F1468">
        <v>412</v>
      </c>
      <c r="G1468">
        <v>1</v>
      </c>
      <c r="H1468">
        <v>53</v>
      </c>
      <c r="I1468" t="s">
        <v>386</v>
      </c>
      <c r="J1468" t="s">
        <v>386</v>
      </c>
      <c r="K1468">
        <v>10000000</v>
      </c>
      <c r="L1468">
        <v>3</v>
      </c>
      <c r="M1468">
        <v>3</v>
      </c>
      <c r="N1468">
        <v>4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16</v>
      </c>
      <c r="V1468">
        <v>516.29712518999997</v>
      </c>
      <c r="AH1468">
        <f t="shared" si="203"/>
        <v>3</v>
      </c>
      <c r="AI1468">
        <f t="shared" si="204"/>
        <v>4</v>
      </c>
      <c r="AJ1468" t="str">
        <f t="shared" si="205"/>
        <v/>
      </c>
      <c r="AK1468" t="str">
        <f t="shared" si="206"/>
        <v/>
      </c>
      <c r="AL1468" t="str">
        <f t="shared" si="199"/>
        <v/>
      </c>
      <c r="AM1468" t="str">
        <f t="shared" si="200"/>
        <v/>
      </c>
      <c r="AN1468" t="str">
        <f t="shared" si="201"/>
        <v/>
      </c>
      <c r="AO1468" t="str">
        <f t="shared" si="202"/>
        <v/>
      </c>
    </row>
    <row r="1469" spans="1:41">
      <c r="A1469">
        <f t="shared" si="207"/>
        <v>1465</v>
      </c>
      <c r="B1469" t="s">
        <v>276</v>
      </c>
      <c r="C1469">
        <v>5</v>
      </c>
      <c r="D1469">
        <v>5</v>
      </c>
      <c r="E1469" t="s">
        <v>385</v>
      </c>
      <c r="F1469">
        <v>412</v>
      </c>
      <c r="G1469">
        <v>1</v>
      </c>
      <c r="H1469">
        <v>54</v>
      </c>
      <c r="I1469" t="s">
        <v>386</v>
      </c>
      <c r="J1469" t="s">
        <v>386</v>
      </c>
      <c r="K1469">
        <v>10000000</v>
      </c>
      <c r="L1469">
        <v>3</v>
      </c>
      <c r="M1469">
        <v>3</v>
      </c>
      <c r="N1469">
        <v>4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16</v>
      </c>
      <c r="V1469">
        <v>516.29712518999997</v>
      </c>
      <c r="AH1469">
        <f t="shared" si="203"/>
        <v>3</v>
      </c>
      <c r="AI1469">
        <f t="shared" si="204"/>
        <v>4</v>
      </c>
      <c r="AJ1469" t="str">
        <f t="shared" si="205"/>
        <v/>
      </c>
      <c r="AK1469" t="str">
        <f t="shared" si="206"/>
        <v/>
      </c>
      <c r="AL1469" t="str">
        <f t="shared" si="199"/>
        <v/>
      </c>
      <c r="AM1469" t="str">
        <f t="shared" si="200"/>
        <v/>
      </c>
      <c r="AN1469" t="str">
        <f t="shared" si="201"/>
        <v/>
      </c>
      <c r="AO1469" t="str">
        <f t="shared" si="202"/>
        <v/>
      </c>
    </row>
    <row r="1470" spans="1:41">
      <c r="A1470">
        <f t="shared" si="207"/>
        <v>1466</v>
      </c>
      <c r="B1470" t="s">
        <v>276</v>
      </c>
      <c r="C1470">
        <v>5</v>
      </c>
      <c r="D1470">
        <v>5</v>
      </c>
      <c r="E1470" t="s">
        <v>385</v>
      </c>
      <c r="F1470">
        <v>412</v>
      </c>
      <c r="G1470">
        <v>1</v>
      </c>
      <c r="H1470">
        <v>55</v>
      </c>
      <c r="I1470" t="s">
        <v>386</v>
      </c>
      <c r="J1470" t="s">
        <v>386</v>
      </c>
      <c r="K1470">
        <v>10000000</v>
      </c>
      <c r="L1470">
        <v>3</v>
      </c>
      <c r="M1470">
        <v>3</v>
      </c>
      <c r="N1470">
        <v>4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16</v>
      </c>
      <c r="V1470">
        <v>516.29712518999997</v>
      </c>
      <c r="AH1470">
        <f t="shared" si="203"/>
        <v>3</v>
      </c>
      <c r="AI1470">
        <f t="shared" si="204"/>
        <v>4</v>
      </c>
      <c r="AJ1470" t="str">
        <f t="shared" si="205"/>
        <v/>
      </c>
      <c r="AK1470" t="str">
        <f t="shared" si="206"/>
        <v/>
      </c>
      <c r="AL1470" t="str">
        <f t="shared" si="199"/>
        <v/>
      </c>
      <c r="AM1470" t="str">
        <f t="shared" si="200"/>
        <v/>
      </c>
      <c r="AN1470" t="str">
        <f t="shared" si="201"/>
        <v/>
      </c>
      <c r="AO1470" t="str">
        <f t="shared" si="202"/>
        <v/>
      </c>
    </row>
    <row r="1471" spans="1:41">
      <c r="A1471">
        <f t="shared" si="207"/>
        <v>1467</v>
      </c>
      <c r="B1471" t="s">
        <v>276</v>
      </c>
      <c r="C1471">
        <v>5</v>
      </c>
      <c r="D1471">
        <v>5</v>
      </c>
      <c r="E1471" t="s">
        <v>385</v>
      </c>
      <c r="F1471">
        <v>412</v>
      </c>
      <c r="G1471">
        <v>1</v>
      </c>
      <c r="H1471">
        <v>56</v>
      </c>
      <c r="I1471" t="s">
        <v>386</v>
      </c>
      <c r="J1471" t="s">
        <v>386</v>
      </c>
      <c r="K1471">
        <v>10000000</v>
      </c>
      <c r="L1471">
        <v>3</v>
      </c>
      <c r="M1471">
        <v>3</v>
      </c>
      <c r="N1471">
        <v>4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16</v>
      </c>
      <c r="V1471">
        <v>516.29712518999997</v>
      </c>
      <c r="AH1471">
        <f t="shared" si="203"/>
        <v>3</v>
      </c>
      <c r="AI1471">
        <f t="shared" si="204"/>
        <v>4</v>
      </c>
      <c r="AJ1471" t="str">
        <f t="shared" si="205"/>
        <v/>
      </c>
      <c r="AK1471" t="str">
        <f t="shared" si="206"/>
        <v/>
      </c>
      <c r="AL1471" t="str">
        <f t="shared" si="199"/>
        <v/>
      </c>
      <c r="AM1471" t="str">
        <f t="shared" si="200"/>
        <v/>
      </c>
      <c r="AN1471" t="str">
        <f t="shared" si="201"/>
        <v/>
      </c>
      <c r="AO1471" t="str">
        <f t="shared" si="202"/>
        <v/>
      </c>
    </row>
    <row r="1472" spans="1:41">
      <c r="A1472">
        <f t="shared" si="207"/>
        <v>1468</v>
      </c>
      <c r="B1472" t="s">
        <v>276</v>
      </c>
      <c r="C1472">
        <v>5</v>
      </c>
      <c r="D1472">
        <v>5</v>
      </c>
      <c r="E1472" t="s">
        <v>385</v>
      </c>
      <c r="F1472">
        <v>412</v>
      </c>
      <c r="G1472">
        <v>1</v>
      </c>
      <c r="H1472">
        <v>57</v>
      </c>
      <c r="I1472" t="s">
        <v>386</v>
      </c>
      <c r="J1472" t="s">
        <v>386</v>
      </c>
      <c r="K1472">
        <v>10000000</v>
      </c>
      <c r="L1472">
        <v>3</v>
      </c>
      <c r="M1472">
        <v>3</v>
      </c>
      <c r="N1472">
        <v>4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16</v>
      </c>
      <c r="V1472">
        <v>516.29712518999997</v>
      </c>
      <c r="AH1472">
        <f t="shared" si="203"/>
        <v>3</v>
      </c>
      <c r="AI1472">
        <f t="shared" si="204"/>
        <v>4</v>
      </c>
      <c r="AJ1472" t="str">
        <f t="shared" si="205"/>
        <v/>
      </c>
      <c r="AK1472" t="str">
        <f t="shared" si="206"/>
        <v/>
      </c>
      <c r="AL1472" t="str">
        <f t="shared" si="199"/>
        <v/>
      </c>
      <c r="AM1472" t="str">
        <f t="shared" si="200"/>
        <v/>
      </c>
      <c r="AN1472" t="str">
        <f t="shared" si="201"/>
        <v/>
      </c>
      <c r="AO1472" t="str">
        <f t="shared" si="202"/>
        <v/>
      </c>
    </row>
    <row r="1473" spans="1:41">
      <c r="A1473">
        <f t="shared" si="207"/>
        <v>1469</v>
      </c>
      <c r="B1473" t="s">
        <v>276</v>
      </c>
      <c r="C1473">
        <v>5</v>
      </c>
      <c r="D1473">
        <v>5</v>
      </c>
      <c r="E1473" t="s">
        <v>385</v>
      </c>
      <c r="F1473">
        <v>412</v>
      </c>
      <c r="G1473">
        <v>1</v>
      </c>
      <c r="H1473">
        <v>58</v>
      </c>
      <c r="I1473" t="s">
        <v>386</v>
      </c>
      <c r="J1473" t="s">
        <v>386</v>
      </c>
      <c r="K1473">
        <v>10000000</v>
      </c>
      <c r="L1473">
        <v>3</v>
      </c>
      <c r="M1473">
        <v>3</v>
      </c>
      <c r="N1473">
        <v>4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16</v>
      </c>
      <c r="V1473">
        <v>516.29712518999997</v>
      </c>
      <c r="AH1473">
        <f t="shared" si="203"/>
        <v>3</v>
      </c>
      <c r="AI1473">
        <f t="shared" si="204"/>
        <v>4</v>
      </c>
      <c r="AJ1473" t="str">
        <f t="shared" si="205"/>
        <v/>
      </c>
      <c r="AK1473" t="str">
        <f t="shared" si="206"/>
        <v/>
      </c>
      <c r="AL1473" t="str">
        <f t="shared" si="199"/>
        <v/>
      </c>
      <c r="AM1473" t="str">
        <f t="shared" si="200"/>
        <v/>
      </c>
      <c r="AN1473" t="str">
        <f t="shared" si="201"/>
        <v/>
      </c>
      <c r="AO1473" t="str">
        <f t="shared" si="202"/>
        <v/>
      </c>
    </row>
    <row r="1474" spans="1:41">
      <c r="A1474">
        <f t="shared" si="207"/>
        <v>1470</v>
      </c>
      <c r="B1474" t="s">
        <v>276</v>
      </c>
      <c r="C1474">
        <v>5</v>
      </c>
      <c r="D1474">
        <v>5</v>
      </c>
      <c r="E1474" t="s">
        <v>385</v>
      </c>
      <c r="F1474">
        <v>412</v>
      </c>
      <c r="G1474">
        <v>1</v>
      </c>
      <c r="H1474">
        <v>59</v>
      </c>
      <c r="I1474" t="s">
        <v>386</v>
      </c>
      <c r="J1474" t="s">
        <v>386</v>
      </c>
      <c r="K1474">
        <v>10000000</v>
      </c>
      <c r="L1474">
        <v>3</v>
      </c>
      <c r="M1474">
        <v>3</v>
      </c>
      <c r="N1474">
        <v>4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16</v>
      </c>
      <c r="V1474">
        <v>516.29712518999997</v>
      </c>
      <c r="AH1474">
        <f t="shared" si="203"/>
        <v>3</v>
      </c>
      <c r="AI1474">
        <f t="shared" si="204"/>
        <v>4</v>
      </c>
      <c r="AJ1474" t="str">
        <f t="shared" si="205"/>
        <v/>
      </c>
      <c r="AK1474" t="str">
        <f t="shared" si="206"/>
        <v/>
      </c>
      <c r="AL1474" t="str">
        <f t="shared" si="199"/>
        <v/>
      </c>
      <c r="AM1474" t="str">
        <f t="shared" si="200"/>
        <v/>
      </c>
      <c r="AN1474" t="str">
        <f t="shared" si="201"/>
        <v/>
      </c>
      <c r="AO1474" t="str">
        <f t="shared" si="202"/>
        <v/>
      </c>
    </row>
    <row r="1475" spans="1:41">
      <c r="A1475">
        <f t="shared" si="207"/>
        <v>1471</v>
      </c>
      <c r="B1475" t="s">
        <v>276</v>
      </c>
      <c r="C1475">
        <v>5</v>
      </c>
      <c r="D1475">
        <v>5</v>
      </c>
      <c r="E1475" t="s">
        <v>385</v>
      </c>
      <c r="F1475">
        <v>412</v>
      </c>
      <c r="G1475">
        <v>1</v>
      </c>
      <c r="H1475">
        <v>60</v>
      </c>
      <c r="I1475" t="s">
        <v>386</v>
      </c>
      <c r="J1475" t="s">
        <v>386</v>
      </c>
      <c r="K1475">
        <v>10000000</v>
      </c>
      <c r="L1475">
        <v>3</v>
      </c>
      <c r="M1475">
        <v>3</v>
      </c>
      <c r="N1475">
        <v>4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16</v>
      </c>
      <c r="V1475">
        <v>516.29712518999997</v>
      </c>
      <c r="AH1475">
        <f t="shared" si="203"/>
        <v>3</v>
      </c>
      <c r="AI1475">
        <f t="shared" si="204"/>
        <v>4</v>
      </c>
      <c r="AJ1475" t="str">
        <f t="shared" si="205"/>
        <v/>
      </c>
      <c r="AK1475" t="str">
        <f t="shared" si="206"/>
        <v/>
      </c>
      <c r="AL1475" t="str">
        <f t="shared" si="199"/>
        <v/>
      </c>
      <c r="AM1475" t="str">
        <f t="shared" si="200"/>
        <v/>
      </c>
      <c r="AN1475" t="str">
        <f t="shared" si="201"/>
        <v/>
      </c>
      <c r="AO1475" t="str">
        <f t="shared" si="202"/>
        <v/>
      </c>
    </row>
    <row r="1476" spans="1:41">
      <c r="A1476">
        <f t="shared" si="207"/>
        <v>1472</v>
      </c>
      <c r="B1476" t="s">
        <v>276</v>
      </c>
      <c r="C1476">
        <v>5</v>
      </c>
      <c r="D1476">
        <v>5</v>
      </c>
      <c r="E1476" t="s">
        <v>385</v>
      </c>
      <c r="F1476">
        <v>412</v>
      </c>
      <c r="G1476">
        <v>1</v>
      </c>
      <c r="H1476">
        <v>61</v>
      </c>
      <c r="I1476" t="s">
        <v>386</v>
      </c>
      <c r="J1476" t="s">
        <v>386</v>
      </c>
      <c r="K1476">
        <v>10000000</v>
      </c>
      <c r="L1476">
        <v>3</v>
      </c>
      <c r="M1476">
        <v>3</v>
      </c>
      <c r="N1476">
        <v>4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16</v>
      </c>
      <c r="V1476">
        <v>516.29712518999997</v>
      </c>
      <c r="AH1476">
        <f t="shared" si="203"/>
        <v>3</v>
      </c>
      <c r="AI1476">
        <f t="shared" si="204"/>
        <v>4</v>
      </c>
      <c r="AJ1476" t="str">
        <f t="shared" si="205"/>
        <v/>
      </c>
      <c r="AK1476" t="str">
        <f t="shared" si="206"/>
        <v/>
      </c>
      <c r="AL1476" t="str">
        <f t="shared" si="199"/>
        <v/>
      </c>
      <c r="AM1476" t="str">
        <f t="shared" si="200"/>
        <v/>
      </c>
      <c r="AN1476" t="str">
        <f t="shared" si="201"/>
        <v/>
      </c>
      <c r="AO1476" t="str">
        <f t="shared" si="202"/>
        <v/>
      </c>
    </row>
    <row r="1477" spans="1:41">
      <c r="A1477">
        <f t="shared" si="207"/>
        <v>1473</v>
      </c>
      <c r="B1477" t="s">
        <v>276</v>
      </c>
      <c r="C1477">
        <v>5</v>
      </c>
      <c r="D1477">
        <v>5</v>
      </c>
      <c r="E1477" t="s">
        <v>385</v>
      </c>
      <c r="F1477">
        <v>412</v>
      </c>
      <c r="G1477">
        <v>1</v>
      </c>
      <c r="H1477">
        <v>62</v>
      </c>
      <c r="I1477" t="s">
        <v>386</v>
      </c>
      <c r="J1477" t="s">
        <v>386</v>
      </c>
      <c r="K1477">
        <v>10000000</v>
      </c>
      <c r="L1477">
        <v>3</v>
      </c>
      <c r="M1477">
        <v>3</v>
      </c>
      <c r="N1477">
        <v>4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16</v>
      </c>
      <c r="V1477">
        <v>516.29712518999997</v>
      </c>
      <c r="AH1477">
        <f t="shared" si="203"/>
        <v>3</v>
      </c>
      <c r="AI1477">
        <f t="shared" si="204"/>
        <v>4</v>
      </c>
      <c r="AJ1477" t="str">
        <f t="shared" si="205"/>
        <v/>
      </c>
      <c r="AK1477" t="str">
        <f t="shared" si="206"/>
        <v/>
      </c>
      <c r="AL1477" t="str">
        <f t="shared" ref="AL1477:AL1540" si="208">IF(Q1477=AC1477, "", Q1477-AC1477)</f>
        <v/>
      </c>
      <c r="AM1477" t="str">
        <f t="shared" ref="AM1477:AM1540" si="209">IF(R1477=AD1477, "", R1477-AD1477)</f>
        <v/>
      </c>
      <c r="AN1477" t="str">
        <f t="shared" ref="AN1477:AN1540" si="210">IF(S1477=AE1477, "", S1477-AE1477)</f>
        <v/>
      </c>
      <c r="AO1477" t="str">
        <f t="shared" ref="AO1477:AO1540" si="211">IF(T1477=AF1477, "", T1477-AF1477)</f>
        <v/>
      </c>
    </row>
    <row r="1478" spans="1:41">
      <c r="A1478">
        <f t="shared" si="207"/>
        <v>1474</v>
      </c>
      <c r="B1478" t="s">
        <v>276</v>
      </c>
      <c r="C1478">
        <v>5</v>
      </c>
      <c r="D1478">
        <v>5</v>
      </c>
      <c r="E1478" t="s">
        <v>385</v>
      </c>
      <c r="F1478">
        <v>412</v>
      </c>
      <c r="G1478">
        <v>1</v>
      </c>
      <c r="H1478">
        <v>63</v>
      </c>
      <c r="I1478" t="s">
        <v>386</v>
      </c>
      <c r="J1478" t="s">
        <v>386</v>
      </c>
      <c r="K1478">
        <v>10000000</v>
      </c>
      <c r="L1478">
        <v>3</v>
      </c>
      <c r="M1478">
        <v>3</v>
      </c>
      <c r="N1478">
        <v>4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16</v>
      </c>
      <c r="V1478">
        <v>516.29712518999997</v>
      </c>
      <c r="AH1478">
        <f t="shared" ref="AH1478:AH1541" si="212">IF(L1478=Y1478, "",L1478-Y1478)</f>
        <v>3</v>
      </c>
      <c r="AI1478">
        <f t="shared" ref="AI1478:AI1541" si="213">IF(N1478=Z1478, "", N1478-Z1478)</f>
        <v>4</v>
      </c>
      <c r="AJ1478" t="str">
        <f t="shared" ref="AJ1478:AJ1541" si="214">IF(O1478=AA1478, "", O1478-AA1478)</f>
        <v/>
      </c>
      <c r="AK1478" t="str">
        <f t="shared" ref="AK1478:AK1541" si="215">IF(P1478=AB1478, "", P1478-AB1478)</f>
        <v/>
      </c>
      <c r="AL1478" t="str">
        <f t="shared" si="208"/>
        <v/>
      </c>
      <c r="AM1478" t="str">
        <f t="shared" si="209"/>
        <v/>
      </c>
      <c r="AN1478" t="str">
        <f t="shared" si="210"/>
        <v/>
      </c>
      <c r="AO1478" t="str">
        <f t="shared" si="211"/>
        <v/>
      </c>
    </row>
    <row r="1479" spans="1:41">
      <c r="A1479">
        <f t="shared" ref="A1479:A1542" si="216">A1478+1</f>
        <v>1475</v>
      </c>
      <c r="B1479" t="s">
        <v>276</v>
      </c>
      <c r="C1479">
        <v>5</v>
      </c>
      <c r="D1479">
        <v>5</v>
      </c>
      <c r="E1479" t="s">
        <v>385</v>
      </c>
      <c r="F1479">
        <v>412</v>
      </c>
      <c r="G1479">
        <v>1</v>
      </c>
      <c r="H1479">
        <v>64</v>
      </c>
      <c r="I1479" t="s">
        <v>386</v>
      </c>
      <c r="J1479" t="s">
        <v>386</v>
      </c>
      <c r="K1479">
        <v>10000000</v>
      </c>
      <c r="L1479">
        <v>3</v>
      </c>
      <c r="M1479">
        <v>3</v>
      </c>
      <c r="N1479">
        <v>4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16</v>
      </c>
      <c r="V1479">
        <v>516.29712518999997</v>
      </c>
      <c r="AH1479">
        <f t="shared" si="212"/>
        <v>3</v>
      </c>
      <c r="AI1479">
        <f t="shared" si="213"/>
        <v>4</v>
      </c>
      <c r="AJ1479" t="str">
        <f t="shared" si="214"/>
        <v/>
      </c>
      <c r="AK1479" t="str">
        <f t="shared" si="215"/>
        <v/>
      </c>
      <c r="AL1479" t="str">
        <f t="shared" si="208"/>
        <v/>
      </c>
      <c r="AM1479" t="str">
        <f t="shared" si="209"/>
        <v/>
      </c>
      <c r="AN1479" t="str">
        <f t="shared" si="210"/>
        <v/>
      </c>
      <c r="AO1479" t="str">
        <f t="shared" si="211"/>
        <v/>
      </c>
    </row>
    <row r="1480" spans="1:41">
      <c r="A1480">
        <f t="shared" si="216"/>
        <v>1476</v>
      </c>
      <c r="B1480" t="s">
        <v>276</v>
      </c>
      <c r="C1480">
        <v>5</v>
      </c>
      <c r="D1480">
        <v>5</v>
      </c>
      <c r="E1480" t="s">
        <v>385</v>
      </c>
      <c r="F1480">
        <v>412</v>
      </c>
      <c r="G1480">
        <v>1</v>
      </c>
      <c r="H1480">
        <v>65</v>
      </c>
      <c r="I1480" t="s">
        <v>386</v>
      </c>
      <c r="J1480" t="s">
        <v>386</v>
      </c>
      <c r="K1480">
        <v>10000000</v>
      </c>
      <c r="L1480">
        <v>3</v>
      </c>
      <c r="M1480">
        <v>3</v>
      </c>
      <c r="N1480">
        <v>4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16</v>
      </c>
      <c r="V1480">
        <v>516.29712518999997</v>
      </c>
      <c r="AH1480">
        <f t="shared" si="212"/>
        <v>3</v>
      </c>
      <c r="AI1480">
        <f t="shared" si="213"/>
        <v>4</v>
      </c>
      <c r="AJ1480" t="str">
        <f t="shared" si="214"/>
        <v/>
      </c>
      <c r="AK1480" t="str">
        <f t="shared" si="215"/>
        <v/>
      </c>
      <c r="AL1480" t="str">
        <f t="shared" si="208"/>
        <v/>
      </c>
      <c r="AM1480" t="str">
        <f t="shared" si="209"/>
        <v/>
      </c>
      <c r="AN1480" t="str">
        <f t="shared" si="210"/>
        <v/>
      </c>
      <c r="AO1480" t="str">
        <f t="shared" si="211"/>
        <v/>
      </c>
    </row>
    <row r="1481" spans="1:41">
      <c r="A1481">
        <f t="shared" si="216"/>
        <v>1477</v>
      </c>
      <c r="B1481" t="s">
        <v>276</v>
      </c>
      <c r="C1481">
        <v>5</v>
      </c>
      <c r="D1481">
        <v>5</v>
      </c>
      <c r="E1481" t="s">
        <v>385</v>
      </c>
      <c r="F1481">
        <v>412</v>
      </c>
      <c r="G1481">
        <v>1</v>
      </c>
      <c r="H1481">
        <v>66</v>
      </c>
      <c r="I1481" t="s">
        <v>386</v>
      </c>
      <c r="J1481" t="s">
        <v>386</v>
      </c>
      <c r="K1481">
        <v>10000000</v>
      </c>
      <c r="L1481">
        <v>3</v>
      </c>
      <c r="M1481">
        <v>3</v>
      </c>
      <c r="N1481">
        <v>4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16</v>
      </c>
      <c r="V1481">
        <v>516.29712518999997</v>
      </c>
      <c r="AH1481">
        <f t="shared" si="212"/>
        <v>3</v>
      </c>
      <c r="AI1481">
        <f t="shared" si="213"/>
        <v>4</v>
      </c>
      <c r="AJ1481" t="str">
        <f t="shared" si="214"/>
        <v/>
      </c>
      <c r="AK1481" t="str">
        <f t="shared" si="215"/>
        <v/>
      </c>
      <c r="AL1481" t="str">
        <f t="shared" si="208"/>
        <v/>
      </c>
      <c r="AM1481" t="str">
        <f t="shared" si="209"/>
        <v/>
      </c>
      <c r="AN1481" t="str">
        <f t="shared" si="210"/>
        <v/>
      </c>
      <c r="AO1481" t="str">
        <f t="shared" si="211"/>
        <v/>
      </c>
    </row>
    <row r="1482" spans="1:41">
      <c r="A1482">
        <f t="shared" si="216"/>
        <v>1478</v>
      </c>
      <c r="B1482" t="s">
        <v>276</v>
      </c>
      <c r="C1482">
        <v>5</v>
      </c>
      <c r="D1482">
        <v>5</v>
      </c>
      <c r="E1482" t="s">
        <v>385</v>
      </c>
      <c r="F1482">
        <v>412</v>
      </c>
      <c r="G1482">
        <v>1</v>
      </c>
      <c r="H1482">
        <v>67</v>
      </c>
      <c r="I1482" t="s">
        <v>386</v>
      </c>
      <c r="J1482" t="s">
        <v>386</v>
      </c>
      <c r="K1482">
        <v>10000000</v>
      </c>
      <c r="L1482">
        <v>3</v>
      </c>
      <c r="M1482">
        <v>3</v>
      </c>
      <c r="N1482">
        <v>4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16</v>
      </c>
      <c r="V1482">
        <v>516.29712518999997</v>
      </c>
      <c r="AH1482">
        <f t="shared" si="212"/>
        <v>3</v>
      </c>
      <c r="AI1482">
        <f t="shared" si="213"/>
        <v>4</v>
      </c>
      <c r="AJ1482" t="str">
        <f t="shared" si="214"/>
        <v/>
      </c>
      <c r="AK1482" t="str">
        <f t="shared" si="215"/>
        <v/>
      </c>
      <c r="AL1482" t="str">
        <f t="shared" si="208"/>
        <v/>
      </c>
      <c r="AM1482" t="str">
        <f t="shared" si="209"/>
        <v/>
      </c>
      <c r="AN1482" t="str">
        <f t="shared" si="210"/>
        <v/>
      </c>
      <c r="AO1482" t="str">
        <f t="shared" si="211"/>
        <v/>
      </c>
    </row>
    <row r="1483" spans="1:41">
      <c r="A1483">
        <f t="shared" si="216"/>
        <v>1479</v>
      </c>
      <c r="B1483" t="s">
        <v>276</v>
      </c>
      <c r="C1483">
        <v>5</v>
      </c>
      <c r="D1483">
        <v>5</v>
      </c>
      <c r="E1483" t="s">
        <v>385</v>
      </c>
      <c r="F1483">
        <v>412</v>
      </c>
      <c r="G1483">
        <v>1</v>
      </c>
      <c r="H1483">
        <v>68</v>
      </c>
      <c r="I1483" t="s">
        <v>386</v>
      </c>
      <c r="J1483" t="s">
        <v>386</v>
      </c>
      <c r="K1483">
        <v>10000000</v>
      </c>
      <c r="L1483">
        <v>3</v>
      </c>
      <c r="M1483">
        <v>3</v>
      </c>
      <c r="N1483">
        <v>4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16</v>
      </c>
      <c r="V1483">
        <v>516.29712518999997</v>
      </c>
      <c r="AH1483">
        <f t="shared" si="212"/>
        <v>3</v>
      </c>
      <c r="AI1483">
        <f t="shared" si="213"/>
        <v>4</v>
      </c>
      <c r="AJ1483" t="str">
        <f t="shared" si="214"/>
        <v/>
      </c>
      <c r="AK1483" t="str">
        <f t="shared" si="215"/>
        <v/>
      </c>
      <c r="AL1483" t="str">
        <f t="shared" si="208"/>
        <v/>
      </c>
      <c r="AM1483" t="str">
        <f t="shared" si="209"/>
        <v/>
      </c>
      <c r="AN1483" t="str">
        <f t="shared" si="210"/>
        <v/>
      </c>
      <c r="AO1483" t="str">
        <f t="shared" si="211"/>
        <v/>
      </c>
    </row>
    <row r="1484" spans="1:41">
      <c r="A1484">
        <f t="shared" si="216"/>
        <v>1480</v>
      </c>
      <c r="B1484" t="s">
        <v>276</v>
      </c>
      <c r="C1484">
        <v>5</v>
      </c>
      <c r="D1484">
        <v>5</v>
      </c>
      <c r="E1484" t="s">
        <v>385</v>
      </c>
      <c r="F1484">
        <v>412</v>
      </c>
      <c r="G1484">
        <v>1</v>
      </c>
      <c r="H1484">
        <v>69</v>
      </c>
      <c r="I1484" t="s">
        <v>386</v>
      </c>
      <c r="J1484" t="s">
        <v>386</v>
      </c>
      <c r="K1484">
        <v>10000000</v>
      </c>
      <c r="L1484">
        <v>3</v>
      </c>
      <c r="M1484">
        <v>3</v>
      </c>
      <c r="N1484">
        <v>4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16</v>
      </c>
      <c r="V1484">
        <v>516.29712518999997</v>
      </c>
      <c r="AH1484">
        <f t="shared" si="212"/>
        <v>3</v>
      </c>
      <c r="AI1484">
        <f t="shared" si="213"/>
        <v>4</v>
      </c>
      <c r="AJ1484" t="str">
        <f t="shared" si="214"/>
        <v/>
      </c>
      <c r="AK1484" t="str">
        <f t="shared" si="215"/>
        <v/>
      </c>
      <c r="AL1484" t="str">
        <f t="shared" si="208"/>
        <v/>
      </c>
      <c r="AM1484" t="str">
        <f t="shared" si="209"/>
        <v/>
      </c>
      <c r="AN1484" t="str">
        <f t="shared" si="210"/>
        <v/>
      </c>
      <c r="AO1484" t="str">
        <f t="shared" si="211"/>
        <v/>
      </c>
    </row>
    <row r="1485" spans="1:41">
      <c r="A1485">
        <f t="shared" si="216"/>
        <v>1481</v>
      </c>
      <c r="B1485" t="s">
        <v>276</v>
      </c>
      <c r="C1485">
        <v>5</v>
      </c>
      <c r="D1485">
        <v>5</v>
      </c>
      <c r="E1485" t="s">
        <v>385</v>
      </c>
      <c r="F1485">
        <v>412</v>
      </c>
      <c r="G1485">
        <v>1</v>
      </c>
      <c r="H1485">
        <v>70</v>
      </c>
      <c r="I1485" t="s">
        <v>386</v>
      </c>
      <c r="J1485" t="s">
        <v>386</v>
      </c>
      <c r="K1485">
        <v>10000000</v>
      </c>
      <c r="L1485">
        <v>3</v>
      </c>
      <c r="M1485">
        <v>3</v>
      </c>
      <c r="N1485">
        <v>4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16</v>
      </c>
      <c r="V1485">
        <v>516.29712518999997</v>
      </c>
      <c r="AH1485">
        <f t="shared" si="212"/>
        <v>3</v>
      </c>
      <c r="AI1485">
        <f t="shared" si="213"/>
        <v>4</v>
      </c>
      <c r="AJ1485" t="str">
        <f t="shared" si="214"/>
        <v/>
      </c>
      <c r="AK1485" t="str">
        <f t="shared" si="215"/>
        <v/>
      </c>
      <c r="AL1485" t="str">
        <f t="shared" si="208"/>
        <v/>
      </c>
      <c r="AM1485" t="str">
        <f t="shared" si="209"/>
        <v/>
      </c>
      <c r="AN1485" t="str">
        <f t="shared" si="210"/>
        <v/>
      </c>
      <c r="AO1485" t="str">
        <f t="shared" si="211"/>
        <v/>
      </c>
    </row>
    <row r="1486" spans="1:41">
      <c r="A1486">
        <f t="shared" si="216"/>
        <v>1482</v>
      </c>
      <c r="B1486" t="s">
        <v>276</v>
      </c>
      <c r="C1486">
        <v>5</v>
      </c>
      <c r="D1486">
        <v>5</v>
      </c>
      <c r="E1486" t="s">
        <v>385</v>
      </c>
      <c r="F1486">
        <v>412</v>
      </c>
      <c r="G1486">
        <v>1</v>
      </c>
      <c r="H1486">
        <v>71</v>
      </c>
      <c r="I1486" t="s">
        <v>386</v>
      </c>
      <c r="J1486" t="s">
        <v>386</v>
      </c>
      <c r="K1486">
        <v>10000000</v>
      </c>
      <c r="L1486">
        <v>3</v>
      </c>
      <c r="M1486">
        <v>3</v>
      </c>
      <c r="N1486">
        <v>4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16</v>
      </c>
      <c r="V1486">
        <v>516.29712518999997</v>
      </c>
      <c r="AH1486">
        <f t="shared" si="212"/>
        <v>3</v>
      </c>
      <c r="AI1486">
        <f t="shared" si="213"/>
        <v>4</v>
      </c>
      <c r="AJ1486" t="str">
        <f t="shared" si="214"/>
        <v/>
      </c>
      <c r="AK1486" t="str">
        <f t="shared" si="215"/>
        <v/>
      </c>
      <c r="AL1486" t="str">
        <f t="shared" si="208"/>
        <v/>
      </c>
      <c r="AM1486" t="str">
        <f t="shared" si="209"/>
        <v/>
      </c>
      <c r="AN1486" t="str">
        <f t="shared" si="210"/>
        <v/>
      </c>
      <c r="AO1486" t="str">
        <f t="shared" si="211"/>
        <v/>
      </c>
    </row>
    <row r="1487" spans="1:41">
      <c r="A1487">
        <f t="shared" si="216"/>
        <v>1483</v>
      </c>
      <c r="B1487" t="s">
        <v>276</v>
      </c>
      <c r="C1487">
        <v>5</v>
      </c>
      <c r="D1487">
        <v>5</v>
      </c>
      <c r="E1487" t="s">
        <v>385</v>
      </c>
      <c r="F1487">
        <v>412</v>
      </c>
      <c r="G1487">
        <v>1</v>
      </c>
      <c r="H1487">
        <v>72</v>
      </c>
      <c r="I1487" t="s">
        <v>386</v>
      </c>
      <c r="J1487" t="s">
        <v>386</v>
      </c>
      <c r="K1487">
        <v>10000000</v>
      </c>
      <c r="L1487">
        <v>3</v>
      </c>
      <c r="M1487">
        <v>3</v>
      </c>
      <c r="N1487">
        <v>4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16</v>
      </c>
      <c r="V1487">
        <v>516.29712518999997</v>
      </c>
      <c r="AH1487">
        <f t="shared" si="212"/>
        <v>3</v>
      </c>
      <c r="AI1487">
        <f t="shared" si="213"/>
        <v>4</v>
      </c>
      <c r="AJ1487" t="str">
        <f t="shared" si="214"/>
        <v/>
      </c>
      <c r="AK1487" t="str">
        <f t="shared" si="215"/>
        <v/>
      </c>
      <c r="AL1487" t="str">
        <f t="shared" si="208"/>
        <v/>
      </c>
      <c r="AM1487" t="str">
        <f t="shared" si="209"/>
        <v/>
      </c>
      <c r="AN1487" t="str">
        <f t="shared" si="210"/>
        <v/>
      </c>
      <c r="AO1487" t="str">
        <f t="shared" si="211"/>
        <v/>
      </c>
    </row>
    <row r="1488" spans="1:41">
      <c r="A1488">
        <f t="shared" si="216"/>
        <v>1484</v>
      </c>
      <c r="B1488" t="s">
        <v>276</v>
      </c>
      <c r="C1488">
        <v>5</v>
      </c>
      <c r="D1488">
        <v>5</v>
      </c>
      <c r="E1488" t="s">
        <v>385</v>
      </c>
      <c r="F1488">
        <v>412</v>
      </c>
      <c r="G1488">
        <v>1</v>
      </c>
      <c r="H1488">
        <v>73</v>
      </c>
      <c r="I1488" t="s">
        <v>386</v>
      </c>
      <c r="J1488" t="s">
        <v>386</v>
      </c>
      <c r="K1488">
        <v>10000000</v>
      </c>
      <c r="L1488">
        <v>3</v>
      </c>
      <c r="M1488">
        <v>3</v>
      </c>
      <c r="N1488">
        <v>4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16</v>
      </c>
      <c r="V1488">
        <v>516.29712518999997</v>
      </c>
      <c r="AH1488">
        <f t="shared" si="212"/>
        <v>3</v>
      </c>
      <c r="AI1488">
        <f t="shared" si="213"/>
        <v>4</v>
      </c>
      <c r="AJ1488" t="str">
        <f t="shared" si="214"/>
        <v/>
      </c>
      <c r="AK1488" t="str">
        <f t="shared" si="215"/>
        <v/>
      </c>
      <c r="AL1488" t="str">
        <f t="shared" si="208"/>
        <v/>
      </c>
      <c r="AM1488" t="str">
        <f t="shared" si="209"/>
        <v/>
      </c>
      <c r="AN1488" t="str">
        <f t="shared" si="210"/>
        <v/>
      </c>
      <c r="AO1488" t="str">
        <f t="shared" si="211"/>
        <v/>
      </c>
    </row>
    <row r="1489" spans="1:41">
      <c r="A1489">
        <f t="shared" si="216"/>
        <v>1485</v>
      </c>
      <c r="B1489" t="s">
        <v>276</v>
      </c>
      <c r="C1489">
        <v>5</v>
      </c>
      <c r="D1489">
        <v>5</v>
      </c>
      <c r="E1489" t="s">
        <v>385</v>
      </c>
      <c r="F1489">
        <v>412</v>
      </c>
      <c r="G1489">
        <v>1</v>
      </c>
      <c r="H1489">
        <v>74</v>
      </c>
      <c r="I1489" t="s">
        <v>386</v>
      </c>
      <c r="J1489" t="s">
        <v>386</v>
      </c>
      <c r="K1489">
        <v>10000000</v>
      </c>
      <c r="L1489">
        <v>3</v>
      </c>
      <c r="M1489">
        <v>3</v>
      </c>
      <c r="N1489">
        <v>4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16</v>
      </c>
      <c r="V1489">
        <v>516.29712518999997</v>
      </c>
      <c r="AH1489">
        <f t="shared" si="212"/>
        <v>3</v>
      </c>
      <c r="AI1489">
        <f t="shared" si="213"/>
        <v>4</v>
      </c>
      <c r="AJ1489" t="str">
        <f t="shared" si="214"/>
        <v/>
      </c>
      <c r="AK1489" t="str">
        <f t="shared" si="215"/>
        <v/>
      </c>
      <c r="AL1489" t="str">
        <f t="shared" si="208"/>
        <v/>
      </c>
      <c r="AM1489" t="str">
        <f t="shared" si="209"/>
        <v/>
      </c>
      <c r="AN1489" t="str">
        <f t="shared" si="210"/>
        <v/>
      </c>
      <c r="AO1489" t="str">
        <f t="shared" si="211"/>
        <v/>
      </c>
    </row>
    <row r="1490" spans="1:41">
      <c r="A1490">
        <f t="shared" si="216"/>
        <v>1486</v>
      </c>
      <c r="B1490" t="s">
        <v>276</v>
      </c>
      <c r="C1490">
        <v>5</v>
      </c>
      <c r="D1490">
        <v>5</v>
      </c>
      <c r="E1490" t="s">
        <v>385</v>
      </c>
      <c r="F1490">
        <v>412</v>
      </c>
      <c r="G1490">
        <v>1</v>
      </c>
      <c r="H1490">
        <v>75</v>
      </c>
      <c r="I1490" t="s">
        <v>386</v>
      </c>
      <c r="J1490" t="s">
        <v>386</v>
      </c>
      <c r="K1490">
        <v>10000000</v>
      </c>
      <c r="L1490">
        <v>3</v>
      </c>
      <c r="M1490">
        <v>3</v>
      </c>
      <c r="N1490">
        <v>4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16</v>
      </c>
      <c r="V1490">
        <v>516.29712518999997</v>
      </c>
      <c r="AH1490">
        <f t="shared" si="212"/>
        <v>3</v>
      </c>
      <c r="AI1490">
        <f t="shared" si="213"/>
        <v>4</v>
      </c>
      <c r="AJ1490" t="str">
        <f t="shared" si="214"/>
        <v/>
      </c>
      <c r="AK1490" t="str">
        <f t="shared" si="215"/>
        <v/>
      </c>
      <c r="AL1490" t="str">
        <f t="shared" si="208"/>
        <v/>
      </c>
      <c r="AM1490" t="str">
        <f t="shared" si="209"/>
        <v/>
      </c>
      <c r="AN1490" t="str">
        <f t="shared" si="210"/>
        <v/>
      </c>
      <c r="AO1490" t="str">
        <f t="shared" si="211"/>
        <v/>
      </c>
    </row>
    <row r="1491" spans="1:41">
      <c r="A1491">
        <f t="shared" si="216"/>
        <v>1487</v>
      </c>
      <c r="B1491" t="s">
        <v>276</v>
      </c>
      <c r="C1491">
        <v>4</v>
      </c>
      <c r="D1491">
        <v>4</v>
      </c>
      <c r="E1491" t="s">
        <v>385</v>
      </c>
      <c r="F1491">
        <v>412</v>
      </c>
      <c r="G1491">
        <v>1</v>
      </c>
      <c r="H1491">
        <v>76</v>
      </c>
      <c r="I1491" t="s">
        <v>386</v>
      </c>
      <c r="J1491" t="s">
        <v>386</v>
      </c>
      <c r="K1491">
        <v>10000000</v>
      </c>
      <c r="L1491">
        <v>3</v>
      </c>
      <c r="M1491">
        <v>3</v>
      </c>
      <c r="N1491">
        <v>4</v>
      </c>
      <c r="O1491">
        <v>0</v>
      </c>
      <c r="P1491">
        <v>0</v>
      </c>
      <c r="Q1491">
        <v>0</v>
      </c>
      <c r="R1491">
        <v>0</v>
      </c>
      <c r="S1491">
        <v>0</v>
      </c>
      <c r="T1491" t="s">
        <v>386</v>
      </c>
      <c r="U1491">
        <v>17</v>
      </c>
      <c r="V1491">
        <v>479.41875911</v>
      </c>
      <c r="AH1491">
        <f t="shared" si="212"/>
        <v>3</v>
      </c>
      <c r="AI1491">
        <f t="shared" si="213"/>
        <v>4</v>
      </c>
      <c r="AJ1491" t="str">
        <f t="shared" si="214"/>
        <v/>
      </c>
      <c r="AK1491" t="str">
        <f t="shared" si="215"/>
        <v/>
      </c>
      <c r="AL1491" t="str">
        <f t="shared" si="208"/>
        <v/>
      </c>
      <c r="AM1491" t="str">
        <f t="shared" si="209"/>
        <v/>
      </c>
      <c r="AN1491" t="str">
        <f t="shared" si="210"/>
        <v/>
      </c>
      <c r="AO1491" t="e">
        <f t="shared" si="211"/>
        <v>#VALUE!</v>
      </c>
    </row>
    <row r="1492" spans="1:41">
      <c r="A1492">
        <f t="shared" si="216"/>
        <v>1488</v>
      </c>
      <c r="B1492" t="s">
        <v>276</v>
      </c>
      <c r="C1492">
        <v>3</v>
      </c>
      <c r="D1492">
        <v>3</v>
      </c>
      <c r="E1492" t="s">
        <v>385</v>
      </c>
      <c r="F1492">
        <v>412</v>
      </c>
      <c r="G1492">
        <v>1</v>
      </c>
      <c r="H1492">
        <v>77</v>
      </c>
      <c r="I1492" t="s">
        <v>386</v>
      </c>
      <c r="J1492" t="s">
        <v>386</v>
      </c>
      <c r="K1492">
        <v>10000000</v>
      </c>
      <c r="L1492">
        <v>3</v>
      </c>
      <c r="M1492">
        <v>3</v>
      </c>
      <c r="N1492">
        <v>5</v>
      </c>
      <c r="O1492">
        <v>0</v>
      </c>
      <c r="P1492">
        <v>0</v>
      </c>
      <c r="Q1492">
        <v>0</v>
      </c>
      <c r="R1492">
        <v>0</v>
      </c>
      <c r="S1492" t="s">
        <v>386</v>
      </c>
      <c r="T1492" t="s">
        <v>386</v>
      </c>
      <c r="U1492">
        <v>17</v>
      </c>
      <c r="V1492">
        <v>442.54039302000001</v>
      </c>
      <c r="AH1492">
        <f t="shared" si="212"/>
        <v>3</v>
      </c>
      <c r="AI1492">
        <f t="shared" si="213"/>
        <v>5</v>
      </c>
      <c r="AJ1492" t="str">
        <f t="shared" si="214"/>
        <v/>
      </c>
      <c r="AK1492" t="str">
        <f t="shared" si="215"/>
        <v/>
      </c>
      <c r="AL1492" t="str">
        <f t="shared" si="208"/>
        <v/>
      </c>
      <c r="AM1492" t="str">
        <f t="shared" si="209"/>
        <v/>
      </c>
      <c r="AN1492" t="e">
        <f t="shared" si="210"/>
        <v>#VALUE!</v>
      </c>
      <c r="AO1492" t="e">
        <f t="shared" si="211"/>
        <v>#VALUE!</v>
      </c>
    </row>
    <row r="1493" spans="1:41">
      <c r="A1493">
        <f t="shared" si="216"/>
        <v>1489</v>
      </c>
      <c r="B1493" t="s">
        <v>276</v>
      </c>
      <c r="C1493">
        <v>2</v>
      </c>
      <c r="D1493">
        <v>2</v>
      </c>
      <c r="E1493" t="s">
        <v>385</v>
      </c>
      <c r="F1493">
        <v>412</v>
      </c>
      <c r="G1493">
        <v>1</v>
      </c>
      <c r="H1493">
        <v>78</v>
      </c>
      <c r="I1493" t="s">
        <v>386</v>
      </c>
      <c r="J1493" t="s">
        <v>386</v>
      </c>
      <c r="K1493">
        <v>10000000</v>
      </c>
      <c r="L1493">
        <v>3</v>
      </c>
      <c r="M1493">
        <v>3</v>
      </c>
      <c r="N1493">
        <v>5</v>
      </c>
      <c r="O1493">
        <v>0</v>
      </c>
      <c r="P1493">
        <v>0</v>
      </c>
      <c r="Q1493">
        <v>0</v>
      </c>
      <c r="R1493" t="s">
        <v>386</v>
      </c>
      <c r="S1493" t="s">
        <v>386</v>
      </c>
      <c r="T1493" t="s">
        <v>386</v>
      </c>
      <c r="U1493">
        <v>19</v>
      </c>
      <c r="V1493">
        <v>405.66202693999998</v>
      </c>
      <c r="AH1493">
        <f t="shared" si="212"/>
        <v>3</v>
      </c>
      <c r="AI1493">
        <f t="shared" si="213"/>
        <v>5</v>
      </c>
      <c r="AJ1493" t="str">
        <f t="shared" si="214"/>
        <v/>
      </c>
      <c r="AK1493" t="str">
        <f t="shared" si="215"/>
        <v/>
      </c>
      <c r="AL1493" t="str">
        <f t="shared" si="208"/>
        <v/>
      </c>
      <c r="AM1493" t="e">
        <f t="shared" si="209"/>
        <v>#VALUE!</v>
      </c>
      <c r="AN1493" t="e">
        <f t="shared" si="210"/>
        <v>#VALUE!</v>
      </c>
      <c r="AO1493" t="e">
        <f t="shared" si="211"/>
        <v>#VALUE!</v>
      </c>
    </row>
    <row r="1494" spans="1:41">
      <c r="A1494">
        <f t="shared" si="216"/>
        <v>1490</v>
      </c>
      <c r="B1494" t="s">
        <v>276</v>
      </c>
      <c r="C1494">
        <v>1</v>
      </c>
      <c r="D1494">
        <v>1</v>
      </c>
      <c r="E1494" t="s">
        <v>385</v>
      </c>
      <c r="F1494">
        <v>412</v>
      </c>
      <c r="G1494">
        <v>1</v>
      </c>
      <c r="H1494">
        <v>79</v>
      </c>
      <c r="I1494" t="s">
        <v>386</v>
      </c>
      <c r="J1494" t="s">
        <v>386</v>
      </c>
      <c r="K1494">
        <v>10000000</v>
      </c>
      <c r="L1494">
        <v>3</v>
      </c>
      <c r="M1494">
        <v>3</v>
      </c>
      <c r="N1494">
        <v>6</v>
      </c>
      <c r="O1494">
        <v>0</v>
      </c>
      <c r="P1494">
        <v>0</v>
      </c>
      <c r="Q1494" t="s">
        <v>386</v>
      </c>
      <c r="R1494" t="s">
        <v>386</v>
      </c>
      <c r="S1494" t="s">
        <v>386</v>
      </c>
      <c r="T1494" t="s">
        <v>386</v>
      </c>
      <c r="U1494">
        <v>19</v>
      </c>
      <c r="V1494">
        <v>368.78366084999999</v>
      </c>
      <c r="AH1494">
        <f t="shared" si="212"/>
        <v>3</v>
      </c>
      <c r="AI1494">
        <f t="shared" si="213"/>
        <v>6</v>
      </c>
      <c r="AJ1494" t="str">
        <f t="shared" si="214"/>
        <v/>
      </c>
      <c r="AK1494" t="str">
        <f t="shared" si="215"/>
        <v/>
      </c>
      <c r="AL1494" t="e">
        <f t="shared" si="208"/>
        <v>#VALUE!</v>
      </c>
      <c r="AM1494" t="e">
        <f t="shared" si="209"/>
        <v>#VALUE!</v>
      </c>
      <c r="AN1494" t="e">
        <f t="shared" si="210"/>
        <v>#VALUE!</v>
      </c>
      <c r="AO1494" t="e">
        <f t="shared" si="211"/>
        <v>#VALUE!</v>
      </c>
    </row>
    <row r="1495" spans="1:41">
      <c r="A1495">
        <f t="shared" si="216"/>
        <v>1491</v>
      </c>
      <c r="B1495" t="s">
        <v>276</v>
      </c>
      <c r="C1495">
        <v>5</v>
      </c>
      <c r="D1495">
        <v>5</v>
      </c>
      <c r="E1495" t="s">
        <v>387</v>
      </c>
      <c r="F1495">
        <v>412</v>
      </c>
      <c r="G1495">
        <v>1</v>
      </c>
      <c r="H1495">
        <v>30</v>
      </c>
      <c r="I1495" t="s">
        <v>386</v>
      </c>
      <c r="J1495" t="s">
        <v>386</v>
      </c>
      <c r="K1495">
        <v>10000000</v>
      </c>
      <c r="L1495">
        <v>3</v>
      </c>
      <c r="M1495">
        <v>3</v>
      </c>
      <c r="N1495">
        <v>4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16</v>
      </c>
      <c r="V1495">
        <v>516.29712518999997</v>
      </c>
      <c r="AH1495">
        <f t="shared" si="212"/>
        <v>3</v>
      </c>
      <c r="AI1495">
        <f t="shared" si="213"/>
        <v>4</v>
      </c>
      <c r="AJ1495" t="str">
        <f t="shared" si="214"/>
        <v/>
      </c>
      <c r="AK1495" t="str">
        <f t="shared" si="215"/>
        <v/>
      </c>
      <c r="AL1495" t="str">
        <f t="shared" si="208"/>
        <v/>
      </c>
      <c r="AM1495" t="str">
        <f t="shared" si="209"/>
        <v/>
      </c>
      <c r="AN1495" t="str">
        <f t="shared" si="210"/>
        <v/>
      </c>
      <c r="AO1495" t="str">
        <f t="shared" si="211"/>
        <v/>
      </c>
    </row>
    <row r="1496" spans="1:41">
      <c r="A1496">
        <f t="shared" si="216"/>
        <v>1492</v>
      </c>
      <c r="B1496" t="s">
        <v>276</v>
      </c>
      <c r="C1496">
        <v>5</v>
      </c>
      <c r="D1496">
        <v>5</v>
      </c>
      <c r="E1496" t="s">
        <v>387</v>
      </c>
      <c r="F1496">
        <v>412</v>
      </c>
      <c r="G1496">
        <v>1</v>
      </c>
      <c r="H1496">
        <v>31</v>
      </c>
      <c r="I1496" t="s">
        <v>386</v>
      </c>
      <c r="J1496" t="s">
        <v>386</v>
      </c>
      <c r="K1496">
        <v>10000000</v>
      </c>
      <c r="L1496">
        <v>3</v>
      </c>
      <c r="M1496">
        <v>3</v>
      </c>
      <c r="N1496">
        <v>4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16</v>
      </c>
      <c r="V1496">
        <v>516.29712518999997</v>
      </c>
      <c r="AH1496">
        <f t="shared" si="212"/>
        <v>3</v>
      </c>
      <c r="AI1496">
        <f t="shared" si="213"/>
        <v>4</v>
      </c>
      <c r="AJ1496" t="str">
        <f t="shared" si="214"/>
        <v/>
      </c>
      <c r="AK1496" t="str">
        <f t="shared" si="215"/>
        <v/>
      </c>
      <c r="AL1496" t="str">
        <f t="shared" si="208"/>
        <v/>
      </c>
      <c r="AM1496" t="str">
        <f t="shared" si="209"/>
        <v/>
      </c>
      <c r="AN1496" t="str">
        <f t="shared" si="210"/>
        <v/>
      </c>
      <c r="AO1496" t="str">
        <f t="shared" si="211"/>
        <v/>
      </c>
    </row>
    <row r="1497" spans="1:41">
      <c r="A1497">
        <f t="shared" si="216"/>
        <v>1493</v>
      </c>
      <c r="B1497" t="s">
        <v>276</v>
      </c>
      <c r="C1497">
        <v>5</v>
      </c>
      <c r="D1497">
        <v>5</v>
      </c>
      <c r="E1497" t="s">
        <v>387</v>
      </c>
      <c r="F1497">
        <v>412</v>
      </c>
      <c r="G1497">
        <v>1</v>
      </c>
      <c r="H1497">
        <v>32</v>
      </c>
      <c r="I1497" t="s">
        <v>386</v>
      </c>
      <c r="J1497" t="s">
        <v>386</v>
      </c>
      <c r="K1497">
        <v>10000000</v>
      </c>
      <c r="L1497">
        <v>3</v>
      </c>
      <c r="M1497">
        <v>3</v>
      </c>
      <c r="N1497">
        <v>4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16</v>
      </c>
      <c r="V1497">
        <v>516.29712518999997</v>
      </c>
      <c r="AH1497">
        <f t="shared" si="212"/>
        <v>3</v>
      </c>
      <c r="AI1497">
        <f t="shared" si="213"/>
        <v>4</v>
      </c>
      <c r="AJ1497" t="str">
        <f t="shared" si="214"/>
        <v/>
      </c>
      <c r="AK1497" t="str">
        <f t="shared" si="215"/>
        <v/>
      </c>
      <c r="AL1497" t="str">
        <f t="shared" si="208"/>
        <v/>
      </c>
      <c r="AM1497" t="str">
        <f t="shared" si="209"/>
        <v/>
      </c>
      <c r="AN1497" t="str">
        <f t="shared" si="210"/>
        <v/>
      </c>
      <c r="AO1497" t="str">
        <f t="shared" si="211"/>
        <v/>
      </c>
    </row>
    <row r="1498" spans="1:41">
      <c r="A1498">
        <f t="shared" si="216"/>
        <v>1494</v>
      </c>
      <c r="B1498" t="s">
        <v>276</v>
      </c>
      <c r="C1498">
        <v>5</v>
      </c>
      <c r="D1498">
        <v>5</v>
      </c>
      <c r="E1498" t="s">
        <v>387</v>
      </c>
      <c r="F1498">
        <v>412</v>
      </c>
      <c r="G1498">
        <v>1</v>
      </c>
      <c r="H1498">
        <v>33</v>
      </c>
      <c r="I1498" t="s">
        <v>386</v>
      </c>
      <c r="J1498" t="s">
        <v>386</v>
      </c>
      <c r="K1498">
        <v>10000000</v>
      </c>
      <c r="L1498">
        <v>3</v>
      </c>
      <c r="M1498">
        <v>3</v>
      </c>
      <c r="N1498">
        <v>4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16</v>
      </c>
      <c r="V1498">
        <v>516.29712518999997</v>
      </c>
      <c r="AH1498">
        <f t="shared" si="212"/>
        <v>3</v>
      </c>
      <c r="AI1498">
        <f t="shared" si="213"/>
        <v>4</v>
      </c>
      <c r="AJ1498" t="str">
        <f t="shared" si="214"/>
        <v/>
      </c>
      <c r="AK1498" t="str">
        <f t="shared" si="215"/>
        <v/>
      </c>
      <c r="AL1498" t="str">
        <f t="shared" si="208"/>
        <v/>
      </c>
      <c r="AM1498" t="str">
        <f t="shared" si="209"/>
        <v/>
      </c>
      <c r="AN1498" t="str">
        <f t="shared" si="210"/>
        <v/>
      </c>
      <c r="AO1498" t="str">
        <f t="shared" si="211"/>
        <v/>
      </c>
    </row>
    <row r="1499" spans="1:41">
      <c r="A1499">
        <f t="shared" si="216"/>
        <v>1495</v>
      </c>
      <c r="B1499" t="s">
        <v>276</v>
      </c>
      <c r="C1499">
        <v>5</v>
      </c>
      <c r="D1499">
        <v>5</v>
      </c>
      <c r="E1499" t="s">
        <v>387</v>
      </c>
      <c r="F1499">
        <v>412</v>
      </c>
      <c r="G1499">
        <v>1</v>
      </c>
      <c r="H1499">
        <v>34</v>
      </c>
      <c r="I1499" t="s">
        <v>386</v>
      </c>
      <c r="J1499" t="s">
        <v>386</v>
      </c>
      <c r="K1499">
        <v>10000000</v>
      </c>
      <c r="L1499">
        <v>3</v>
      </c>
      <c r="M1499">
        <v>3</v>
      </c>
      <c r="N1499">
        <v>4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16</v>
      </c>
      <c r="V1499">
        <v>516.29712518999997</v>
      </c>
      <c r="AH1499">
        <f t="shared" si="212"/>
        <v>3</v>
      </c>
      <c r="AI1499">
        <f t="shared" si="213"/>
        <v>4</v>
      </c>
      <c r="AJ1499" t="str">
        <f t="shared" si="214"/>
        <v/>
      </c>
      <c r="AK1499" t="str">
        <f t="shared" si="215"/>
        <v/>
      </c>
      <c r="AL1499" t="str">
        <f t="shared" si="208"/>
        <v/>
      </c>
      <c r="AM1499" t="str">
        <f t="shared" si="209"/>
        <v/>
      </c>
      <c r="AN1499" t="str">
        <f t="shared" si="210"/>
        <v/>
      </c>
      <c r="AO1499" t="str">
        <f t="shared" si="211"/>
        <v/>
      </c>
    </row>
    <row r="1500" spans="1:41">
      <c r="A1500">
        <f t="shared" si="216"/>
        <v>1496</v>
      </c>
      <c r="B1500" t="s">
        <v>276</v>
      </c>
      <c r="C1500">
        <v>5</v>
      </c>
      <c r="D1500">
        <v>5</v>
      </c>
      <c r="E1500" t="s">
        <v>387</v>
      </c>
      <c r="F1500">
        <v>412</v>
      </c>
      <c r="G1500">
        <v>1</v>
      </c>
      <c r="H1500">
        <v>35</v>
      </c>
      <c r="I1500" t="s">
        <v>386</v>
      </c>
      <c r="J1500" t="s">
        <v>386</v>
      </c>
      <c r="K1500">
        <v>10000000</v>
      </c>
      <c r="L1500">
        <v>3</v>
      </c>
      <c r="M1500">
        <v>3</v>
      </c>
      <c r="N1500">
        <v>4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16</v>
      </c>
      <c r="V1500">
        <v>516.29712518999997</v>
      </c>
      <c r="AH1500">
        <f t="shared" si="212"/>
        <v>3</v>
      </c>
      <c r="AI1500">
        <f t="shared" si="213"/>
        <v>4</v>
      </c>
      <c r="AJ1500" t="str">
        <f t="shared" si="214"/>
        <v/>
      </c>
      <c r="AK1500" t="str">
        <f t="shared" si="215"/>
        <v/>
      </c>
      <c r="AL1500" t="str">
        <f t="shared" si="208"/>
        <v/>
      </c>
      <c r="AM1500" t="str">
        <f t="shared" si="209"/>
        <v/>
      </c>
      <c r="AN1500" t="str">
        <f t="shared" si="210"/>
        <v/>
      </c>
      <c r="AO1500" t="str">
        <f t="shared" si="211"/>
        <v/>
      </c>
    </row>
    <row r="1501" spans="1:41">
      <c r="A1501">
        <f t="shared" si="216"/>
        <v>1497</v>
      </c>
      <c r="B1501" t="s">
        <v>276</v>
      </c>
      <c r="C1501">
        <v>5</v>
      </c>
      <c r="D1501">
        <v>5</v>
      </c>
      <c r="E1501" t="s">
        <v>387</v>
      </c>
      <c r="F1501">
        <v>412</v>
      </c>
      <c r="G1501">
        <v>1</v>
      </c>
      <c r="H1501">
        <v>36</v>
      </c>
      <c r="I1501" t="s">
        <v>386</v>
      </c>
      <c r="J1501" t="s">
        <v>386</v>
      </c>
      <c r="K1501">
        <v>10000000</v>
      </c>
      <c r="L1501">
        <v>3</v>
      </c>
      <c r="M1501">
        <v>3</v>
      </c>
      <c r="N1501">
        <v>4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16</v>
      </c>
      <c r="V1501">
        <v>516.29712518999997</v>
      </c>
      <c r="AH1501">
        <f t="shared" si="212"/>
        <v>3</v>
      </c>
      <c r="AI1501">
        <f t="shared" si="213"/>
        <v>4</v>
      </c>
      <c r="AJ1501" t="str">
        <f t="shared" si="214"/>
        <v/>
      </c>
      <c r="AK1501" t="str">
        <f t="shared" si="215"/>
        <v/>
      </c>
      <c r="AL1501" t="str">
        <f t="shared" si="208"/>
        <v/>
      </c>
      <c r="AM1501" t="str">
        <f t="shared" si="209"/>
        <v/>
      </c>
      <c r="AN1501" t="str">
        <f t="shared" si="210"/>
        <v/>
      </c>
      <c r="AO1501" t="str">
        <f t="shared" si="211"/>
        <v/>
      </c>
    </row>
    <row r="1502" spans="1:41">
      <c r="A1502">
        <f t="shared" si="216"/>
        <v>1498</v>
      </c>
      <c r="B1502" t="s">
        <v>276</v>
      </c>
      <c r="C1502">
        <v>5</v>
      </c>
      <c r="D1502">
        <v>5</v>
      </c>
      <c r="E1502" t="s">
        <v>387</v>
      </c>
      <c r="F1502">
        <v>412</v>
      </c>
      <c r="G1502">
        <v>1</v>
      </c>
      <c r="H1502">
        <v>37</v>
      </c>
      <c r="I1502" t="s">
        <v>386</v>
      </c>
      <c r="J1502" t="s">
        <v>386</v>
      </c>
      <c r="K1502">
        <v>10000000</v>
      </c>
      <c r="L1502">
        <v>3</v>
      </c>
      <c r="M1502">
        <v>3</v>
      </c>
      <c r="N1502">
        <v>4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16</v>
      </c>
      <c r="V1502">
        <v>516.29712518999997</v>
      </c>
      <c r="AH1502">
        <f t="shared" si="212"/>
        <v>3</v>
      </c>
      <c r="AI1502">
        <f t="shared" si="213"/>
        <v>4</v>
      </c>
      <c r="AJ1502" t="str">
        <f t="shared" si="214"/>
        <v/>
      </c>
      <c r="AK1502" t="str">
        <f t="shared" si="215"/>
        <v/>
      </c>
      <c r="AL1502" t="str">
        <f t="shared" si="208"/>
        <v/>
      </c>
      <c r="AM1502" t="str">
        <f t="shared" si="209"/>
        <v/>
      </c>
      <c r="AN1502" t="str">
        <f t="shared" si="210"/>
        <v/>
      </c>
      <c r="AO1502" t="str">
        <f t="shared" si="211"/>
        <v/>
      </c>
    </row>
    <row r="1503" spans="1:41">
      <c r="A1503">
        <f t="shared" si="216"/>
        <v>1499</v>
      </c>
      <c r="B1503" t="s">
        <v>276</v>
      </c>
      <c r="C1503">
        <v>5</v>
      </c>
      <c r="D1503">
        <v>5</v>
      </c>
      <c r="E1503" t="s">
        <v>387</v>
      </c>
      <c r="F1503">
        <v>412</v>
      </c>
      <c r="G1503">
        <v>1</v>
      </c>
      <c r="H1503">
        <v>38</v>
      </c>
      <c r="I1503" t="s">
        <v>386</v>
      </c>
      <c r="J1503" t="s">
        <v>386</v>
      </c>
      <c r="K1503">
        <v>10000000</v>
      </c>
      <c r="L1503">
        <v>3</v>
      </c>
      <c r="M1503">
        <v>3</v>
      </c>
      <c r="N1503">
        <v>4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16</v>
      </c>
      <c r="V1503">
        <v>516.29712518999997</v>
      </c>
      <c r="AH1503">
        <f t="shared" si="212"/>
        <v>3</v>
      </c>
      <c r="AI1503">
        <f t="shared" si="213"/>
        <v>4</v>
      </c>
      <c r="AJ1503" t="str">
        <f t="shared" si="214"/>
        <v/>
      </c>
      <c r="AK1503" t="str">
        <f t="shared" si="215"/>
        <v/>
      </c>
      <c r="AL1503" t="str">
        <f t="shared" si="208"/>
        <v/>
      </c>
      <c r="AM1503" t="str">
        <f t="shared" si="209"/>
        <v/>
      </c>
      <c r="AN1503" t="str">
        <f t="shared" si="210"/>
        <v/>
      </c>
      <c r="AO1503" t="str">
        <f t="shared" si="211"/>
        <v/>
      </c>
    </row>
    <row r="1504" spans="1:41">
      <c r="A1504">
        <f t="shared" si="216"/>
        <v>1500</v>
      </c>
      <c r="B1504" t="s">
        <v>276</v>
      </c>
      <c r="C1504">
        <v>5</v>
      </c>
      <c r="D1504">
        <v>5</v>
      </c>
      <c r="E1504" t="s">
        <v>387</v>
      </c>
      <c r="F1504">
        <v>412</v>
      </c>
      <c r="G1504">
        <v>1</v>
      </c>
      <c r="H1504">
        <v>39</v>
      </c>
      <c r="I1504" t="s">
        <v>386</v>
      </c>
      <c r="J1504" t="s">
        <v>386</v>
      </c>
      <c r="K1504">
        <v>10000000</v>
      </c>
      <c r="L1504">
        <v>3</v>
      </c>
      <c r="M1504">
        <v>3</v>
      </c>
      <c r="N1504">
        <v>4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16</v>
      </c>
      <c r="V1504">
        <v>516.29712518999997</v>
      </c>
      <c r="AH1504">
        <f t="shared" si="212"/>
        <v>3</v>
      </c>
      <c r="AI1504">
        <f t="shared" si="213"/>
        <v>4</v>
      </c>
      <c r="AJ1504" t="str">
        <f t="shared" si="214"/>
        <v/>
      </c>
      <c r="AK1504" t="str">
        <f t="shared" si="215"/>
        <v/>
      </c>
      <c r="AL1504" t="str">
        <f t="shared" si="208"/>
        <v/>
      </c>
      <c r="AM1504" t="str">
        <f t="shared" si="209"/>
        <v/>
      </c>
      <c r="AN1504" t="str">
        <f t="shared" si="210"/>
        <v/>
      </c>
      <c r="AO1504" t="str">
        <f t="shared" si="211"/>
        <v/>
      </c>
    </row>
    <row r="1505" spans="1:41">
      <c r="A1505">
        <f t="shared" si="216"/>
        <v>1501</v>
      </c>
      <c r="B1505" t="s">
        <v>276</v>
      </c>
      <c r="C1505">
        <v>5</v>
      </c>
      <c r="D1505">
        <v>5</v>
      </c>
      <c r="E1505" t="s">
        <v>387</v>
      </c>
      <c r="F1505">
        <v>412</v>
      </c>
      <c r="G1505">
        <v>1</v>
      </c>
      <c r="H1505">
        <v>40</v>
      </c>
      <c r="I1505" t="s">
        <v>386</v>
      </c>
      <c r="J1505" t="s">
        <v>386</v>
      </c>
      <c r="K1505">
        <v>10000000</v>
      </c>
      <c r="L1505">
        <v>3</v>
      </c>
      <c r="M1505">
        <v>3</v>
      </c>
      <c r="N1505">
        <v>4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16</v>
      </c>
      <c r="V1505">
        <v>516.29712518999997</v>
      </c>
      <c r="AH1505">
        <f t="shared" si="212"/>
        <v>3</v>
      </c>
      <c r="AI1505">
        <f t="shared" si="213"/>
        <v>4</v>
      </c>
      <c r="AJ1505" t="str">
        <f t="shared" si="214"/>
        <v/>
      </c>
      <c r="AK1505" t="str">
        <f t="shared" si="215"/>
        <v/>
      </c>
      <c r="AL1505" t="str">
        <f t="shared" si="208"/>
        <v/>
      </c>
      <c r="AM1505" t="str">
        <f t="shared" si="209"/>
        <v/>
      </c>
      <c r="AN1505" t="str">
        <f t="shared" si="210"/>
        <v/>
      </c>
      <c r="AO1505" t="str">
        <f t="shared" si="211"/>
        <v/>
      </c>
    </row>
    <row r="1506" spans="1:41">
      <c r="A1506">
        <f t="shared" si="216"/>
        <v>1502</v>
      </c>
      <c r="B1506" t="s">
        <v>276</v>
      </c>
      <c r="C1506">
        <v>5</v>
      </c>
      <c r="D1506">
        <v>5</v>
      </c>
      <c r="E1506" t="s">
        <v>387</v>
      </c>
      <c r="F1506">
        <v>412</v>
      </c>
      <c r="G1506">
        <v>1</v>
      </c>
      <c r="H1506">
        <v>41</v>
      </c>
      <c r="I1506" t="s">
        <v>386</v>
      </c>
      <c r="J1506" t="s">
        <v>386</v>
      </c>
      <c r="K1506">
        <v>10000000</v>
      </c>
      <c r="L1506">
        <v>3</v>
      </c>
      <c r="M1506">
        <v>3</v>
      </c>
      <c r="N1506">
        <v>4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16</v>
      </c>
      <c r="V1506">
        <v>516.29712518999997</v>
      </c>
      <c r="AH1506">
        <f t="shared" si="212"/>
        <v>3</v>
      </c>
      <c r="AI1506">
        <f t="shared" si="213"/>
        <v>4</v>
      </c>
      <c r="AJ1506" t="str">
        <f t="shared" si="214"/>
        <v/>
      </c>
      <c r="AK1506" t="str">
        <f t="shared" si="215"/>
        <v/>
      </c>
      <c r="AL1506" t="str">
        <f t="shared" si="208"/>
        <v/>
      </c>
      <c r="AM1506" t="str">
        <f t="shared" si="209"/>
        <v/>
      </c>
      <c r="AN1506" t="str">
        <f t="shared" si="210"/>
        <v/>
      </c>
      <c r="AO1506" t="str">
        <f t="shared" si="211"/>
        <v/>
      </c>
    </row>
    <row r="1507" spans="1:41">
      <c r="A1507">
        <f t="shared" si="216"/>
        <v>1503</v>
      </c>
      <c r="B1507" t="s">
        <v>276</v>
      </c>
      <c r="C1507">
        <v>5</v>
      </c>
      <c r="D1507">
        <v>5</v>
      </c>
      <c r="E1507" t="s">
        <v>387</v>
      </c>
      <c r="F1507">
        <v>412</v>
      </c>
      <c r="G1507">
        <v>1</v>
      </c>
      <c r="H1507">
        <v>42</v>
      </c>
      <c r="I1507" t="s">
        <v>386</v>
      </c>
      <c r="J1507" t="s">
        <v>386</v>
      </c>
      <c r="K1507">
        <v>10000000</v>
      </c>
      <c r="L1507">
        <v>3</v>
      </c>
      <c r="M1507">
        <v>3</v>
      </c>
      <c r="N1507">
        <v>4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16</v>
      </c>
      <c r="V1507">
        <v>516.29712518999997</v>
      </c>
      <c r="AH1507">
        <f t="shared" si="212"/>
        <v>3</v>
      </c>
      <c r="AI1507">
        <f t="shared" si="213"/>
        <v>4</v>
      </c>
      <c r="AJ1507" t="str">
        <f t="shared" si="214"/>
        <v/>
      </c>
      <c r="AK1507" t="str">
        <f t="shared" si="215"/>
        <v/>
      </c>
      <c r="AL1507" t="str">
        <f t="shared" si="208"/>
        <v/>
      </c>
      <c r="AM1507" t="str">
        <f t="shared" si="209"/>
        <v/>
      </c>
      <c r="AN1507" t="str">
        <f t="shared" si="210"/>
        <v/>
      </c>
      <c r="AO1507" t="str">
        <f t="shared" si="211"/>
        <v/>
      </c>
    </row>
    <row r="1508" spans="1:41">
      <c r="A1508">
        <f t="shared" si="216"/>
        <v>1504</v>
      </c>
      <c r="B1508" t="s">
        <v>276</v>
      </c>
      <c r="C1508">
        <v>5</v>
      </c>
      <c r="D1508">
        <v>5</v>
      </c>
      <c r="E1508" t="s">
        <v>387</v>
      </c>
      <c r="F1508">
        <v>412</v>
      </c>
      <c r="G1508">
        <v>1</v>
      </c>
      <c r="H1508">
        <v>43</v>
      </c>
      <c r="I1508" t="s">
        <v>386</v>
      </c>
      <c r="J1508" t="s">
        <v>386</v>
      </c>
      <c r="K1508">
        <v>10000000</v>
      </c>
      <c r="L1508">
        <v>3</v>
      </c>
      <c r="M1508">
        <v>3</v>
      </c>
      <c r="N1508">
        <v>4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16</v>
      </c>
      <c r="V1508">
        <v>516.29712518999997</v>
      </c>
      <c r="AH1508">
        <f t="shared" si="212"/>
        <v>3</v>
      </c>
      <c r="AI1508">
        <f t="shared" si="213"/>
        <v>4</v>
      </c>
      <c r="AJ1508" t="str">
        <f t="shared" si="214"/>
        <v/>
      </c>
      <c r="AK1508" t="str">
        <f t="shared" si="215"/>
        <v/>
      </c>
      <c r="AL1508" t="str">
        <f t="shared" si="208"/>
        <v/>
      </c>
      <c r="AM1508" t="str">
        <f t="shared" si="209"/>
        <v/>
      </c>
      <c r="AN1508" t="str">
        <f t="shared" si="210"/>
        <v/>
      </c>
      <c r="AO1508" t="str">
        <f t="shared" si="211"/>
        <v/>
      </c>
    </row>
    <row r="1509" spans="1:41">
      <c r="A1509">
        <f t="shared" si="216"/>
        <v>1505</v>
      </c>
      <c r="B1509" t="s">
        <v>276</v>
      </c>
      <c r="C1509">
        <v>5</v>
      </c>
      <c r="D1509">
        <v>5</v>
      </c>
      <c r="E1509" t="s">
        <v>387</v>
      </c>
      <c r="F1509">
        <v>412</v>
      </c>
      <c r="G1509">
        <v>1</v>
      </c>
      <c r="H1509">
        <v>44</v>
      </c>
      <c r="I1509" t="s">
        <v>386</v>
      </c>
      <c r="J1509" t="s">
        <v>386</v>
      </c>
      <c r="K1509">
        <v>10000000</v>
      </c>
      <c r="L1509">
        <v>3</v>
      </c>
      <c r="M1509">
        <v>3</v>
      </c>
      <c r="N1509">
        <v>4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16</v>
      </c>
      <c r="V1509">
        <v>516.29712518999997</v>
      </c>
      <c r="AH1509">
        <f t="shared" si="212"/>
        <v>3</v>
      </c>
      <c r="AI1509">
        <f t="shared" si="213"/>
        <v>4</v>
      </c>
      <c r="AJ1509" t="str">
        <f t="shared" si="214"/>
        <v/>
      </c>
      <c r="AK1509" t="str">
        <f t="shared" si="215"/>
        <v/>
      </c>
      <c r="AL1509" t="str">
        <f t="shared" si="208"/>
        <v/>
      </c>
      <c r="AM1509" t="str">
        <f t="shared" si="209"/>
        <v/>
      </c>
      <c r="AN1509" t="str">
        <f t="shared" si="210"/>
        <v/>
      </c>
      <c r="AO1509" t="str">
        <f t="shared" si="211"/>
        <v/>
      </c>
    </row>
    <row r="1510" spans="1:41">
      <c r="A1510">
        <f t="shared" si="216"/>
        <v>1506</v>
      </c>
      <c r="B1510" t="s">
        <v>276</v>
      </c>
      <c r="C1510">
        <v>5</v>
      </c>
      <c r="D1510">
        <v>5</v>
      </c>
      <c r="E1510" t="s">
        <v>387</v>
      </c>
      <c r="F1510">
        <v>412</v>
      </c>
      <c r="G1510">
        <v>1</v>
      </c>
      <c r="H1510">
        <v>45</v>
      </c>
      <c r="I1510" t="s">
        <v>386</v>
      </c>
      <c r="J1510" t="s">
        <v>386</v>
      </c>
      <c r="K1510">
        <v>10000000</v>
      </c>
      <c r="L1510">
        <v>3</v>
      </c>
      <c r="M1510">
        <v>3</v>
      </c>
      <c r="N1510">
        <v>4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16</v>
      </c>
      <c r="V1510">
        <v>516.29712518999997</v>
      </c>
      <c r="AH1510">
        <f t="shared" si="212"/>
        <v>3</v>
      </c>
      <c r="AI1510">
        <f t="shared" si="213"/>
        <v>4</v>
      </c>
      <c r="AJ1510" t="str">
        <f t="shared" si="214"/>
        <v/>
      </c>
      <c r="AK1510" t="str">
        <f t="shared" si="215"/>
        <v/>
      </c>
      <c r="AL1510" t="str">
        <f t="shared" si="208"/>
        <v/>
      </c>
      <c r="AM1510" t="str">
        <f t="shared" si="209"/>
        <v/>
      </c>
      <c r="AN1510" t="str">
        <f t="shared" si="210"/>
        <v/>
      </c>
      <c r="AO1510" t="str">
        <f t="shared" si="211"/>
        <v/>
      </c>
    </row>
    <row r="1511" spans="1:41">
      <c r="A1511">
        <f t="shared" si="216"/>
        <v>1507</v>
      </c>
      <c r="B1511" t="s">
        <v>276</v>
      </c>
      <c r="C1511">
        <v>5</v>
      </c>
      <c r="D1511">
        <v>5</v>
      </c>
      <c r="E1511" t="s">
        <v>387</v>
      </c>
      <c r="F1511">
        <v>412</v>
      </c>
      <c r="G1511">
        <v>1</v>
      </c>
      <c r="H1511">
        <v>46</v>
      </c>
      <c r="I1511" t="s">
        <v>386</v>
      </c>
      <c r="J1511" t="s">
        <v>386</v>
      </c>
      <c r="K1511">
        <v>10000000</v>
      </c>
      <c r="L1511">
        <v>3</v>
      </c>
      <c r="M1511">
        <v>3</v>
      </c>
      <c r="N1511">
        <v>4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16</v>
      </c>
      <c r="V1511">
        <v>516.29712518999997</v>
      </c>
      <c r="AH1511">
        <f t="shared" si="212"/>
        <v>3</v>
      </c>
      <c r="AI1511">
        <f t="shared" si="213"/>
        <v>4</v>
      </c>
      <c r="AJ1511" t="str">
        <f t="shared" si="214"/>
        <v/>
      </c>
      <c r="AK1511" t="str">
        <f t="shared" si="215"/>
        <v/>
      </c>
      <c r="AL1511" t="str">
        <f t="shared" si="208"/>
        <v/>
      </c>
      <c r="AM1511" t="str">
        <f t="shared" si="209"/>
        <v/>
      </c>
      <c r="AN1511" t="str">
        <f t="shared" si="210"/>
        <v/>
      </c>
      <c r="AO1511" t="str">
        <f t="shared" si="211"/>
        <v/>
      </c>
    </row>
    <row r="1512" spans="1:41">
      <c r="A1512">
        <f t="shared" si="216"/>
        <v>1508</v>
      </c>
      <c r="B1512" t="s">
        <v>276</v>
      </c>
      <c r="C1512">
        <v>5</v>
      </c>
      <c r="D1512">
        <v>5</v>
      </c>
      <c r="E1512" t="s">
        <v>387</v>
      </c>
      <c r="F1512">
        <v>412</v>
      </c>
      <c r="G1512">
        <v>1</v>
      </c>
      <c r="H1512">
        <v>47</v>
      </c>
      <c r="I1512" t="s">
        <v>386</v>
      </c>
      <c r="J1512" t="s">
        <v>386</v>
      </c>
      <c r="K1512">
        <v>10000000</v>
      </c>
      <c r="L1512">
        <v>3</v>
      </c>
      <c r="M1512">
        <v>3</v>
      </c>
      <c r="N1512">
        <v>4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16</v>
      </c>
      <c r="V1512">
        <v>516.29712518999997</v>
      </c>
      <c r="AH1512">
        <f t="shared" si="212"/>
        <v>3</v>
      </c>
      <c r="AI1512">
        <f t="shared" si="213"/>
        <v>4</v>
      </c>
      <c r="AJ1512" t="str">
        <f t="shared" si="214"/>
        <v/>
      </c>
      <c r="AK1512" t="str">
        <f t="shared" si="215"/>
        <v/>
      </c>
      <c r="AL1512" t="str">
        <f t="shared" si="208"/>
        <v/>
      </c>
      <c r="AM1512" t="str">
        <f t="shared" si="209"/>
        <v/>
      </c>
      <c r="AN1512" t="str">
        <f t="shared" si="210"/>
        <v/>
      </c>
      <c r="AO1512" t="str">
        <f t="shared" si="211"/>
        <v/>
      </c>
    </row>
    <row r="1513" spans="1:41">
      <c r="A1513">
        <f t="shared" si="216"/>
        <v>1509</v>
      </c>
      <c r="B1513" t="s">
        <v>276</v>
      </c>
      <c r="C1513">
        <v>5</v>
      </c>
      <c r="D1513">
        <v>5</v>
      </c>
      <c r="E1513" t="s">
        <v>387</v>
      </c>
      <c r="F1513">
        <v>412</v>
      </c>
      <c r="G1513">
        <v>1</v>
      </c>
      <c r="H1513">
        <v>48</v>
      </c>
      <c r="I1513" t="s">
        <v>386</v>
      </c>
      <c r="J1513" t="s">
        <v>386</v>
      </c>
      <c r="K1513">
        <v>10000000</v>
      </c>
      <c r="L1513">
        <v>3</v>
      </c>
      <c r="M1513">
        <v>3</v>
      </c>
      <c r="N1513">
        <v>4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16</v>
      </c>
      <c r="V1513">
        <v>516.29712518999997</v>
      </c>
      <c r="AH1513">
        <f t="shared" si="212"/>
        <v>3</v>
      </c>
      <c r="AI1513">
        <f t="shared" si="213"/>
        <v>4</v>
      </c>
      <c r="AJ1513" t="str">
        <f t="shared" si="214"/>
        <v/>
      </c>
      <c r="AK1513" t="str">
        <f t="shared" si="215"/>
        <v/>
      </c>
      <c r="AL1513" t="str">
        <f t="shared" si="208"/>
        <v/>
      </c>
      <c r="AM1513" t="str">
        <f t="shared" si="209"/>
        <v/>
      </c>
      <c r="AN1513" t="str">
        <f t="shared" si="210"/>
        <v/>
      </c>
      <c r="AO1513" t="str">
        <f t="shared" si="211"/>
        <v/>
      </c>
    </row>
    <row r="1514" spans="1:41">
      <c r="A1514">
        <f t="shared" si="216"/>
        <v>1510</v>
      </c>
      <c r="B1514" t="s">
        <v>276</v>
      </c>
      <c r="C1514">
        <v>5</v>
      </c>
      <c r="D1514">
        <v>5</v>
      </c>
      <c r="E1514" t="s">
        <v>387</v>
      </c>
      <c r="F1514">
        <v>412</v>
      </c>
      <c r="G1514">
        <v>1</v>
      </c>
      <c r="H1514">
        <v>49</v>
      </c>
      <c r="I1514" t="s">
        <v>386</v>
      </c>
      <c r="J1514" t="s">
        <v>386</v>
      </c>
      <c r="K1514">
        <v>10000000</v>
      </c>
      <c r="L1514">
        <v>3</v>
      </c>
      <c r="M1514">
        <v>3</v>
      </c>
      <c r="N1514">
        <v>4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16</v>
      </c>
      <c r="V1514">
        <v>516.29712518999997</v>
      </c>
      <c r="AH1514">
        <f t="shared" si="212"/>
        <v>3</v>
      </c>
      <c r="AI1514">
        <f t="shared" si="213"/>
        <v>4</v>
      </c>
      <c r="AJ1514" t="str">
        <f t="shared" si="214"/>
        <v/>
      </c>
      <c r="AK1514" t="str">
        <f t="shared" si="215"/>
        <v/>
      </c>
      <c r="AL1514" t="str">
        <f t="shared" si="208"/>
        <v/>
      </c>
      <c r="AM1514" t="str">
        <f t="shared" si="209"/>
        <v/>
      </c>
      <c r="AN1514" t="str">
        <f t="shared" si="210"/>
        <v/>
      </c>
      <c r="AO1514" t="str">
        <f t="shared" si="211"/>
        <v/>
      </c>
    </row>
    <row r="1515" spans="1:41">
      <c r="A1515">
        <f t="shared" si="216"/>
        <v>1511</v>
      </c>
      <c r="B1515" t="s">
        <v>276</v>
      </c>
      <c r="C1515">
        <v>5</v>
      </c>
      <c r="D1515">
        <v>5</v>
      </c>
      <c r="E1515" t="s">
        <v>387</v>
      </c>
      <c r="F1515">
        <v>412</v>
      </c>
      <c r="G1515">
        <v>1</v>
      </c>
      <c r="H1515">
        <v>50</v>
      </c>
      <c r="I1515" t="s">
        <v>386</v>
      </c>
      <c r="J1515" t="s">
        <v>386</v>
      </c>
      <c r="K1515">
        <v>10000000</v>
      </c>
      <c r="L1515">
        <v>3</v>
      </c>
      <c r="M1515">
        <v>3</v>
      </c>
      <c r="N1515">
        <v>4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16</v>
      </c>
      <c r="V1515">
        <v>516.29712518999997</v>
      </c>
      <c r="AH1515">
        <f t="shared" si="212"/>
        <v>3</v>
      </c>
      <c r="AI1515">
        <f t="shared" si="213"/>
        <v>4</v>
      </c>
      <c r="AJ1515" t="str">
        <f t="shared" si="214"/>
        <v/>
      </c>
      <c r="AK1515" t="str">
        <f t="shared" si="215"/>
        <v/>
      </c>
      <c r="AL1515" t="str">
        <f t="shared" si="208"/>
        <v/>
      </c>
      <c r="AM1515" t="str">
        <f t="shared" si="209"/>
        <v/>
      </c>
      <c r="AN1515" t="str">
        <f t="shared" si="210"/>
        <v/>
      </c>
      <c r="AO1515" t="str">
        <f t="shared" si="211"/>
        <v/>
      </c>
    </row>
    <row r="1516" spans="1:41">
      <c r="A1516">
        <f t="shared" si="216"/>
        <v>1512</v>
      </c>
      <c r="B1516" t="s">
        <v>276</v>
      </c>
      <c r="C1516">
        <v>5</v>
      </c>
      <c r="D1516">
        <v>5</v>
      </c>
      <c r="E1516" t="s">
        <v>387</v>
      </c>
      <c r="F1516">
        <v>412</v>
      </c>
      <c r="G1516">
        <v>1</v>
      </c>
      <c r="H1516">
        <v>51</v>
      </c>
      <c r="I1516" t="s">
        <v>386</v>
      </c>
      <c r="J1516" t="s">
        <v>386</v>
      </c>
      <c r="K1516">
        <v>10000000</v>
      </c>
      <c r="L1516">
        <v>3</v>
      </c>
      <c r="M1516">
        <v>3</v>
      </c>
      <c r="N1516">
        <v>4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16</v>
      </c>
      <c r="V1516">
        <v>516.29712518999997</v>
      </c>
      <c r="AH1516">
        <f t="shared" si="212"/>
        <v>3</v>
      </c>
      <c r="AI1516">
        <f t="shared" si="213"/>
        <v>4</v>
      </c>
      <c r="AJ1516" t="str">
        <f t="shared" si="214"/>
        <v/>
      </c>
      <c r="AK1516" t="str">
        <f t="shared" si="215"/>
        <v/>
      </c>
      <c r="AL1516" t="str">
        <f t="shared" si="208"/>
        <v/>
      </c>
      <c r="AM1516" t="str">
        <f t="shared" si="209"/>
        <v/>
      </c>
      <c r="AN1516" t="str">
        <f t="shared" si="210"/>
        <v/>
      </c>
      <c r="AO1516" t="str">
        <f t="shared" si="211"/>
        <v/>
      </c>
    </row>
    <row r="1517" spans="1:41">
      <c r="A1517">
        <f t="shared" si="216"/>
        <v>1513</v>
      </c>
      <c r="B1517" t="s">
        <v>276</v>
      </c>
      <c r="C1517">
        <v>5</v>
      </c>
      <c r="D1517">
        <v>5</v>
      </c>
      <c r="E1517" t="s">
        <v>387</v>
      </c>
      <c r="F1517">
        <v>412</v>
      </c>
      <c r="G1517">
        <v>1</v>
      </c>
      <c r="H1517">
        <v>52</v>
      </c>
      <c r="I1517" t="s">
        <v>386</v>
      </c>
      <c r="J1517" t="s">
        <v>386</v>
      </c>
      <c r="K1517">
        <v>10000000</v>
      </c>
      <c r="L1517">
        <v>3</v>
      </c>
      <c r="M1517">
        <v>3</v>
      </c>
      <c r="N1517">
        <v>4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16</v>
      </c>
      <c r="V1517">
        <v>516.29712518999997</v>
      </c>
      <c r="AH1517">
        <f t="shared" si="212"/>
        <v>3</v>
      </c>
      <c r="AI1517">
        <f t="shared" si="213"/>
        <v>4</v>
      </c>
      <c r="AJ1517" t="str">
        <f t="shared" si="214"/>
        <v/>
      </c>
      <c r="AK1517" t="str">
        <f t="shared" si="215"/>
        <v/>
      </c>
      <c r="AL1517" t="str">
        <f t="shared" si="208"/>
        <v/>
      </c>
      <c r="AM1517" t="str">
        <f t="shared" si="209"/>
        <v/>
      </c>
      <c r="AN1517" t="str">
        <f t="shared" si="210"/>
        <v/>
      </c>
      <c r="AO1517" t="str">
        <f t="shared" si="211"/>
        <v/>
      </c>
    </row>
    <row r="1518" spans="1:41">
      <c r="A1518">
        <f t="shared" si="216"/>
        <v>1514</v>
      </c>
      <c r="B1518" t="s">
        <v>276</v>
      </c>
      <c r="C1518">
        <v>5</v>
      </c>
      <c r="D1518">
        <v>5</v>
      </c>
      <c r="E1518" t="s">
        <v>387</v>
      </c>
      <c r="F1518">
        <v>412</v>
      </c>
      <c r="G1518">
        <v>1</v>
      </c>
      <c r="H1518">
        <v>53</v>
      </c>
      <c r="I1518" t="s">
        <v>386</v>
      </c>
      <c r="J1518" t="s">
        <v>386</v>
      </c>
      <c r="K1518">
        <v>10000000</v>
      </c>
      <c r="L1518">
        <v>3</v>
      </c>
      <c r="M1518">
        <v>3</v>
      </c>
      <c r="N1518">
        <v>4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16</v>
      </c>
      <c r="V1518">
        <v>516.29712518999997</v>
      </c>
      <c r="AH1518">
        <f t="shared" si="212"/>
        <v>3</v>
      </c>
      <c r="AI1518">
        <f t="shared" si="213"/>
        <v>4</v>
      </c>
      <c r="AJ1518" t="str">
        <f t="shared" si="214"/>
        <v/>
      </c>
      <c r="AK1518" t="str">
        <f t="shared" si="215"/>
        <v/>
      </c>
      <c r="AL1518" t="str">
        <f t="shared" si="208"/>
        <v/>
      </c>
      <c r="AM1518" t="str">
        <f t="shared" si="209"/>
        <v/>
      </c>
      <c r="AN1518" t="str">
        <f t="shared" si="210"/>
        <v/>
      </c>
      <c r="AO1518" t="str">
        <f t="shared" si="211"/>
        <v/>
      </c>
    </row>
    <row r="1519" spans="1:41">
      <c r="A1519">
        <f t="shared" si="216"/>
        <v>1515</v>
      </c>
      <c r="B1519" t="s">
        <v>276</v>
      </c>
      <c r="C1519">
        <v>5</v>
      </c>
      <c r="D1519">
        <v>5</v>
      </c>
      <c r="E1519" t="s">
        <v>387</v>
      </c>
      <c r="F1519">
        <v>412</v>
      </c>
      <c r="G1519">
        <v>1</v>
      </c>
      <c r="H1519">
        <v>54</v>
      </c>
      <c r="I1519" t="s">
        <v>386</v>
      </c>
      <c r="J1519" t="s">
        <v>386</v>
      </c>
      <c r="K1519">
        <v>10000000</v>
      </c>
      <c r="L1519">
        <v>3</v>
      </c>
      <c r="M1519">
        <v>3</v>
      </c>
      <c r="N1519">
        <v>4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16</v>
      </c>
      <c r="V1519">
        <v>516.29712518999997</v>
      </c>
      <c r="AH1519">
        <f t="shared" si="212"/>
        <v>3</v>
      </c>
      <c r="AI1519">
        <f t="shared" si="213"/>
        <v>4</v>
      </c>
      <c r="AJ1519" t="str">
        <f t="shared" si="214"/>
        <v/>
      </c>
      <c r="AK1519" t="str">
        <f t="shared" si="215"/>
        <v/>
      </c>
      <c r="AL1519" t="str">
        <f t="shared" si="208"/>
        <v/>
      </c>
      <c r="AM1519" t="str">
        <f t="shared" si="209"/>
        <v/>
      </c>
      <c r="AN1519" t="str">
        <f t="shared" si="210"/>
        <v/>
      </c>
      <c r="AO1519" t="str">
        <f t="shared" si="211"/>
        <v/>
      </c>
    </row>
    <row r="1520" spans="1:41">
      <c r="A1520">
        <f t="shared" si="216"/>
        <v>1516</v>
      </c>
      <c r="B1520" t="s">
        <v>276</v>
      </c>
      <c r="C1520">
        <v>5</v>
      </c>
      <c r="D1520">
        <v>5</v>
      </c>
      <c r="E1520" t="s">
        <v>387</v>
      </c>
      <c r="F1520">
        <v>412</v>
      </c>
      <c r="G1520">
        <v>1</v>
      </c>
      <c r="H1520">
        <v>55</v>
      </c>
      <c r="I1520" t="s">
        <v>386</v>
      </c>
      <c r="J1520" t="s">
        <v>386</v>
      </c>
      <c r="K1520">
        <v>10000000</v>
      </c>
      <c r="L1520">
        <v>3</v>
      </c>
      <c r="M1520">
        <v>3</v>
      </c>
      <c r="N1520">
        <v>4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16</v>
      </c>
      <c r="V1520">
        <v>516.29712518999997</v>
      </c>
      <c r="AH1520">
        <f t="shared" si="212"/>
        <v>3</v>
      </c>
      <c r="AI1520">
        <f t="shared" si="213"/>
        <v>4</v>
      </c>
      <c r="AJ1520" t="str">
        <f t="shared" si="214"/>
        <v/>
      </c>
      <c r="AK1520" t="str">
        <f t="shared" si="215"/>
        <v/>
      </c>
      <c r="AL1520" t="str">
        <f t="shared" si="208"/>
        <v/>
      </c>
      <c r="AM1520" t="str">
        <f t="shared" si="209"/>
        <v/>
      </c>
      <c r="AN1520" t="str">
        <f t="shared" si="210"/>
        <v/>
      </c>
      <c r="AO1520" t="str">
        <f t="shared" si="211"/>
        <v/>
      </c>
    </row>
    <row r="1521" spans="1:41">
      <c r="A1521">
        <f t="shared" si="216"/>
        <v>1517</v>
      </c>
      <c r="B1521" t="s">
        <v>276</v>
      </c>
      <c r="C1521">
        <v>5</v>
      </c>
      <c r="D1521">
        <v>5</v>
      </c>
      <c r="E1521" t="s">
        <v>387</v>
      </c>
      <c r="F1521">
        <v>412</v>
      </c>
      <c r="G1521">
        <v>1</v>
      </c>
      <c r="H1521">
        <v>56</v>
      </c>
      <c r="I1521" t="s">
        <v>386</v>
      </c>
      <c r="J1521" t="s">
        <v>386</v>
      </c>
      <c r="K1521">
        <v>10000000</v>
      </c>
      <c r="L1521">
        <v>3</v>
      </c>
      <c r="M1521">
        <v>3</v>
      </c>
      <c r="N1521">
        <v>4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16</v>
      </c>
      <c r="V1521">
        <v>516.29712518999997</v>
      </c>
      <c r="AH1521">
        <f t="shared" si="212"/>
        <v>3</v>
      </c>
      <c r="AI1521">
        <f t="shared" si="213"/>
        <v>4</v>
      </c>
      <c r="AJ1521" t="str">
        <f t="shared" si="214"/>
        <v/>
      </c>
      <c r="AK1521" t="str">
        <f t="shared" si="215"/>
        <v/>
      </c>
      <c r="AL1521" t="str">
        <f t="shared" si="208"/>
        <v/>
      </c>
      <c r="AM1521" t="str">
        <f t="shared" si="209"/>
        <v/>
      </c>
      <c r="AN1521" t="str">
        <f t="shared" si="210"/>
        <v/>
      </c>
      <c r="AO1521" t="str">
        <f t="shared" si="211"/>
        <v/>
      </c>
    </row>
    <row r="1522" spans="1:41">
      <c r="A1522">
        <f t="shared" si="216"/>
        <v>1518</v>
      </c>
      <c r="B1522" t="s">
        <v>276</v>
      </c>
      <c r="C1522">
        <v>5</v>
      </c>
      <c r="D1522">
        <v>5</v>
      </c>
      <c r="E1522" t="s">
        <v>387</v>
      </c>
      <c r="F1522">
        <v>412</v>
      </c>
      <c r="G1522">
        <v>1</v>
      </c>
      <c r="H1522">
        <v>57</v>
      </c>
      <c r="I1522" t="s">
        <v>386</v>
      </c>
      <c r="J1522" t="s">
        <v>386</v>
      </c>
      <c r="K1522">
        <v>10000000</v>
      </c>
      <c r="L1522">
        <v>3</v>
      </c>
      <c r="M1522">
        <v>3</v>
      </c>
      <c r="N1522">
        <v>4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16</v>
      </c>
      <c r="V1522">
        <v>516.29712518999997</v>
      </c>
      <c r="AH1522">
        <f t="shared" si="212"/>
        <v>3</v>
      </c>
      <c r="AI1522">
        <f t="shared" si="213"/>
        <v>4</v>
      </c>
      <c r="AJ1522" t="str">
        <f t="shared" si="214"/>
        <v/>
      </c>
      <c r="AK1522" t="str">
        <f t="shared" si="215"/>
        <v/>
      </c>
      <c r="AL1522" t="str">
        <f t="shared" si="208"/>
        <v/>
      </c>
      <c r="AM1522" t="str">
        <f t="shared" si="209"/>
        <v/>
      </c>
      <c r="AN1522" t="str">
        <f t="shared" si="210"/>
        <v/>
      </c>
      <c r="AO1522" t="str">
        <f t="shared" si="211"/>
        <v/>
      </c>
    </row>
    <row r="1523" spans="1:41">
      <c r="A1523">
        <f t="shared" si="216"/>
        <v>1519</v>
      </c>
      <c r="B1523" t="s">
        <v>276</v>
      </c>
      <c r="C1523">
        <v>5</v>
      </c>
      <c r="D1523">
        <v>5</v>
      </c>
      <c r="E1523" t="s">
        <v>387</v>
      </c>
      <c r="F1523">
        <v>412</v>
      </c>
      <c r="G1523">
        <v>1</v>
      </c>
      <c r="H1523">
        <v>58</v>
      </c>
      <c r="I1523" t="s">
        <v>386</v>
      </c>
      <c r="J1523" t="s">
        <v>386</v>
      </c>
      <c r="K1523">
        <v>10000000</v>
      </c>
      <c r="L1523">
        <v>3</v>
      </c>
      <c r="M1523">
        <v>3</v>
      </c>
      <c r="N1523">
        <v>4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16</v>
      </c>
      <c r="V1523">
        <v>516.29712518999997</v>
      </c>
      <c r="AH1523">
        <f t="shared" si="212"/>
        <v>3</v>
      </c>
      <c r="AI1523">
        <f t="shared" si="213"/>
        <v>4</v>
      </c>
      <c r="AJ1523" t="str">
        <f t="shared" si="214"/>
        <v/>
      </c>
      <c r="AK1523" t="str">
        <f t="shared" si="215"/>
        <v/>
      </c>
      <c r="AL1523" t="str">
        <f t="shared" si="208"/>
        <v/>
      </c>
      <c r="AM1523" t="str">
        <f t="shared" si="209"/>
        <v/>
      </c>
      <c r="AN1523" t="str">
        <f t="shared" si="210"/>
        <v/>
      </c>
      <c r="AO1523" t="str">
        <f t="shared" si="211"/>
        <v/>
      </c>
    </row>
    <row r="1524" spans="1:41">
      <c r="A1524">
        <f t="shared" si="216"/>
        <v>1520</v>
      </c>
      <c r="B1524" t="s">
        <v>276</v>
      </c>
      <c r="C1524">
        <v>5</v>
      </c>
      <c r="D1524">
        <v>5</v>
      </c>
      <c r="E1524" t="s">
        <v>387</v>
      </c>
      <c r="F1524">
        <v>412</v>
      </c>
      <c r="G1524">
        <v>1</v>
      </c>
      <c r="H1524">
        <v>59</v>
      </c>
      <c r="I1524" t="s">
        <v>386</v>
      </c>
      <c r="J1524" t="s">
        <v>386</v>
      </c>
      <c r="K1524">
        <v>10000000</v>
      </c>
      <c r="L1524">
        <v>3</v>
      </c>
      <c r="M1524">
        <v>3</v>
      </c>
      <c r="N1524">
        <v>4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16</v>
      </c>
      <c r="V1524">
        <v>516.29712518999997</v>
      </c>
      <c r="AH1524">
        <f t="shared" si="212"/>
        <v>3</v>
      </c>
      <c r="AI1524">
        <f t="shared" si="213"/>
        <v>4</v>
      </c>
      <c r="AJ1524" t="str">
        <f t="shared" si="214"/>
        <v/>
      </c>
      <c r="AK1524" t="str">
        <f t="shared" si="215"/>
        <v/>
      </c>
      <c r="AL1524" t="str">
        <f t="shared" si="208"/>
        <v/>
      </c>
      <c r="AM1524" t="str">
        <f t="shared" si="209"/>
        <v/>
      </c>
      <c r="AN1524" t="str">
        <f t="shared" si="210"/>
        <v/>
      </c>
      <c r="AO1524" t="str">
        <f t="shared" si="211"/>
        <v/>
      </c>
    </row>
    <row r="1525" spans="1:41">
      <c r="A1525">
        <f t="shared" si="216"/>
        <v>1521</v>
      </c>
      <c r="B1525" t="s">
        <v>276</v>
      </c>
      <c r="C1525">
        <v>5</v>
      </c>
      <c r="D1525">
        <v>5</v>
      </c>
      <c r="E1525" t="s">
        <v>387</v>
      </c>
      <c r="F1525">
        <v>412</v>
      </c>
      <c r="G1525">
        <v>1</v>
      </c>
      <c r="H1525">
        <v>60</v>
      </c>
      <c r="I1525" t="s">
        <v>386</v>
      </c>
      <c r="J1525" t="s">
        <v>386</v>
      </c>
      <c r="K1525">
        <v>10000000</v>
      </c>
      <c r="L1525">
        <v>3</v>
      </c>
      <c r="M1525">
        <v>3</v>
      </c>
      <c r="N1525">
        <v>4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16</v>
      </c>
      <c r="V1525">
        <v>516.29712518999997</v>
      </c>
      <c r="AH1525">
        <f t="shared" si="212"/>
        <v>3</v>
      </c>
      <c r="AI1525">
        <f t="shared" si="213"/>
        <v>4</v>
      </c>
      <c r="AJ1525" t="str">
        <f t="shared" si="214"/>
        <v/>
      </c>
      <c r="AK1525" t="str">
        <f t="shared" si="215"/>
        <v/>
      </c>
      <c r="AL1525" t="str">
        <f t="shared" si="208"/>
        <v/>
      </c>
      <c r="AM1525" t="str">
        <f t="shared" si="209"/>
        <v/>
      </c>
      <c r="AN1525" t="str">
        <f t="shared" si="210"/>
        <v/>
      </c>
      <c r="AO1525" t="str">
        <f t="shared" si="211"/>
        <v/>
      </c>
    </row>
    <row r="1526" spans="1:41">
      <c r="A1526">
        <f t="shared" si="216"/>
        <v>1522</v>
      </c>
      <c r="B1526" t="s">
        <v>276</v>
      </c>
      <c r="C1526">
        <v>5</v>
      </c>
      <c r="D1526">
        <v>5</v>
      </c>
      <c r="E1526" t="s">
        <v>387</v>
      </c>
      <c r="F1526">
        <v>412</v>
      </c>
      <c r="G1526">
        <v>1</v>
      </c>
      <c r="H1526">
        <v>61</v>
      </c>
      <c r="I1526" t="s">
        <v>386</v>
      </c>
      <c r="J1526" t="s">
        <v>386</v>
      </c>
      <c r="K1526">
        <v>10000000</v>
      </c>
      <c r="L1526">
        <v>3</v>
      </c>
      <c r="M1526">
        <v>3</v>
      </c>
      <c r="N1526">
        <v>4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16</v>
      </c>
      <c r="V1526">
        <v>516.29712518999997</v>
      </c>
      <c r="AH1526">
        <f t="shared" si="212"/>
        <v>3</v>
      </c>
      <c r="AI1526">
        <f t="shared" si="213"/>
        <v>4</v>
      </c>
      <c r="AJ1526" t="str">
        <f t="shared" si="214"/>
        <v/>
      </c>
      <c r="AK1526" t="str">
        <f t="shared" si="215"/>
        <v/>
      </c>
      <c r="AL1526" t="str">
        <f t="shared" si="208"/>
        <v/>
      </c>
      <c r="AM1526" t="str">
        <f t="shared" si="209"/>
        <v/>
      </c>
      <c r="AN1526" t="str">
        <f t="shared" si="210"/>
        <v/>
      </c>
      <c r="AO1526" t="str">
        <f t="shared" si="211"/>
        <v/>
      </c>
    </row>
    <row r="1527" spans="1:41">
      <c r="A1527">
        <f t="shared" si="216"/>
        <v>1523</v>
      </c>
      <c r="B1527" t="s">
        <v>276</v>
      </c>
      <c r="C1527">
        <v>5</v>
      </c>
      <c r="D1527">
        <v>5</v>
      </c>
      <c r="E1527" t="s">
        <v>387</v>
      </c>
      <c r="F1527">
        <v>412</v>
      </c>
      <c r="G1527">
        <v>1</v>
      </c>
      <c r="H1527">
        <v>62</v>
      </c>
      <c r="I1527" t="s">
        <v>386</v>
      </c>
      <c r="J1527" t="s">
        <v>386</v>
      </c>
      <c r="K1527">
        <v>10000000</v>
      </c>
      <c r="L1527">
        <v>3</v>
      </c>
      <c r="M1527">
        <v>3</v>
      </c>
      <c r="N1527">
        <v>4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16</v>
      </c>
      <c r="V1527">
        <v>516.29712518999997</v>
      </c>
      <c r="AH1527">
        <f t="shared" si="212"/>
        <v>3</v>
      </c>
      <c r="AI1527">
        <f t="shared" si="213"/>
        <v>4</v>
      </c>
      <c r="AJ1527" t="str">
        <f t="shared" si="214"/>
        <v/>
      </c>
      <c r="AK1527" t="str">
        <f t="shared" si="215"/>
        <v/>
      </c>
      <c r="AL1527" t="str">
        <f t="shared" si="208"/>
        <v/>
      </c>
      <c r="AM1527" t="str">
        <f t="shared" si="209"/>
        <v/>
      </c>
      <c r="AN1527" t="str">
        <f t="shared" si="210"/>
        <v/>
      </c>
      <c r="AO1527" t="str">
        <f t="shared" si="211"/>
        <v/>
      </c>
    </row>
    <row r="1528" spans="1:41">
      <c r="A1528">
        <f t="shared" si="216"/>
        <v>1524</v>
      </c>
      <c r="B1528" t="s">
        <v>276</v>
      </c>
      <c r="C1528">
        <v>5</v>
      </c>
      <c r="D1528">
        <v>5</v>
      </c>
      <c r="E1528" t="s">
        <v>387</v>
      </c>
      <c r="F1528">
        <v>412</v>
      </c>
      <c r="G1528">
        <v>1</v>
      </c>
      <c r="H1528">
        <v>63</v>
      </c>
      <c r="I1528" t="s">
        <v>386</v>
      </c>
      <c r="J1528" t="s">
        <v>386</v>
      </c>
      <c r="K1528">
        <v>10000000</v>
      </c>
      <c r="L1528">
        <v>3</v>
      </c>
      <c r="M1528">
        <v>3</v>
      </c>
      <c r="N1528">
        <v>4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16</v>
      </c>
      <c r="V1528">
        <v>516.29712518999997</v>
      </c>
      <c r="AH1528">
        <f t="shared" si="212"/>
        <v>3</v>
      </c>
      <c r="AI1528">
        <f t="shared" si="213"/>
        <v>4</v>
      </c>
      <c r="AJ1528" t="str">
        <f t="shared" si="214"/>
        <v/>
      </c>
      <c r="AK1528" t="str">
        <f t="shared" si="215"/>
        <v/>
      </c>
      <c r="AL1528" t="str">
        <f t="shared" si="208"/>
        <v/>
      </c>
      <c r="AM1528" t="str">
        <f t="shared" si="209"/>
        <v/>
      </c>
      <c r="AN1528" t="str">
        <f t="shared" si="210"/>
        <v/>
      </c>
      <c r="AO1528" t="str">
        <f t="shared" si="211"/>
        <v/>
      </c>
    </row>
    <row r="1529" spans="1:41">
      <c r="A1529">
        <f t="shared" si="216"/>
        <v>1525</v>
      </c>
      <c r="B1529" t="s">
        <v>276</v>
      </c>
      <c r="C1529">
        <v>5</v>
      </c>
      <c r="D1529">
        <v>5</v>
      </c>
      <c r="E1529" t="s">
        <v>387</v>
      </c>
      <c r="F1529">
        <v>412</v>
      </c>
      <c r="G1529">
        <v>1</v>
      </c>
      <c r="H1529">
        <v>64</v>
      </c>
      <c r="I1529" t="s">
        <v>386</v>
      </c>
      <c r="J1529" t="s">
        <v>386</v>
      </c>
      <c r="K1529">
        <v>10000000</v>
      </c>
      <c r="L1529">
        <v>3</v>
      </c>
      <c r="M1529">
        <v>3</v>
      </c>
      <c r="N1529">
        <v>4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16</v>
      </c>
      <c r="V1529">
        <v>516.29712518999997</v>
      </c>
      <c r="AH1529">
        <f t="shared" si="212"/>
        <v>3</v>
      </c>
      <c r="AI1529">
        <f t="shared" si="213"/>
        <v>4</v>
      </c>
      <c r="AJ1529" t="str">
        <f t="shared" si="214"/>
        <v/>
      </c>
      <c r="AK1529" t="str">
        <f t="shared" si="215"/>
        <v/>
      </c>
      <c r="AL1529" t="str">
        <f t="shared" si="208"/>
        <v/>
      </c>
      <c r="AM1529" t="str">
        <f t="shared" si="209"/>
        <v/>
      </c>
      <c r="AN1529" t="str">
        <f t="shared" si="210"/>
        <v/>
      </c>
      <c r="AO1529" t="str">
        <f t="shared" si="211"/>
        <v/>
      </c>
    </row>
    <row r="1530" spans="1:41">
      <c r="A1530">
        <f t="shared" si="216"/>
        <v>1526</v>
      </c>
      <c r="B1530" t="s">
        <v>276</v>
      </c>
      <c r="C1530">
        <v>5</v>
      </c>
      <c r="D1530">
        <v>5</v>
      </c>
      <c r="E1530" t="s">
        <v>387</v>
      </c>
      <c r="F1530">
        <v>412</v>
      </c>
      <c r="G1530">
        <v>1</v>
      </c>
      <c r="H1530">
        <v>65</v>
      </c>
      <c r="I1530" t="s">
        <v>386</v>
      </c>
      <c r="J1530" t="s">
        <v>386</v>
      </c>
      <c r="K1530">
        <v>10000000</v>
      </c>
      <c r="L1530">
        <v>3</v>
      </c>
      <c r="M1530">
        <v>3</v>
      </c>
      <c r="N1530">
        <v>4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16</v>
      </c>
      <c r="V1530">
        <v>516.29712518999997</v>
      </c>
      <c r="AH1530">
        <f t="shared" si="212"/>
        <v>3</v>
      </c>
      <c r="AI1530">
        <f t="shared" si="213"/>
        <v>4</v>
      </c>
      <c r="AJ1530" t="str">
        <f t="shared" si="214"/>
        <v/>
      </c>
      <c r="AK1530" t="str">
        <f t="shared" si="215"/>
        <v/>
      </c>
      <c r="AL1530" t="str">
        <f t="shared" si="208"/>
        <v/>
      </c>
      <c r="AM1530" t="str">
        <f t="shared" si="209"/>
        <v/>
      </c>
      <c r="AN1530" t="str">
        <f t="shared" si="210"/>
        <v/>
      </c>
      <c r="AO1530" t="str">
        <f t="shared" si="211"/>
        <v/>
      </c>
    </row>
    <row r="1531" spans="1:41">
      <c r="A1531">
        <f t="shared" si="216"/>
        <v>1527</v>
      </c>
      <c r="B1531" t="s">
        <v>276</v>
      </c>
      <c r="C1531">
        <v>5</v>
      </c>
      <c r="D1531">
        <v>5</v>
      </c>
      <c r="E1531" t="s">
        <v>387</v>
      </c>
      <c r="F1531">
        <v>412</v>
      </c>
      <c r="G1531">
        <v>1</v>
      </c>
      <c r="H1531">
        <v>66</v>
      </c>
      <c r="I1531" t="s">
        <v>386</v>
      </c>
      <c r="J1531" t="s">
        <v>386</v>
      </c>
      <c r="K1531">
        <v>10000000</v>
      </c>
      <c r="L1531">
        <v>3</v>
      </c>
      <c r="M1531">
        <v>3</v>
      </c>
      <c r="N1531">
        <v>4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16</v>
      </c>
      <c r="V1531">
        <v>516.29712518999997</v>
      </c>
      <c r="AH1531">
        <f t="shared" si="212"/>
        <v>3</v>
      </c>
      <c r="AI1531">
        <f t="shared" si="213"/>
        <v>4</v>
      </c>
      <c r="AJ1531" t="str">
        <f t="shared" si="214"/>
        <v/>
      </c>
      <c r="AK1531" t="str">
        <f t="shared" si="215"/>
        <v/>
      </c>
      <c r="AL1531" t="str">
        <f t="shared" si="208"/>
        <v/>
      </c>
      <c r="AM1531" t="str">
        <f t="shared" si="209"/>
        <v/>
      </c>
      <c r="AN1531" t="str">
        <f t="shared" si="210"/>
        <v/>
      </c>
      <c r="AO1531" t="str">
        <f t="shared" si="211"/>
        <v/>
      </c>
    </row>
    <row r="1532" spans="1:41">
      <c r="A1532">
        <f t="shared" si="216"/>
        <v>1528</v>
      </c>
      <c r="B1532" t="s">
        <v>276</v>
      </c>
      <c r="C1532">
        <v>5</v>
      </c>
      <c r="D1532">
        <v>5</v>
      </c>
      <c r="E1532" t="s">
        <v>387</v>
      </c>
      <c r="F1532">
        <v>412</v>
      </c>
      <c r="G1532">
        <v>1</v>
      </c>
      <c r="H1532">
        <v>67</v>
      </c>
      <c r="I1532" t="s">
        <v>386</v>
      </c>
      <c r="J1532" t="s">
        <v>386</v>
      </c>
      <c r="K1532">
        <v>10000000</v>
      </c>
      <c r="L1532">
        <v>3</v>
      </c>
      <c r="M1532">
        <v>3</v>
      </c>
      <c r="N1532">
        <v>4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16</v>
      </c>
      <c r="V1532">
        <v>516.29712518999997</v>
      </c>
      <c r="AH1532">
        <f t="shared" si="212"/>
        <v>3</v>
      </c>
      <c r="AI1532">
        <f t="shared" si="213"/>
        <v>4</v>
      </c>
      <c r="AJ1532" t="str">
        <f t="shared" si="214"/>
        <v/>
      </c>
      <c r="AK1532" t="str">
        <f t="shared" si="215"/>
        <v/>
      </c>
      <c r="AL1532" t="str">
        <f t="shared" si="208"/>
        <v/>
      </c>
      <c r="AM1532" t="str">
        <f t="shared" si="209"/>
        <v/>
      </c>
      <c r="AN1532" t="str">
        <f t="shared" si="210"/>
        <v/>
      </c>
      <c r="AO1532" t="str">
        <f t="shared" si="211"/>
        <v/>
      </c>
    </row>
    <row r="1533" spans="1:41">
      <c r="A1533">
        <f t="shared" si="216"/>
        <v>1529</v>
      </c>
      <c r="B1533" t="s">
        <v>276</v>
      </c>
      <c r="C1533">
        <v>5</v>
      </c>
      <c r="D1533">
        <v>5</v>
      </c>
      <c r="E1533" t="s">
        <v>387</v>
      </c>
      <c r="F1533">
        <v>412</v>
      </c>
      <c r="G1533">
        <v>1</v>
      </c>
      <c r="H1533">
        <v>68</v>
      </c>
      <c r="I1533" t="s">
        <v>386</v>
      </c>
      <c r="J1533" t="s">
        <v>386</v>
      </c>
      <c r="K1533">
        <v>10000000</v>
      </c>
      <c r="L1533">
        <v>3</v>
      </c>
      <c r="M1533">
        <v>3</v>
      </c>
      <c r="N1533">
        <v>4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16</v>
      </c>
      <c r="V1533">
        <v>516.29712518999997</v>
      </c>
      <c r="AH1533">
        <f t="shared" si="212"/>
        <v>3</v>
      </c>
      <c r="AI1533">
        <f t="shared" si="213"/>
        <v>4</v>
      </c>
      <c r="AJ1533" t="str">
        <f t="shared" si="214"/>
        <v/>
      </c>
      <c r="AK1533" t="str">
        <f t="shared" si="215"/>
        <v/>
      </c>
      <c r="AL1533" t="str">
        <f t="shared" si="208"/>
        <v/>
      </c>
      <c r="AM1533" t="str">
        <f t="shared" si="209"/>
        <v/>
      </c>
      <c r="AN1533" t="str">
        <f t="shared" si="210"/>
        <v/>
      </c>
      <c r="AO1533" t="str">
        <f t="shared" si="211"/>
        <v/>
      </c>
    </row>
    <row r="1534" spans="1:41">
      <c r="A1534">
        <f t="shared" si="216"/>
        <v>1530</v>
      </c>
      <c r="B1534" t="s">
        <v>276</v>
      </c>
      <c r="C1534">
        <v>5</v>
      </c>
      <c r="D1534">
        <v>5</v>
      </c>
      <c r="E1534" t="s">
        <v>387</v>
      </c>
      <c r="F1534">
        <v>412</v>
      </c>
      <c r="G1534">
        <v>1</v>
      </c>
      <c r="H1534">
        <v>69</v>
      </c>
      <c r="I1534" t="s">
        <v>386</v>
      </c>
      <c r="J1534" t="s">
        <v>386</v>
      </c>
      <c r="K1534">
        <v>10000000</v>
      </c>
      <c r="L1534">
        <v>3</v>
      </c>
      <c r="M1534">
        <v>3</v>
      </c>
      <c r="N1534">
        <v>4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16</v>
      </c>
      <c r="V1534">
        <v>516.29712518999997</v>
      </c>
      <c r="AH1534">
        <f t="shared" si="212"/>
        <v>3</v>
      </c>
      <c r="AI1534">
        <f t="shared" si="213"/>
        <v>4</v>
      </c>
      <c r="AJ1534" t="str">
        <f t="shared" si="214"/>
        <v/>
      </c>
      <c r="AK1534" t="str">
        <f t="shared" si="215"/>
        <v/>
      </c>
      <c r="AL1534" t="str">
        <f t="shared" si="208"/>
        <v/>
      </c>
      <c r="AM1534" t="str">
        <f t="shared" si="209"/>
        <v/>
      </c>
      <c r="AN1534" t="str">
        <f t="shared" si="210"/>
        <v/>
      </c>
      <c r="AO1534" t="str">
        <f t="shared" si="211"/>
        <v/>
      </c>
    </row>
    <row r="1535" spans="1:41">
      <c r="A1535">
        <f t="shared" si="216"/>
        <v>1531</v>
      </c>
      <c r="B1535" t="s">
        <v>276</v>
      </c>
      <c r="C1535">
        <v>5</v>
      </c>
      <c r="D1535">
        <v>5</v>
      </c>
      <c r="E1535" t="s">
        <v>387</v>
      </c>
      <c r="F1535">
        <v>412</v>
      </c>
      <c r="G1535">
        <v>1</v>
      </c>
      <c r="H1535">
        <v>70</v>
      </c>
      <c r="I1535" t="s">
        <v>386</v>
      </c>
      <c r="J1535" t="s">
        <v>386</v>
      </c>
      <c r="K1535">
        <v>10000000</v>
      </c>
      <c r="L1535">
        <v>3</v>
      </c>
      <c r="M1535">
        <v>3</v>
      </c>
      <c r="N1535">
        <v>4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16</v>
      </c>
      <c r="V1535">
        <v>516.29712518999997</v>
      </c>
      <c r="AH1535">
        <f t="shared" si="212"/>
        <v>3</v>
      </c>
      <c r="AI1535">
        <f t="shared" si="213"/>
        <v>4</v>
      </c>
      <c r="AJ1535" t="str">
        <f t="shared" si="214"/>
        <v/>
      </c>
      <c r="AK1535" t="str">
        <f t="shared" si="215"/>
        <v/>
      </c>
      <c r="AL1535" t="str">
        <f t="shared" si="208"/>
        <v/>
      </c>
      <c r="AM1535" t="str">
        <f t="shared" si="209"/>
        <v/>
      </c>
      <c r="AN1535" t="str">
        <f t="shared" si="210"/>
        <v/>
      </c>
      <c r="AO1535" t="str">
        <f t="shared" si="211"/>
        <v/>
      </c>
    </row>
    <row r="1536" spans="1:41">
      <c r="A1536">
        <f t="shared" si="216"/>
        <v>1532</v>
      </c>
      <c r="B1536" t="s">
        <v>276</v>
      </c>
      <c r="C1536">
        <v>5</v>
      </c>
      <c r="D1536">
        <v>5</v>
      </c>
      <c r="E1536" t="s">
        <v>387</v>
      </c>
      <c r="F1536">
        <v>412</v>
      </c>
      <c r="G1536">
        <v>1</v>
      </c>
      <c r="H1536">
        <v>71</v>
      </c>
      <c r="I1536" t="s">
        <v>386</v>
      </c>
      <c r="J1536" t="s">
        <v>386</v>
      </c>
      <c r="K1536">
        <v>10000000</v>
      </c>
      <c r="L1536">
        <v>3</v>
      </c>
      <c r="M1536">
        <v>3</v>
      </c>
      <c r="N1536">
        <v>4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16</v>
      </c>
      <c r="V1536">
        <v>516.29712518999997</v>
      </c>
      <c r="AH1536">
        <f t="shared" si="212"/>
        <v>3</v>
      </c>
      <c r="AI1536">
        <f t="shared" si="213"/>
        <v>4</v>
      </c>
      <c r="AJ1536" t="str">
        <f t="shared" si="214"/>
        <v/>
      </c>
      <c r="AK1536" t="str">
        <f t="shared" si="215"/>
        <v/>
      </c>
      <c r="AL1536" t="str">
        <f t="shared" si="208"/>
        <v/>
      </c>
      <c r="AM1536" t="str">
        <f t="shared" si="209"/>
        <v/>
      </c>
      <c r="AN1536" t="str">
        <f t="shared" si="210"/>
        <v/>
      </c>
      <c r="AO1536" t="str">
        <f t="shared" si="211"/>
        <v/>
      </c>
    </row>
    <row r="1537" spans="1:41">
      <c r="A1537">
        <f t="shared" si="216"/>
        <v>1533</v>
      </c>
      <c r="B1537" t="s">
        <v>276</v>
      </c>
      <c r="C1537">
        <v>5</v>
      </c>
      <c r="D1537">
        <v>5</v>
      </c>
      <c r="E1537" t="s">
        <v>387</v>
      </c>
      <c r="F1537">
        <v>412</v>
      </c>
      <c r="G1537">
        <v>1</v>
      </c>
      <c r="H1537">
        <v>72</v>
      </c>
      <c r="I1537" t="s">
        <v>386</v>
      </c>
      <c r="J1537" t="s">
        <v>386</v>
      </c>
      <c r="K1537">
        <v>10000000</v>
      </c>
      <c r="L1537">
        <v>3</v>
      </c>
      <c r="M1537">
        <v>3</v>
      </c>
      <c r="N1537">
        <v>4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16</v>
      </c>
      <c r="V1537">
        <v>516.29712518999997</v>
      </c>
      <c r="AH1537">
        <f t="shared" si="212"/>
        <v>3</v>
      </c>
      <c r="AI1537">
        <f t="shared" si="213"/>
        <v>4</v>
      </c>
      <c r="AJ1537" t="str">
        <f t="shared" si="214"/>
        <v/>
      </c>
      <c r="AK1537" t="str">
        <f t="shared" si="215"/>
        <v/>
      </c>
      <c r="AL1537" t="str">
        <f t="shared" si="208"/>
        <v/>
      </c>
      <c r="AM1537" t="str">
        <f t="shared" si="209"/>
        <v/>
      </c>
      <c r="AN1537" t="str">
        <f t="shared" si="210"/>
        <v/>
      </c>
      <c r="AO1537" t="str">
        <f t="shared" si="211"/>
        <v/>
      </c>
    </row>
    <row r="1538" spans="1:41">
      <c r="A1538">
        <f t="shared" si="216"/>
        <v>1534</v>
      </c>
      <c r="B1538" t="s">
        <v>276</v>
      </c>
      <c r="C1538">
        <v>5</v>
      </c>
      <c r="D1538">
        <v>5</v>
      </c>
      <c r="E1538" t="s">
        <v>387</v>
      </c>
      <c r="F1538">
        <v>412</v>
      </c>
      <c r="G1538">
        <v>1</v>
      </c>
      <c r="H1538">
        <v>73</v>
      </c>
      <c r="I1538" t="s">
        <v>386</v>
      </c>
      <c r="J1538" t="s">
        <v>386</v>
      </c>
      <c r="K1538">
        <v>10000000</v>
      </c>
      <c r="L1538">
        <v>3</v>
      </c>
      <c r="M1538">
        <v>3</v>
      </c>
      <c r="N1538">
        <v>4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16</v>
      </c>
      <c r="V1538">
        <v>516.29712518999997</v>
      </c>
      <c r="AH1538">
        <f t="shared" si="212"/>
        <v>3</v>
      </c>
      <c r="AI1538">
        <f t="shared" si="213"/>
        <v>4</v>
      </c>
      <c r="AJ1538" t="str">
        <f t="shared" si="214"/>
        <v/>
      </c>
      <c r="AK1538" t="str">
        <f t="shared" si="215"/>
        <v/>
      </c>
      <c r="AL1538" t="str">
        <f t="shared" si="208"/>
        <v/>
      </c>
      <c r="AM1538" t="str">
        <f t="shared" si="209"/>
        <v/>
      </c>
      <c r="AN1538" t="str">
        <f t="shared" si="210"/>
        <v/>
      </c>
      <c r="AO1538" t="str">
        <f t="shared" si="211"/>
        <v/>
      </c>
    </row>
    <row r="1539" spans="1:41">
      <c r="A1539">
        <f t="shared" si="216"/>
        <v>1535</v>
      </c>
      <c r="B1539" t="s">
        <v>276</v>
      </c>
      <c r="C1539">
        <v>5</v>
      </c>
      <c r="D1539">
        <v>5</v>
      </c>
      <c r="E1539" t="s">
        <v>387</v>
      </c>
      <c r="F1539">
        <v>412</v>
      </c>
      <c r="G1539">
        <v>1</v>
      </c>
      <c r="H1539">
        <v>74</v>
      </c>
      <c r="I1539" t="s">
        <v>386</v>
      </c>
      <c r="J1539" t="s">
        <v>386</v>
      </c>
      <c r="K1539">
        <v>10000000</v>
      </c>
      <c r="L1539">
        <v>3</v>
      </c>
      <c r="M1539">
        <v>3</v>
      </c>
      <c r="N1539">
        <v>4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16</v>
      </c>
      <c r="V1539">
        <v>516.29712518999997</v>
      </c>
      <c r="AH1539">
        <f t="shared" si="212"/>
        <v>3</v>
      </c>
      <c r="AI1539">
        <f t="shared" si="213"/>
        <v>4</v>
      </c>
      <c r="AJ1539" t="str">
        <f t="shared" si="214"/>
        <v/>
      </c>
      <c r="AK1539" t="str">
        <f t="shared" si="215"/>
        <v/>
      </c>
      <c r="AL1539" t="str">
        <f t="shared" si="208"/>
        <v/>
      </c>
      <c r="AM1539" t="str">
        <f t="shared" si="209"/>
        <v/>
      </c>
      <c r="AN1539" t="str">
        <f t="shared" si="210"/>
        <v/>
      </c>
      <c r="AO1539" t="str">
        <f t="shared" si="211"/>
        <v/>
      </c>
    </row>
    <row r="1540" spans="1:41">
      <c r="A1540">
        <f t="shared" si="216"/>
        <v>1536</v>
      </c>
      <c r="B1540" t="s">
        <v>276</v>
      </c>
      <c r="C1540">
        <v>5</v>
      </c>
      <c r="D1540">
        <v>5</v>
      </c>
      <c r="E1540" t="s">
        <v>387</v>
      </c>
      <c r="F1540">
        <v>412</v>
      </c>
      <c r="G1540">
        <v>1</v>
      </c>
      <c r="H1540">
        <v>75</v>
      </c>
      <c r="I1540" t="s">
        <v>386</v>
      </c>
      <c r="J1540" t="s">
        <v>386</v>
      </c>
      <c r="K1540">
        <v>10000000</v>
      </c>
      <c r="L1540">
        <v>3</v>
      </c>
      <c r="M1540">
        <v>3</v>
      </c>
      <c r="N1540">
        <v>4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16</v>
      </c>
      <c r="V1540">
        <v>516.29712518999997</v>
      </c>
      <c r="AH1540">
        <f t="shared" si="212"/>
        <v>3</v>
      </c>
      <c r="AI1540">
        <f t="shared" si="213"/>
        <v>4</v>
      </c>
      <c r="AJ1540" t="str">
        <f t="shared" si="214"/>
        <v/>
      </c>
      <c r="AK1540" t="str">
        <f t="shared" si="215"/>
        <v/>
      </c>
      <c r="AL1540" t="str">
        <f t="shared" si="208"/>
        <v/>
      </c>
      <c r="AM1540" t="str">
        <f t="shared" si="209"/>
        <v/>
      </c>
      <c r="AN1540" t="str">
        <f t="shared" si="210"/>
        <v/>
      </c>
      <c r="AO1540" t="str">
        <f t="shared" si="211"/>
        <v/>
      </c>
    </row>
    <row r="1541" spans="1:41">
      <c r="A1541">
        <f t="shared" si="216"/>
        <v>1537</v>
      </c>
      <c r="B1541" t="s">
        <v>276</v>
      </c>
      <c r="C1541">
        <v>5</v>
      </c>
      <c r="D1541">
        <v>5</v>
      </c>
      <c r="E1541" t="s">
        <v>387</v>
      </c>
      <c r="F1541">
        <v>412</v>
      </c>
      <c r="G1541">
        <v>1</v>
      </c>
      <c r="H1541">
        <v>76</v>
      </c>
      <c r="I1541" t="s">
        <v>386</v>
      </c>
      <c r="J1541" t="s">
        <v>386</v>
      </c>
      <c r="K1541">
        <v>10000000</v>
      </c>
      <c r="L1541">
        <v>3</v>
      </c>
      <c r="M1541">
        <v>3</v>
      </c>
      <c r="N1541">
        <v>4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16</v>
      </c>
      <c r="V1541">
        <v>516.29712518999997</v>
      </c>
      <c r="AH1541">
        <f t="shared" si="212"/>
        <v>3</v>
      </c>
      <c r="AI1541">
        <f t="shared" si="213"/>
        <v>4</v>
      </c>
      <c r="AJ1541" t="str">
        <f t="shared" si="214"/>
        <v/>
      </c>
      <c r="AK1541" t="str">
        <f t="shared" si="215"/>
        <v/>
      </c>
      <c r="AL1541" t="str">
        <f t="shared" ref="AL1541:AL1604" si="217">IF(Q1541=AC1541, "", Q1541-AC1541)</f>
        <v/>
      </c>
      <c r="AM1541" t="str">
        <f t="shared" ref="AM1541:AM1604" si="218">IF(R1541=AD1541, "", R1541-AD1541)</f>
        <v/>
      </c>
      <c r="AN1541" t="str">
        <f t="shared" ref="AN1541:AN1604" si="219">IF(S1541=AE1541, "", S1541-AE1541)</f>
        <v/>
      </c>
      <c r="AO1541" t="str">
        <f t="shared" ref="AO1541:AO1604" si="220">IF(T1541=AF1541, "", T1541-AF1541)</f>
        <v/>
      </c>
    </row>
    <row r="1542" spans="1:41">
      <c r="A1542">
        <f t="shared" si="216"/>
        <v>1538</v>
      </c>
      <c r="B1542" t="s">
        <v>276</v>
      </c>
      <c r="C1542">
        <v>5</v>
      </c>
      <c r="D1542">
        <v>5</v>
      </c>
      <c r="E1542" t="s">
        <v>387</v>
      </c>
      <c r="F1542">
        <v>412</v>
      </c>
      <c r="G1542">
        <v>1</v>
      </c>
      <c r="H1542">
        <v>77</v>
      </c>
      <c r="I1542" t="s">
        <v>386</v>
      </c>
      <c r="J1542" t="s">
        <v>386</v>
      </c>
      <c r="K1542">
        <v>10000000</v>
      </c>
      <c r="L1542">
        <v>3</v>
      </c>
      <c r="M1542">
        <v>3</v>
      </c>
      <c r="N1542">
        <v>4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16</v>
      </c>
      <c r="V1542">
        <v>516.29712518999997</v>
      </c>
      <c r="AH1542">
        <f t="shared" ref="AH1542:AH1605" si="221">IF(L1542=Y1542, "",L1542-Y1542)</f>
        <v>3</v>
      </c>
      <c r="AI1542">
        <f t="shared" ref="AI1542:AI1605" si="222">IF(N1542=Z1542, "", N1542-Z1542)</f>
        <v>4</v>
      </c>
      <c r="AJ1542" t="str">
        <f t="shared" ref="AJ1542:AJ1605" si="223">IF(O1542=AA1542, "", O1542-AA1542)</f>
        <v/>
      </c>
      <c r="AK1542" t="str">
        <f t="shared" ref="AK1542:AK1605" si="224">IF(P1542=AB1542, "", P1542-AB1542)</f>
        <v/>
      </c>
      <c r="AL1542" t="str">
        <f t="shared" si="217"/>
        <v/>
      </c>
      <c r="AM1542" t="str">
        <f t="shared" si="218"/>
        <v/>
      </c>
      <c r="AN1542" t="str">
        <f t="shared" si="219"/>
        <v/>
      </c>
      <c r="AO1542" t="str">
        <f t="shared" si="220"/>
        <v/>
      </c>
    </row>
    <row r="1543" spans="1:41">
      <c r="A1543">
        <f t="shared" ref="A1543:A1606" si="225">A1542+1</f>
        <v>1539</v>
      </c>
      <c r="B1543" t="s">
        <v>276</v>
      </c>
      <c r="C1543">
        <v>5</v>
      </c>
      <c r="D1543">
        <v>5</v>
      </c>
      <c r="E1543" t="s">
        <v>387</v>
      </c>
      <c r="F1543">
        <v>412</v>
      </c>
      <c r="G1543">
        <v>1</v>
      </c>
      <c r="H1543">
        <v>78</v>
      </c>
      <c r="I1543" t="s">
        <v>386</v>
      </c>
      <c r="J1543" t="s">
        <v>386</v>
      </c>
      <c r="K1543">
        <v>10000000</v>
      </c>
      <c r="L1543">
        <v>3</v>
      </c>
      <c r="M1543">
        <v>3</v>
      </c>
      <c r="N1543">
        <v>4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16</v>
      </c>
      <c r="V1543">
        <v>516.29712518999997</v>
      </c>
      <c r="AH1543">
        <f t="shared" si="221"/>
        <v>3</v>
      </c>
      <c r="AI1543">
        <f t="shared" si="222"/>
        <v>4</v>
      </c>
      <c r="AJ1543" t="str">
        <f t="shared" si="223"/>
        <v/>
      </c>
      <c r="AK1543" t="str">
        <f t="shared" si="224"/>
        <v/>
      </c>
      <c r="AL1543" t="str">
        <f t="shared" si="217"/>
        <v/>
      </c>
      <c r="AM1543" t="str">
        <f t="shared" si="218"/>
        <v/>
      </c>
      <c r="AN1543" t="str">
        <f t="shared" si="219"/>
        <v/>
      </c>
      <c r="AO1543" t="str">
        <f t="shared" si="220"/>
        <v/>
      </c>
    </row>
    <row r="1544" spans="1:41">
      <c r="A1544">
        <f t="shared" si="225"/>
        <v>1540</v>
      </c>
      <c r="B1544" t="s">
        <v>276</v>
      </c>
      <c r="C1544">
        <v>5</v>
      </c>
      <c r="D1544">
        <v>5</v>
      </c>
      <c r="E1544" t="s">
        <v>387</v>
      </c>
      <c r="F1544">
        <v>412</v>
      </c>
      <c r="G1544">
        <v>1</v>
      </c>
      <c r="H1544">
        <v>79</v>
      </c>
      <c r="I1544" t="s">
        <v>386</v>
      </c>
      <c r="J1544" t="s">
        <v>386</v>
      </c>
      <c r="K1544">
        <v>10000000</v>
      </c>
      <c r="L1544">
        <v>3</v>
      </c>
      <c r="M1544">
        <v>3</v>
      </c>
      <c r="N1544">
        <v>4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16</v>
      </c>
      <c r="V1544">
        <v>516.29712518999997</v>
      </c>
      <c r="AH1544">
        <f t="shared" si="221"/>
        <v>3</v>
      </c>
      <c r="AI1544">
        <f t="shared" si="222"/>
        <v>4</v>
      </c>
      <c r="AJ1544" t="str">
        <f t="shared" si="223"/>
        <v/>
      </c>
      <c r="AK1544" t="str">
        <f t="shared" si="224"/>
        <v/>
      </c>
      <c r="AL1544" t="str">
        <f t="shared" si="217"/>
        <v/>
      </c>
      <c r="AM1544" t="str">
        <f t="shared" si="218"/>
        <v/>
      </c>
      <c r="AN1544" t="str">
        <f t="shared" si="219"/>
        <v/>
      </c>
      <c r="AO1544" t="str">
        <f t="shared" si="220"/>
        <v/>
      </c>
    </row>
    <row r="1545" spans="1:41">
      <c r="A1545">
        <f t="shared" si="225"/>
        <v>1541</v>
      </c>
      <c r="B1545" t="s">
        <v>276</v>
      </c>
      <c r="C1545">
        <v>5</v>
      </c>
      <c r="D1545">
        <v>5</v>
      </c>
      <c r="E1545" t="s">
        <v>387</v>
      </c>
      <c r="F1545">
        <v>412</v>
      </c>
      <c r="G1545">
        <v>1</v>
      </c>
      <c r="H1545">
        <v>80</v>
      </c>
      <c r="I1545" t="s">
        <v>386</v>
      </c>
      <c r="J1545" t="s">
        <v>386</v>
      </c>
      <c r="K1545">
        <v>10000000</v>
      </c>
      <c r="L1545">
        <v>3</v>
      </c>
      <c r="M1545">
        <v>3</v>
      </c>
      <c r="N1545">
        <v>4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16</v>
      </c>
      <c r="V1545">
        <v>516.29712518999997</v>
      </c>
      <c r="AH1545">
        <f t="shared" si="221"/>
        <v>3</v>
      </c>
      <c r="AI1545">
        <f t="shared" si="222"/>
        <v>4</v>
      </c>
      <c r="AJ1545" t="str">
        <f t="shared" si="223"/>
        <v/>
      </c>
      <c r="AK1545" t="str">
        <f t="shared" si="224"/>
        <v/>
      </c>
      <c r="AL1545" t="str">
        <f t="shared" si="217"/>
        <v/>
      </c>
      <c r="AM1545" t="str">
        <f t="shared" si="218"/>
        <v/>
      </c>
      <c r="AN1545" t="str">
        <f t="shared" si="219"/>
        <v/>
      </c>
      <c r="AO1545" t="str">
        <f t="shared" si="220"/>
        <v/>
      </c>
    </row>
    <row r="1546" spans="1:41">
      <c r="A1546">
        <f t="shared" si="225"/>
        <v>1542</v>
      </c>
      <c r="B1546" t="s">
        <v>276</v>
      </c>
      <c r="C1546">
        <v>5</v>
      </c>
      <c r="D1546">
        <v>5</v>
      </c>
      <c r="E1546" t="s">
        <v>387</v>
      </c>
      <c r="F1546">
        <v>412</v>
      </c>
      <c r="G1546">
        <v>1</v>
      </c>
      <c r="H1546">
        <v>81</v>
      </c>
      <c r="I1546" t="s">
        <v>386</v>
      </c>
      <c r="J1546" t="s">
        <v>386</v>
      </c>
      <c r="K1546">
        <v>10000000</v>
      </c>
      <c r="L1546">
        <v>3</v>
      </c>
      <c r="M1546">
        <v>3</v>
      </c>
      <c r="N1546">
        <v>4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16</v>
      </c>
      <c r="V1546">
        <v>516.29712518999997</v>
      </c>
      <c r="AH1546">
        <f t="shared" si="221"/>
        <v>3</v>
      </c>
      <c r="AI1546">
        <f t="shared" si="222"/>
        <v>4</v>
      </c>
      <c r="AJ1546" t="str">
        <f t="shared" si="223"/>
        <v/>
      </c>
      <c r="AK1546" t="str">
        <f t="shared" si="224"/>
        <v/>
      </c>
      <c r="AL1546" t="str">
        <f t="shared" si="217"/>
        <v/>
      </c>
      <c r="AM1546" t="str">
        <f t="shared" si="218"/>
        <v/>
      </c>
      <c r="AN1546" t="str">
        <f t="shared" si="219"/>
        <v/>
      </c>
      <c r="AO1546" t="str">
        <f t="shared" si="220"/>
        <v/>
      </c>
    </row>
    <row r="1547" spans="1:41">
      <c r="A1547">
        <f t="shared" si="225"/>
        <v>1543</v>
      </c>
      <c r="B1547" t="s">
        <v>276</v>
      </c>
      <c r="C1547">
        <v>5</v>
      </c>
      <c r="D1547">
        <v>5</v>
      </c>
      <c r="E1547" t="s">
        <v>387</v>
      </c>
      <c r="F1547">
        <v>412</v>
      </c>
      <c r="G1547">
        <v>1</v>
      </c>
      <c r="H1547">
        <v>82</v>
      </c>
      <c r="I1547" t="s">
        <v>386</v>
      </c>
      <c r="J1547" t="s">
        <v>386</v>
      </c>
      <c r="K1547">
        <v>10000000</v>
      </c>
      <c r="L1547">
        <v>3</v>
      </c>
      <c r="M1547">
        <v>3</v>
      </c>
      <c r="N1547">
        <v>4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16</v>
      </c>
      <c r="V1547">
        <v>516.29712518999997</v>
      </c>
      <c r="AH1547">
        <f t="shared" si="221"/>
        <v>3</v>
      </c>
      <c r="AI1547">
        <f t="shared" si="222"/>
        <v>4</v>
      </c>
      <c r="AJ1547" t="str">
        <f t="shared" si="223"/>
        <v/>
      </c>
      <c r="AK1547" t="str">
        <f t="shared" si="224"/>
        <v/>
      </c>
      <c r="AL1547" t="str">
        <f t="shared" si="217"/>
        <v/>
      </c>
      <c r="AM1547" t="str">
        <f t="shared" si="218"/>
        <v/>
      </c>
      <c r="AN1547" t="str">
        <f t="shared" si="219"/>
        <v/>
      </c>
      <c r="AO1547" t="str">
        <f t="shared" si="220"/>
        <v/>
      </c>
    </row>
    <row r="1548" spans="1:41">
      <c r="A1548">
        <f t="shared" si="225"/>
        <v>1544</v>
      </c>
      <c r="B1548" t="s">
        <v>276</v>
      </c>
      <c r="C1548">
        <v>5</v>
      </c>
      <c r="D1548">
        <v>5</v>
      </c>
      <c r="E1548" t="s">
        <v>387</v>
      </c>
      <c r="F1548">
        <v>412</v>
      </c>
      <c r="G1548">
        <v>1</v>
      </c>
      <c r="H1548">
        <v>83</v>
      </c>
      <c r="I1548" t="s">
        <v>386</v>
      </c>
      <c r="J1548" t="s">
        <v>386</v>
      </c>
      <c r="K1548">
        <v>10000000</v>
      </c>
      <c r="L1548">
        <v>3</v>
      </c>
      <c r="M1548">
        <v>3</v>
      </c>
      <c r="N1548">
        <v>4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16</v>
      </c>
      <c r="V1548">
        <v>516.29712518999997</v>
      </c>
      <c r="AH1548">
        <f t="shared" si="221"/>
        <v>3</v>
      </c>
      <c r="AI1548">
        <f t="shared" si="222"/>
        <v>4</v>
      </c>
      <c r="AJ1548" t="str">
        <f t="shared" si="223"/>
        <v/>
      </c>
      <c r="AK1548" t="str">
        <f t="shared" si="224"/>
        <v/>
      </c>
      <c r="AL1548" t="str">
        <f t="shared" si="217"/>
        <v/>
      </c>
      <c r="AM1548" t="str">
        <f t="shared" si="218"/>
        <v/>
      </c>
      <c r="AN1548" t="str">
        <f t="shared" si="219"/>
        <v/>
      </c>
      <c r="AO1548" t="str">
        <f t="shared" si="220"/>
        <v/>
      </c>
    </row>
    <row r="1549" spans="1:41">
      <c r="A1549">
        <f t="shared" si="225"/>
        <v>1545</v>
      </c>
      <c r="B1549" t="s">
        <v>276</v>
      </c>
      <c r="C1549">
        <v>5</v>
      </c>
      <c r="D1549">
        <v>5</v>
      </c>
      <c r="E1549" t="s">
        <v>387</v>
      </c>
      <c r="F1549">
        <v>412</v>
      </c>
      <c r="G1549">
        <v>1</v>
      </c>
      <c r="H1549">
        <v>84</v>
      </c>
      <c r="I1549" t="s">
        <v>386</v>
      </c>
      <c r="J1549" t="s">
        <v>386</v>
      </c>
      <c r="K1549">
        <v>10000000</v>
      </c>
      <c r="L1549">
        <v>3</v>
      </c>
      <c r="M1549">
        <v>3</v>
      </c>
      <c r="N1549">
        <v>4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16</v>
      </c>
      <c r="V1549">
        <v>516.29712518999997</v>
      </c>
      <c r="AH1549">
        <f t="shared" si="221"/>
        <v>3</v>
      </c>
      <c r="AI1549">
        <f t="shared" si="222"/>
        <v>4</v>
      </c>
      <c r="AJ1549" t="str">
        <f t="shared" si="223"/>
        <v/>
      </c>
      <c r="AK1549" t="str">
        <f t="shared" si="224"/>
        <v/>
      </c>
      <c r="AL1549" t="str">
        <f t="shared" si="217"/>
        <v/>
      </c>
      <c r="AM1549" t="str">
        <f t="shared" si="218"/>
        <v/>
      </c>
      <c r="AN1549" t="str">
        <f t="shared" si="219"/>
        <v/>
      </c>
      <c r="AO1549" t="str">
        <f t="shared" si="220"/>
        <v/>
      </c>
    </row>
    <row r="1550" spans="1:41">
      <c r="A1550">
        <f t="shared" si="225"/>
        <v>1546</v>
      </c>
      <c r="B1550" t="s">
        <v>276</v>
      </c>
      <c r="C1550">
        <v>5</v>
      </c>
      <c r="D1550">
        <v>5</v>
      </c>
      <c r="E1550" t="s">
        <v>387</v>
      </c>
      <c r="F1550">
        <v>412</v>
      </c>
      <c r="G1550">
        <v>1</v>
      </c>
      <c r="H1550">
        <v>85</v>
      </c>
      <c r="I1550" t="s">
        <v>386</v>
      </c>
      <c r="J1550" t="s">
        <v>386</v>
      </c>
      <c r="K1550">
        <v>10000000</v>
      </c>
      <c r="L1550">
        <v>3</v>
      </c>
      <c r="M1550">
        <v>3</v>
      </c>
      <c r="N1550">
        <v>4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16</v>
      </c>
      <c r="V1550">
        <v>516.29712518999997</v>
      </c>
      <c r="AH1550">
        <f t="shared" si="221"/>
        <v>3</v>
      </c>
      <c r="AI1550">
        <f t="shared" si="222"/>
        <v>4</v>
      </c>
      <c r="AJ1550" t="str">
        <f t="shared" si="223"/>
        <v/>
      </c>
      <c r="AK1550" t="str">
        <f t="shared" si="224"/>
        <v/>
      </c>
      <c r="AL1550" t="str">
        <f t="shared" si="217"/>
        <v/>
      </c>
      <c r="AM1550" t="str">
        <f t="shared" si="218"/>
        <v/>
      </c>
      <c r="AN1550" t="str">
        <f t="shared" si="219"/>
        <v/>
      </c>
      <c r="AO1550" t="str">
        <f t="shared" si="220"/>
        <v/>
      </c>
    </row>
    <row r="1551" spans="1:41">
      <c r="A1551">
        <f t="shared" si="225"/>
        <v>1547</v>
      </c>
      <c r="B1551" t="s">
        <v>276</v>
      </c>
      <c r="C1551">
        <v>5</v>
      </c>
      <c r="D1551">
        <v>5</v>
      </c>
      <c r="E1551" t="s">
        <v>387</v>
      </c>
      <c r="F1551">
        <v>412</v>
      </c>
      <c r="G1551">
        <v>1</v>
      </c>
      <c r="H1551">
        <v>86</v>
      </c>
      <c r="I1551" t="s">
        <v>386</v>
      </c>
      <c r="J1551" t="s">
        <v>386</v>
      </c>
      <c r="K1551">
        <v>10000000</v>
      </c>
      <c r="L1551">
        <v>3</v>
      </c>
      <c r="M1551">
        <v>3</v>
      </c>
      <c r="N1551">
        <v>4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16</v>
      </c>
      <c r="V1551">
        <v>516.29712518999997</v>
      </c>
      <c r="AH1551">
        <f t="shared" si="221"/>
        <v>3</v>
      </c>
      <c r="AI1551">
        <f t="shared" si="222"/>
        <v>4</v>
      </c>
      <c r="AJ1551" t="str">
        <f t="shared" si="223"/>
        <v/>
      </c>
      <c r="AK1551" t="str">
        <f t="shared" si="224"/>
        <v/>
      </c>
      <c r="AL1551" t="str">
        <f t="shared" si="217"/>
        <v/>
      </c>
      <c r="AM1551" t="str">
        <f t="shared" si="218"/>
        <v/>
      </c>
      <c r="AN1551" t="str">
        <f t="shared" si="219"/>
        <v/>
      </c>
      <c r="AO1551" t="str">
        <f t="shared" si="220"/>
        <v/>
      </c>
    </row>
    <row r="1552" spans="1:41">
      <c r="A1552">
        <f t="shared" si="225"/>
        <v>1548</v>
      </c>
      <c r="B1552" t="s">
        <v>276</v>
      </c>
      <c r="C1552">
        <v>5</v>
      </c>
      <c r="D1552">
        <v>5</v>
      </c>
      <c r="E1552" t="s">
        <v>387</v>
      </c>
      <c r="F1552">
        <v>412</v>
      </c>
      <c r="G1552">
        <v>1</v>
      </c>
      <c r="H1552">
        <v>87</v>
      </c>
      <c r="I1552" t="s">
        <v>386</v>
      </c>
      <c r="J1552" t="s">
        <v>386</v>
      </c>
      <c r="K1552">
        <v>10000000</v>
      </c>
      <c r="L1552">
        <v>3</v>
      </c>
      <c r="M1552">
        <v>3</v>
      </c>
      <c r="N1552">
        <v>4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16</v>
      </c>
      <c r="V1552">
        <v>516.29712518999997</v>
      </c>
      <c r="AH1552">
        <f t="shared" si="221"/>
        <v>3</v>
      </c>
      <c r="AI1552">
        <f t="shared" si="222"/>
        <v>4</v>
      </c>
      <c r="AJ1552" t="str">
        <f t="shared" si="223"/>
        <v/>
      </c>
      <c r="AK1552" t="str">
        <f t="shared" si="224"/>
        <v/>
      </c>
      <c r="AL1552" t="str">
        <f t="shared" si="217"/>
        <v/>
      </c>
      <c r="AM1552" t="str">
        <f t="shared" si="218"/>
        <v/>
      </c>
      <c r="AN1552" t="str">
        <f t="shared" si="219"/>
        <v/>
      </c>
      <c r="AO1552" t="str">
        <f t="shared" si="220"/>
        <v/>
      </c>
    </row>
    <row r="1553" spans="1:41">
      <c r="A1553">
        <f t="shared" si="225"/>
        <v>1549</v>
      </c>
      <c r="B1553" t="s">
        <v>276</v>
      </c>
      <c r="C1553">
        <v>5</v>
      </c>
      <c r="D1553">
        <v>5</v>
      </c>
      <c r="E1553" t="s">
        <v>387</v>
      </c>
      <c r="F1553">
        <v>412</v>
      </c>
      <c r="G1553">
        <v>1</v>
      </c>
      <c r="H1553">
        <v>88</v>
      </c>
      <c r="I1553" t="s">
        <v>386</v>
      </c>
      <c r="J1553" t="s">
        <v>386</v>
      </c>
      <c r="K1553">
        <v>10000000</v>
      </c>
      <c r="L1553">
        <v>3</v>
      </c>
      <c r="M1553">
        <v>3</v>
      </c>
      <c r="N1553">
        <v>4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16</v>
      </c>
      <c r="V1553">
        <v>516.29712518999997</v>
      </c>
      <c r="AH1553">
        <f t="shared" si="221"/>
        <v>3</v>
      </c>
      <c r="AI1553">
        <f t="shared" si="222"/>
        <v>4</v>
      </c>
      <c r="AJ1553" t="str">
        <f t="shared" si="223"/>
        <v/>
      </c>
      <c r="AK1553" t="str">
        <f t="shared" si="224"/>
        <v/>
      </c>
      <c r="AL1553" t="str">
        <f t="shared" si="217"/>
        <v/>
      </c>
      <c r="AM1553" t="str">
        <f t="shared" si="218"/>
        <v/>
      </c>
      <c r="AN1553" t="str">
        <f t="shared" si="219"/>
        <v/>
      </c>
      <c r="AO1553" t="str">
        <f t="shared" si="220"/>
        <v/>
      </c>
    </row>
    <row r="1554" spans="1:41">
      <c r="A1554">
        <f t="shared" si="225"/>
        <v>1550</v>
      </c>
      <c r="B1554" t="s">
        <v>276</v>
      </c>
      <c r="C1554">
        <v>5</v>
      </c>
      <c r="D1554">
        <v>5</v>
      </c>
      <c r="E1554" t="s">
        <v>387</v>
      </c>
      <c r="F1554">
        <v>412</v>
      </c>
      <c r="G1554">
        <v>1</v>
      </c>
      <c r="H1554">
        <v>89</v>
      </c>
      <c r="I1554" t="s">
        <v>386</v>
      </c>
      <c r="J1554" t="s">
        <v>386</v>
      </c>
      <c r="K1554">
        <v>10000000</v>
      </c>
      <c r="L1554">
        <v>3</v>
      </c>
      <c r="M1554">
        <v>3</v>
      </c>
      <c r="N1554">
        <v>4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16</v>
      </c>
      <c r="V1554">
        <v>516.29712518999997</v>
      </c>
      <c r="AH1554">
        <f t="shared" si="221"/>
        <v>3</v>
      </c>
      <c r="AI1554">
        <f t="shared" si="222"/>
        <v>4</v>
      </c>
      <c r="AJ1554" t="str">
        <f t="shared" si="223"/>
        <v/>
      </c>
      <c r="AK1554" t="str">
        <f t="shared" si="224"/>
        <v/>
      </c>
      <c r="AL1554" t="str">
        <f t="shared" si="217"/>
        <v/>
      </c>
      <c r="AM1554" t="str">
        <f t="shared" si="218"/>
        <v/>
      </c>
      <c r="AN1554" t="str">
        <f t="shared" si="219"/>
        <v/>
      </c>
      <c r="AO1554" t="str">
        <f t="shared" si="220"/>
        <v/>
      </c>
    </row>
    <row r="1555" spans="1:41">
      <c r="A1555">
        <f t="shared" si="225"/>
        <v>1551</v>
      </c>
      <c r="B1555" t="s">
        <v>276</v>
      </c>
      <c r="C1555">
        <v>5</v>
      </c>
      <c r="D1555">
        <v>5</v>
      </c>
      <c r="E1555" t="s">
        <v>387</v>
      </c>
      <c r="F1555">
        <v>412</v>
      </c>
      <c r="G1555">
        <v>1</v>
      </c>
      <c r="H1555">
        <v>90</v>
      </c>
      <c r="I1555" t="s">
        <v>386</v>
      </c>
      <c r="J1555" t="s">
        <v>386</v>
      </c>
      <c r="K1555">
        <v>10000000</v>
      </c>
      <c r="L1555">
        <v>3</v>
      </c>
      <c r="M1555">
        <v>3</v>
      </c>
      <c r="N1555">
        <v>4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16</v>
      </c>
      <c r="V1555">
        <v>516.29712518999997</v>
      </c>
      <c r="AH1555">
        <f t="shared" si="221"/>
        <v>3</v>
      </c>
      <c r="AI1555">
        <f t="shared" si="222"/>
        <v>4</v>
      </c>
      <c r="AJ1555" t="str">
        <f t="shared" si="223"/>
        <v/>
      </c>
      <c r="AK1555" t="str">
        <f t="shared" si="224"/>
        <v/>
      </c>
      <c r="AL1555" t="str">
        <f t="shared" si="217"/>
        <v/>
      </c>
      <c r="AM1555" t="str">
        <f t="shared" si="218"/>
        <v/>
      </c>
      <c r="AN1555" t="str">
        <f t="shared" si="219"/>
        <v/>
      </c>
      <c r="AO1555" t="str">
        <f t="shared" si="220"/>
        <v/>
      </c>
    </row>
    <row r="1556" spans="1:41">
      <c r="A1556">
        <f t="shared" si="225"/>
        <v>1552</v>
      </c>
      <c r="B1556" t="s">
        <v>276</v>
      </c>
      <c r="C1556">
        <v>5</v>
      </c>
      <c r="D1556">
        <v>5</v>
      </c>
      <c r="E1556" t="s">
        <v>387</v>
      </c>
      <c r="F1556">
        <v>412</v>
      </c>
      <c r="G1556">
        <v>1</v>
      </c>
      <c r="H1556">
        <v>91</v>
      </c>
      <c r="I1556" t="s">
        <v>386</v>
      </c>
      <c r="J1556" t="s">
        <v>386</v>
      </c>
      <c r="K1556">
        <v>10000000</v>
      </c>
      <c r="L1556">
        <v>3</v>
      </c>
      <c r="M1556">
        <v>3</v>
      </c>
      <c r="N1556">
        <v>4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16</v>
      </c>
      <c r="V1556">
        <v>516.29712518999997</v>
      </c>
      <c r="AH1556">
        <f t="shared" si="221"/>
        <v>3</v>
      </c>
      <c r="AI1556">
        <f t="shared" si="222"/>
        <v>4</v>
      </c>
      <c r="AJ1556" t="str">
        <f t="shared" si="223"/>
        <v/>
      </c>
      <c r="AK1556" t="str">
        <f t="shared" si="224"/>
        <v/>
      </c>
      <c r="AL1556" t="str">
        <f t="shared" si="217"/>
        <v/>
      </c>
      <c r="AM1556" t="str">
        <f t="shared" si="218"/>
        <v/>
      </c>
      <c r="AN1556" t="str">
        <f t="shared" si="219"/>
        <v/>
      </c>
      <c r="AO1556" t="str">
        <f t="shared" si="220"/>
        <v/>
      </c>
    </row>
    <row r="1557" spans="1:41">
      <c r="A1557">
        <f t="shared" si="225"/>
        <v>1553</v>
      </c>
      <c r="B1557" t="s">
        <v>276</v>
      </c>
      <c r="C1557">
        <v>5</v>
      </c>
      <c r="D1557">
        <v>5</v>
      </c>
      <c r="E1557" t="s">
        <v>387</v>
      </c>
      <c r="F1557">
        <v>412</v>
      </c>
      <c r="G1557">
        <v>1</v>
      </c>
      <c r="H1557">
        <v>92</v>
      </c>
      <c r="I1557" t="s">
        <v>386</v>
      </c>
      <c r="J1557" t="s">
        <v>386</v>
      </c>
      <c r="K1557">
        <v>10000000</v>
      </c>
      <c r="L1557">
        <v>3</v>
      </c>
      <c r="M1557">
        <v>3</v>
      </c>
      <c r="N1557">
        <v>4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16</v>
      </c>
      <c r="V1557">
        <v>516.29712518999997</v>
      </c>
      <c r="AH1557">
        <f t="shared" si="221"/>
        <v>3</v>
      </c>
      <c r="AI1557">
        <f t="shared" si="222"/>
        <v>4</v>
      </c>
      <c r="AJ1557" t="str">
        <f t="shared" si="223"/>
        <v/>
      </c>
      <c r="AK1557" t="str">
        <f t="shared" si="224"/>
        <v/>
      </c>
      <c r="AL1557" t="str">
        <f t="shared" si="217"/>
        <v/>
      </c>
      <c r="AM1557" t="str">
        <f t="shared" si="218"/>
        <v/>
      </c>
      <c r="AN1557" t="str">
        <f t="shared" si="219"/>
        <v/>
      </c>
      <c r="AO1557" t="str">
        <f t="shared" si="220"/>
        <v/>
      </c>
    </row>
    <row r="1558" spans="1:41">
      <c r="A1558">
        <f t="shared" si="225"/>
        <v>1554</v>
      </c>
      <c r="B1558" t="s">
        <v>276</v>
      </c>
      <c r="C1558">
        <v>5</v>
      </c>
      <c r="D1558">
        <v>5</v>
      </c>
      <c r="E1558" t="s">
        <v>387</v>
      </c>
      <c r="F1558">
        <v>412</v>
      </c>
      <c r="G1558">
        <v>1</v>
      </c>
      <c r="H1558">
        <v>93</v>
      </c>
      <c r="I1558" t="s">
        <v>386</v>
      </c>
      <c r="J1558" t="s">
        <v>386</v>
      </c>
      <c r="K1558">
        <v>10000000</v>
      </c>
      <c r="L1558">
        <v>3</v>
      </c>
      <c r="M1558">
        <v>3</v>
      </c>
      <c r="N1558">
        <v>4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16</v>
      </c>
      <c r="V1558">
        <v>516.29712518999997</v>
      </c>
      <c r="AH1558">
        <f t="shared" si="221"/>
        <v>3</v>
      </c>
      <c r="AI1558">
        <f t="shared" si="222"/>
        <v>4</v>
      </c>
      <c r="AJ1558" t="str">
        <f t="shared" si="223"/>
        <v/>
      </c>
      <c r="AK1558" t="str">
        <f t="shared" si="224"/>
        <v/>
      </c>
      <c r="AL1558" t="str">
        <f t="shared" si="217"/>
        <v/>
      </c>
      <c r="AM1558" t="str">
        <f t="shared" si="218"/>
        <v/>
      </c>
      <c r="AN1558" t="str">
        <f t="shared" si="219"/>
        <v/>
      </c>
      <c r="AO1558" t="str">
        <f t="shared" si="220"/>
        <v/>
      </c>
    </row>
    <row r="1559" spans="1:41">
      <c r="A1559">
        <f t="shared" si="225"/>
        <v>1555</v>
      </c>
      <c r="B1559" t="s">
        <v>276</v>
      </c>
      <c r="C1559">
        <v>5</v>
      </c>
      <c r="D1559">
        <v>5</v>
      </c>
      <c r="E1559" t="s">
        <v>387</v>
      </c>
      <c r="F1559">
        <v>412</v>
      </c>
      <c r="G1559">
        <v>1</v>
      </c>
      <c r="H1559">
        <v>94</v>
      </c>
      <c r="I1559" t="s">
        <v>386</v>
      </c>
      <c r="J1559" t="s">
        <v>386</v>
      </c>
      <c r="K1559">
        <v>10000000</v>
      </c>
      <c r="L1559">
        <v>3</v>
      </c>
      <c r="M1559">
        <v>3</v>
      </c>
      <c r="N1559">
        <v>4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16</v>
      </c>
      <c r="V1559">
        <v>516.29712518999997</v>
      </c>
      <c r="AH1559">
        <f t="shared" si="221"/>
        <v>3</v>
      </c>
      <c r="AI1559">
        <f t="shared" si="222"/>
        <v>4</v>
      </c>
      <c r="AJ1559" t="str">
        <f t="shared" si="223"/>
        <v/>
      </c>
      <c r="AK1559" t="str">
        <f t="shared" si="224"/>
        <v/>
      </c>
      <c r="AL1559" t="str">
        <f t="shared" si="217"/>
        <v/>
      </c>
      <c r="AM1559" t="str">
        <f t="shared" si="218"/>
        <v/>
      </c>
      <c r="AN1559" t="str">
        <f t="shared" si="219"/>
        <v/>
      </c>
      <c r="AO1559" t="str">
        <f t="shared" si="220"/>
        <v/>
      </c>
    </row>
    <row r="1560" spans="1:41">
      <c r="A1560">
        <f t="shared" si="225"/>
        <v>1556</v>
      </c>
      <c r="B1560" t="s">
        <v>276</v>
      </c>
      <c r="C1560">
        <v>5</v>
      </c>
      <c r="D1560">
        <v>5</v>
      </c>
      <c r="E1560" t="s">
        <v>387</v>
      </c>
      <c r="F1560">
        <v>412</v>
      </c>
      <c r="G1560">
        <v>1</v>
      </c>
      <c r="H1560">
        <v>95</v>
      </c>
      <c r="I1560" t="s">
        <v>386</v>
      </c>
      <c r="J1560" t="s">
        <v>386</v>
      </c>
      <c r="K1560">
        <v>10000000</v>
      </c>
      <c r="L1560">
        <v>3</v>
      </c>
      <c r="M1560">
        <v>3</v>
      </c>
      <c r="N1560">
        <v>4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16</v>
      </c>
      <c r="V1560">
        <v>516.29712518999997</v>
      </c>
      <c r="AH1560">
        <f t="shared" si="221"/>
        <v>3</v>
      </c>
      <c r="AI1560">
        <f t="shared" si="222"/>
        <v>4</v>
      </c>
      <c r="AJ1560" t="str">
        <f t="shared" si="223"/>
        <v/>
      </c>
      <c r="AK1560" t="str">
        <f t="shared" si="224"/>
        <v/>
      </c>
      <c r="AL1560" t="str">
        <f t="shared" si="217"/>
        <v/>
      </c>
      <c r="AM1560" t="str">
        <f t="shared" si="218"/>
        <v/>
      </c>
      <c r="AN1560" t="str">
        <f t="shared" si="219"/>
        <v/>
      </c>
      <c r="AO1560" t="str">
        <f t="shared" si="220"/>
        <v/>
      </c>
    </row>
    <row r="1561" spans="1:41">
      <c r="A1561">
        <f t="shared" si="225"/>
        <v>1557</v>
      </c>
      <c r="B1561" t="s">
        <v>276</v>
      </c>
      <c r="C1561">
        <v>4</v>
      </c>
      <c r="D1561">
        <v>4</v>
      </c>
      <c r="E1561" t="s">
        <v>387</v>
      </c>
      <c r="F1561">
        <v>412</v>
      </c>
      <c r="G1561">
        <v>1</v>
      </c>
      <c r="H1561">
        <v>96</v>
      </c>
      <c r="I1561" t="s">
        <v>386</v>
      </c>
      <c r="J1561" t="s">
        <v>386</v>
      </c>
      <c r="K1561">
        <v>10000000</v>
      </c>
      <c r="L1561">
        <v>3</v>
      </c>
      <c r="M1561">
        <v>3</v>
      </c>
      <c r="N1561">
        <v>4</v>
      </c>
      <c r="O1561">
        <v>0</v>
      </c>
      <c r="P1561">
        <v>0</v>
      </c>
      <c r="Q1561">
        <v>0</v>
      </c>
      <c r="R1561">
        <v>0</v>
      </c>
      <c r="S1561">
        <v>0</v>
      </c>
      <c r="T1561" t="s">
        <v>386</v>
      </c>
      <c r="U1561">
        <v>17</v>
      </c>
      <c r="V1561">
        <v>479.41875911</v>
      </c>
      <c r="AH1561">
        <f t="shared" si="221"/>
        <v>3</v>
      </c>
      <c r="AI1561">
        <f t="shared" si="222"/>
        <v>4</v>
      </c>
      <c r="AJ1561" t="str">
        <f t="shared" si="223"/>
        <v/>
      </c>
      <c r="AK1561" t="str">
        <f t="shared" si="224"/>
        <v/>
      </c>
      <c r="AL1561" t="str">
        <f t="shared" si="217"/>
        <v/>
      </c>
      <c r="AM1561" t="str">
        <f t="shared" si="218"/>
        <v/>
      </c>
      <c r="AN1561" t="str">
        <f t="shared" si="219"/>
        <v/>
      </c>
      <c r="AO1561" t="e">
        <f t="shared" si="220"/>
        <v>#VALUE!</v>
      </c>
    </row>
    <row r="1562" spans="1:41">
      <c r="A1562">
        <f t="shared" si="225"/>
        <v>1558</v>
      </c>
      <c r="B1562" t="s">
        <v>276</v>
      </c>
      <c r="C1562">
        <v>3</v>
      </c>
      <c r="D1562">
        <v>3</v>
      </c>
      <c r="E1562" t="s">
        <v>387</v>
      </c>
      <c r="F1562">
        <v>412</v>
      </c>
      <c r="G1562">
        <v>1</v>
      </c>
      <c r="H1562">
        <v>97</v>
      </c>
      <c r="I1562" t="s">
        <v>386</v>
      </c>
      <c r="J1562" t="s">
        <v>386</v>
      </c>
      <c r="K1562">
        <v>10000000</v>
      </c>
      <c r="L1562">
        <v>3</v>
      </c>
      <c r="M1562">
        <v>3</v>
      </c>
      <c r="N1562">
        <v>5</v>
      </c>
      <c r="O1562">
        <v>0</v>
      </c>
      <c r="P1562">
        <v>0</v>
      </c>
      <c r="Q1562">
        <v>0</v>
      </c>
      <c r="R1562">
        <v>0</v>
      </c>
      <c r="S1562" t="s">
        <v>386</v>
      </c>
      <c r="T1562" t="s">
        <v>386</v>
      </c>
      <c r="U1562">
        <v>17</v>
      </c>
      <c r="V1562">
        <v>442.54039302000001</v>
      </c>
      <c r="AH1562">
        <f t="shared" si="221"/>
        <v>3</v>
      </c>
      <c r="AI1562">
        <f t="shared" si="222"/>
        <v>5</v>
      </c>
      <c r="AJ1562" t="str">
        <f t="shared" si="223"/>
        <v/>
      </c>
      <c r="AK1562" t="str">
        <f t="shared" si="224"/>
        <v/>
      </c>
      <c r="AL1562" t="str">
        <f t="shared" si="217"/>
        <v/>
      </c>
      <c r="AM1562" t="str">
        <f t="shared" si="218"/>
        <v/>
      </c>
      <c r="AN1562" t="e">
        <f t="shared" si="219"/>
        <v>#VALUE!</v>
      </c>
      <c r="AO1562" t="e">
        <f t="shared" si="220"/>
        <v>#VALUE!</v>
      </c>
    </row>
    <row r="1563" spans="1:41">
      <c r="A1563">
        <f t="shared" si="225"/>
        <v>1559</v>
      </c>
      <c r="B1563" t="s">
        <v>276</v>
      </c>
      <c r="C1563">
        <v>2</v>
      </c>
      <c r="D1563">
        <v>2</v>
      </c>
      <c r="E1563" t="s">
        <v>387</v>
      </c>
      <c r="F1563">
        <v>412</v>
      </c>
      <c r="G1563">
        <v>1</v>
      </c>
      <c r="H1563">
        <v>98</v>
      </c>
      <c r="I1563" t="s">
        <v>386</v>
      </c>
      <c r="J1563" t="s">
        <v>386</v>
      </c>
      <c r="K1563">
        <v>10000000</v>
      </c>
      <c r="L1563">
        <v>3</v>
      </c>
      <c r="M1563">
        <v>3</v>
      </c>
      <c r="N1563">
        <v>5</v>
      </c>
      <c r="O1563">
        <v>0</v>
      </c>
      <c r="P1563">
        <v>0</v>
      </c>
      <c r="Q1563">
        <v>0</v>
      </c>
      <c r="R1563" t="s">
        <v>386</v>
      </c>
      <c r="S1563" t="s">
        <v>386</v>
      </c>
      <c r="T1563" t="s">
        <v>386</v>
      </c>
      <c r="U1563">
        <v>19</v>
      </c>
      <c r="V1563">
        <v>405.66202693999998</v>
      </c>
      <c r="AH1563">
        <f t="shared" si="221"/>
        <v>3</v>
      </c>
      <c r="AI1563">
        <f t="shared" si="222"/>
        <v>5</v>
      </c>
      <c r="AJ1563" t="str">
        <f t="shared" si="223"/>
        <v/>
      </c>
      <c r="AK1563" t="str">
        <f t="shared" si="224"/>
        <v/>
      </c>
      <c r="AL1563" t="str">
        <f t="shared" si="217"/>
        <v/>
      </c>
      <c r="AM1563" t="e">
        <f t="shared" si="218"/>
        <v>#VALUE!</v>
      </c>
      <c r="AN1563" t="e">
        <f t="shared" si="219"/>
        <v>#VALUE!</v>
      </c>
      <c r="AO1563" t="e">
        <f t="shared" si="220"/>
        <v>#VALUE!</v>
      </c>
    </row>
    <row r="1564" spans="1:41">
      <c r="A1564">
        <f t="shared" si="225"/>
        <v>1560</v>
      </c>
      <c r="B1564" t="s">
        <v>276</v>
      </c>
      <c r="C1564">
        <v>1</v>
      </c>
      <c r="D1564">
        <v>1</v>
      </c>
      <c r="E1564" t="s">
        <v>387</v>
      </c>
      <c r="F1564">
        <v>412</v>
      </c>
      <c r="G1564">
        <v>1</v>
      </c>
      <c r="H1564">
        <v>99</v>
      </c>
      <c r="I1564" t="s">
        <v>386</v>
      </c>
      <c r="J1564" t="s">
        <v>386</v>
      </c>
      <c r="K1564">
        <v>10000000</v>
      </c>
      <c r="L1564">
        <v>3</v>
      </c>
      <c r="M1564">
        <v>3</v>
      </c>
      <c r="N1564">
        <v>6</v>
      </c>
      <c r="O1564">
        <v>0</v>
      </c>
      <c r="P1564">
        <v>0</v>
      </c>
      <c r="Q1564" t="s">
        <v>386</v>
      </c>
      <c r="R1564" t="s">
        <v>386</v>
      </c>
      <c r="S1564" t="s">
        <v>386</v>
      </c>
      <c r="T1564" t="s">
        <v>386</v>
      </c>
      <c r="U1564">
        <v>19</v>
      </c>
      <c r="V1564">
        <v>368.78366084999999</v>
      </c>
      <c r="AH1564">
        <f t="shared" si="221"/>
        <v>3</v>
      </c>
      <c r="AI1564">
        <f t="shared" si="222"/>
        <v>6</v>
      </c>
      <c r="AJ1564" t="str">
        <f t="shared" si="223"/>
        <v/>
      </c>
      <c r="AK1564" t="str">
        <f t="shared" si="224"/>
        <v/>
      </c>
      <c r="AL1564" t="e">
        <f t="shared" si="217"/>
        <v>#VALUE!</v>
      </c>
      <c r="AM1564" t="e">
        <f t="shared" si="218"/>
        <v>#VALUE!</v>
      </c>
      <c r="AN1564" t="e">
        <f t="shared" si="219"/>
        <v>#VALUE!</v>
      </c>
      <c r="AO1564" t="e">
        <f t="shared" si="220"/>
        <v>#VALUE!</v>
      </c>
    </row>
    <row r="1565" spans="1:41">
      <c r="A1565">
        <f t="shared" si="225"/>
        <v>1561</v>
      </c>
      <c r="B1565" t="s">
        <v>276</v>
      </c>
      <c r="C1565">
        <v>5</v>
      </c>
      <c r="D1565">
        <v>5</v>
      </c>
      <c r="E1565" t="s">
        <v>385</v>
      </c>
      <c r="F1565">
        <v>412</v>
      </c>
      <c r="G1565">
        <v>2</v>
      </c>
      <c r="H1565">
        <v>30</v>
      </c>
      <c r="I1565" t="s">
        <v>386</v>
      </c>
      <c r="J1565" t="s">
        <v>386</v>
      </c>
      <c r="K1565">
        <v>10000000</v>
      </c>
      <c r="L1565">
        <v>2</v>
      </c>
      <c r="M1565">
        <v>2</v>
      </c>
      <c r="N1565">
        <v>2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8</v>
      </c>
      <c r="V1565">
        <v>728.33896407999998</v>
      </c>
      <c r="AH1565">
        <f t="shared" si="221"/>
        <v>2</v>
      </c>
      <c r="AI1565">
        <f t="shared" si="222"/>
        <v>2</v>
      </c>
      <c r="AJ1565" t="str">
        <f t="shared" si="223"/>
        <v/>
      </c>
      <c r="AK1565" t="str">
        <f t="shared" si="224"/>
        <v/>
      </c>
      <c r="AL1565" t="str">
        <f t="shared" si="217"/>
        <v/>
      </c>
      <c r="AM1565" t="str">
        <f t="shared" si="218"/>
        <v/>
      </c>
      <c r="AN1565" t="str">
        <f t="shared" si="219"/>
        <v/>
      </c>
      <c r="AO1565" t="str">
        <f t="shared" si="220"/>
        <v/>
      </c>
    </row>
    <row r="1566" spans="1:41">
      <c r="A1566">
        <f t="shared" si="225"/>
        <v>1562</v>
      </c>
      <c r="B1566" t="s">
        <v>276</v>
      </c>
      <c r="C1566">
        <v>5</v>
      </c>
      <c r="D1566">
        <v>5</v>
      </c>
      <c r="E1566" t="s">
        <v>385</v>
      </c>
      <c r="F1566">
        <v>412</v>
      </c>
      <c r="G1566">
        <v>2</v>
      </c>
      <c r="H1566">
        <v>31</v>
      </c>
      <c r="I1566" t="s">
        <v>386</v>
      </c>
      <c r="J1566" t="s">
        <v>386</v>
      </c>
      <c r="K1566">
        <v>10000000</v>
      </c>
      <c r="L1566">
        <v>2</v>
      </c>
      <c r="M1566">
        <v>2</v>
      </c>
      <c r="N1566">
        <v>2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8</v>
      </c>
      <c r="V1566">
        <v>728.33896407999998</v>
      </c>
      <c r="AH1566">
        <f t="shared" si="221"/>
        <v>2</v>
      </c>
      <c r="AI1566">
        <f t="shared" si="222"/>
        <v>2</v>
      </c>
      <c r="AJ1566" t="str">
        <f t="shared" si="223"/>
        <v/>
      </c>
      <c r="AK1566" t="str">
        <f t="shared" si="224"/>
        <v/>
      </c>
      <c r="AL1566" t="str">
        <f t="shared" si="217"/>
        <v/>
      </c>
      <c r="AM1566" t="str">
        <f t="shared" si="218"/>
        <v/>
      </c>
      <c r="AN1566" t="str">
        <f t="shared" si="219"/>
        <v/>
      </c>
      <c r="AO1566" t="str">
        <f t="shared" si="220"/>
        <v/>
      </c>
    </row>
    <row r="1567" spans="1:41">
      <c r="A1567">
        <f t="shared" si="225"/>
        <v>1563</v>
      </c>
      <c r="B1567" t="s">
        <v>276</v>
      </c>
      <c r="C1567">
        <v>5</v>
      </c>
      <c r="D1567">
        <v>5</v>
      </c>
      <c r="E1567" t="s">
        <v>385</v>
      </c>
      <c r="F1567">
        <v>412</v>
      </c>
      <c r="G1567">
        <v>2</v>
      </c>
      <c r="H1567">
        <v>32</v>
      </c>
      <c r="I1567" t="s">
        <v>386</v>
      </c>
      <c r="J1567" t="s">
        <v>386</v>
      </c>
      <c r="K1567">
        <v>10000000</v>
      </c>
      <c r="L1567">
        <v>2</v>
      </c>
      <c r="M1567">
        <v>2</v>
      </c>
      <c r="N1567">
        <v>2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8</v>
      </c>
      <c r="V1567">
        <v>728.33896407999998</v>
      </c>
      <c r="AH1567">
        <f t="shared" si="221"/>
        <v>2</v>
      </c>
      <c r="AI1567">
        <f t="shared" si="222"/>
        <v>2</v>
      </c>
      <c r="AJ1567" t="str">
        <f t="shared" si="223"/>
        <v/>
      </c>
      <c r="AK1567" t="str">
        <f t="shared" si="224"/>
        <v/>
      </c>
      <c r="AL1567" t="str">
        <f t="shared" si="217"/>
        <v/>
      </c>
      <c r="AM1567" t="str">
        <f t="shared" si="218"/>
        <v/>
      </c>
      <c r="AN1567" t="str">
        <f t="shared" si="219"/>
        <v/>
      </c>
      <c r="AO1567" t="str">
        <f t="shared" si="220"/>
        <v/>
      </c>
    </row>
    <row r="1568" spans="1:41">
      <c r="A1568">
        <f t="shared" si="225"/>
        <v>1564</v>
      </c>
      <c r="B1568" t="s">
        <v>276</v>
      </c>
      <c r="C1568">
        <v>5</v>
      </c>
      <c r="D1568">
        <v>5</v>
      </c>
      <c r="E1568" t="s">
        <v>385</v>
      </c>
      <c r="F1568">
        <v>412</v>
      </c>
      <c r="G1568">
        <v>2</v>
      </c>
      <c r="H1568">
        <v>33</v>
      </c>
      <c r="I1568" t="s">
        <v>386</v>
      </c>
      <c r="J1568" t="s">
        <v>386</v>
      </c>
      <c r="K1568">
        <v>10000000</v>
      </c>
      <c r="L1568">
        <v>2</v>
      </c>
      <c r="M1568">
        <v>2</v>
      </c>
      <c r="N1568">
        <v>2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8</v>
      </c>
      <c r="V1568">
        <v>728.33896407999998</v>
      </c>
      <c r="AH1568">
        <f t="shared" si="221"/>
        <v>2</v>
      </c>
      <c r="AI1568">
        <f t="shared" si="222"/>
        <v>2</v>
      </c>
      <c r="AJ1568" t="str">
        <f t="shared" si="223"/>
        <v/>
      </c>
      <c r="AK1568" t="str">
        <f t="shared" si="224"/>
        <v/>
      </c>
      <c r="AL1568" t="str">
        <f t="shared" si="217"/>
        <v/>
      </c>
      <c r="AM1568" t="str">
        <f t="shared" si="218"/>
        <v/>
      </c>
      <c r="AN1568" t="str">
        <f t="shared" si="219"/>
        <v/>
      </c>
      <c r="AO1568" t="str">
        <f t="shared" si="220"/>
        <v/>
      </c>
    </row>
    <row r="1569" spans="1:41">
      <c r="A1569">
        <f t="shared" si="225"/>
        <v>1565</v>
      </c>
      <c r="B1569" t="s">
        <v>276</v>
      </c>
      <c r="C1569">
        <v>5</v>
      </c>
      <c r="D1569">
        <v>5</v>
      </c>
      <c r="E1569" t="s">
        <v>385</v>
      </c>
      <c r="F1569">
        <v>412</v>
      </c>
      <c r="G1569">
        <v>2</v>
      </c>
      <c r="H1569">
        <v>34</v>
      </c>
      <c r="I1569" t="s">
        <v>386</v>
      </c>
      <c r="J1569" t="s">
        <v>386</v>
      </c>
      <c r="K1569">
        <v>10000000</v>
      </c>
      <c r="L1569">
        <v>2</v>
      </c>
      <c r="M1569">
        <v>2</v>
      </c>
      <c r="N1569">
        <v>2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8</v>
      </c>
      <c r="V1569">
        <v>728.33896407999998</v>
      </c>
      <c r="AH1569">
        <f t="shared" si="221"/>
        <v>2</v>
      </c>
      <c r="AI1569">
        <f t="shared" si="222"/>
        <v>2</v>
      </c>
      <c r="AJ1569" t="str">
        <f t="shared" si="223"/>
        <v/>
      </c>
      <c r="AK1569" t="str">
        <f t="shared" si="224"/>
        <v/>
      </c>
      <c r="AL1569" t="str">
        <f t="shared" si="217"/>
        <v/>
      </c>
      <c r="AM1569" t="str">
        <f t="shared" si="218"/>
        <v/>
      </c>
      <c r="AN1569" t="str">
        <f t="shared" si="219"/>
        <v/>
      </c>
      <c r="AO1569" t="str">
        <f t="shared" si="220"/>
        <v/>
      </c>
    </row>
    <row r="1570" spans="1:41">
      <c r="A1570">
        <f t="shared" si="225"/>
        <v>1566</v>
      </c>
      <c r="B1570" t="s">
        <v>276</v>
      </c>
      <c r="C1570">
        <v>5</v>
      </c>
      <c r="D1570">
        <v>5</v>
      </c>
      <c r="E1570" t="s">
        <v>385</v>
      </c>
      <c r="F1570">
        <v>412</v>
      </c>
      <c r="G1570">
        <v>2</v>
      </c>
      <c r="H1570">
        <v>35</v>
      </c>
      <c r="I1570" t="s">
        <v>386</v>
      </c>
      <c r="J1570" t="s">
        <v>386</v>
      </c>
      <c r="K1570">
        <v>10000000</v>
      </c>
      <c r="L1570">
        <v>2</v>
      </c>
      <c r="M1570">
        <v>2</v>
      </c>
      <c r="N1570">
        <v>2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8</v>
      </c>
      <c r="V1570">
        <v>728.33896407999998</v>
      </c>
      <c r="AH1570">
        <f t="shared" si="221"/>
        <v>2</v>
      </c>
      <c r="AI1570">
        <f t="shared" si="222"/>
        <v>2</v>
      </c>
      <c r="AJ1570" t="str">
        <f t="shared" si="223"/>
        <v/>
      </c>
      <c r="AK1570" t="str">
        <f t="shared" si="224"/>
        <v/>
      </c>
      <c r="AL1570" t="str">
        <f t="shared" si="217"/>
        <v/>
      </c>
      <c r="AM1570" t="str">
        <f t="shared" si="218"/>
        <v/>
      </c>
      <c r="AN1570" t="str">
        <f t="shared" si="219"/>
        <v/>
      </c>
      <c r="AO1570" t="str">
        <f t="shared" si="220"/>
        <v/>
      </c>
    </row>
    <row r="1571" spans="1:41">
      <c r="A1571">
        <f t="shared" si="225"/>
        <v>1567</v>
      </c>
      <c r="B1571" t="s">
        <v>276</v>
      </c>
      <c r="C1571">
        <v>5</v>
      </c>
      <c r="D1571">
        <v>5</v>
      </c>
      <c r="E1571" t="s">
        <v>385</v>
      </c>
      <c r="F1571">
        <v>412</v>
      </c>
      <c r="G1571">
        <v>2</v>
      </c>
      <c r="H1571">
        <v>36</v>
      </c>
      <c r="I1571" t="s">
        <v>386</v>
      </c>
      <c r="J1571" t="s">
        <v>386</v>
      </c>
      <c r="K1571">
        <v>10000000</v>
      </c>
      <c r="L1571">
        <v>2</v>
      </c>
      <c r="M1571">
        <v>2</v>
      </c>
      <c r="N1571">
        <v>2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8</v>
      </c>
      <c r="V1571">
        <v>728.33896407999998</v>
      </c>
      <c r="AH1571">
        <f t="shared" si="221"/>
        <v>2</v>
      </c>
      <c r="AI1571">
        <f t="shared" si="222"/>
        <v>2</v>
      </c>
      <c r="AJ1571" t="str">
        <f t="shared" si="223"/>
        <v/>
      </c>
      <c r="AK1571" t="str">
        <f t="shared" si="224"/>
        <v/>
      </c>
      <c r="AL1571" t="str">
        <f t="shared" si="217"/>
        <v/>
      </c>
      <c r="AM1571" t="str">
        <f t="shared" si="218"/>
        <v/>
      </c>
      <c r="AN1571" t="str">
        <f t="shared" si="219"/>
        <v/>
      </c>
      <c r="AO1571" t="str">
        <f t="shared" si="220"/>
        <v/>
      </c>
    </row>
    <row r="1572" spans="1:41">
      <c r="A1572">
        <f t="shared" si="225"/>
        <v>1568</v>
      </c>
      <c r="B1572" t="s">
        <v>276</v>
      </c>
      <c r="C1572">
        <v>5</v>
      </c>
      <c r="D1572">
        <v>5</v>
      </c>
      <c r="E1572" t="s">
        <v>385</v>
      </c>
      <c r="F1572">
        <v>412</v>
      </c>
      <c r="G1572">
        <v>2</v>
      </c>
      <c r="H1572">
        <v>37</v>
      </c>
      <c r="I1572" t="s">
        <v>386</v>
      </c>
      <c r="J1572" t="s">
        <v>386</v>
      </c>
      <c r="K1572">
        <v>10000000</v>
      </c>
      <c r="L1572">
        <v>2</v>
      </c>
      <c r="M1572">
        <v>2</v>
      </c>
      <c r="N1572">
        <v>2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8</v>
      </c>
      <c r="V1572">
        <v>728.33896407999998</v>
      </c>
      <c r="AH1572">
        <f t="shared" si="221"/>
        <v>2</v>
      </c>
      <c r="AI1572">
        <f t="shared" si="222"/>
        <v>2</v>
      </c>
      <c r="AJ1572" t="str">
        <f t="shared" si="223"/>
        <v/>
      </c>
      <c r="AK1572" t="str">
        <f t="shared" si="224"/>
        <v/>
      </c>
      <c r="AL1572" t="str">
        <f t="shared" si="217"/>
        <v/>
      </c>
      <c r="AM1572" t="str">
        <f t="shared" si="218"/>
        <v/>
      </c>
      <c r="AN1572" t="str">
        <f t="shared" si="219"/>
        <v/>
      </c>
      <c r="AO1572" t="str">
        <f t="shared" si="220"/>
        <v/>
      </c>
    </row>
    <row r="1573" spans="1:41">
      <c r="A1573">
        <f t="shared" si="225"/>
        <v>1569</v>
      </c>
      <c r="B1573" t="s">
        <v>276</v>
      </c>
      <c r="C1573">
        <v>5</v>
      </c>
      <c r="D1573">
        <v>5</v>
      </c>
      <c r="E1573" t="s">
        <v>385</v>
      </c>
      <c r="F1573">
        <v>412</v>
      </c>
      <c r="G1573">
        <v>2</v>
      </c>
      <c r="H1573">
        <v>38</v>
      </c>
      <c r="I1573" t="s">
        <v>386</v>
      </c>
      <c r="J1573" t="s">
        <v>386</v>
      </c>
      <c r="K1573">
        <v>10000000</v>
      </c>
      <c r="L1573">
        <v>2</v>
      </c>
      <c r="M1573">
        <v>2</v>
      </c>
      <c r="N1573">
        <v>2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8</v>
      </c>
      <c r="V1573">
        <v>728.33896407999998</v>
      </c>
      <c r="AH1573">
        <f t="shared" si="221"/>
        <v>2</v>
      </c>
      <c r="AI1573">
        <f t="shared" si="222"/>
        <v>2</v>
      </c>
      <c r="AJ1573" t="str">
        <f t="shared" si="223"/>
        <v/>
      </c>
      <c r="AK1573" t="str">
        <f t="shared" si="224"/>
        <v/>
      </c>
      <c r="AL1573" t="str">
        <f t="shared" si="217"/>
        <v/>
      </c>
      <c r="AM1573" t="str">
        <f t="shared" si="218"/>
        <v/>
      </c>
      <c r="AN1573" t="str">
        <f t="shared" si="219"/>
        <v/>
      </c>
      <c r="AO1573" t="str">
        <f t="shared" si="220"/>
        <v/>
      </c>
    </row>
    <row r="1574" spans="1:41">
      <c r="A1574">
        <f t="shared" si="225"/>
        <v>1570</v>
      </c>
      <c r="B1574" t="s">
        <v>276</v>
      </c>
      <c r="C1574">
        <v>5</v>
      </c>
      <c r="D1574">
        <v>5</v>
      </c>
      <c r="E1574" t="s">
        <v>385</v>
      </c>
      <c r="F1574">
        <v>412</v>
      </c>
      <c r="G1574">
        <v>2</v>
      </c>
      <c r="H1574">
        <v>39</v>
      </c>
      <c r="I1574" t="s">
        <v>386</v>
      </c>
      <c r="J1574" t="s">
        <v>386</v>
      </c>
      <c r="K1574">
        <v>10000000</v>
      </c>
      <c r="L1574">
        <v>2</v>
      </c>
      <c r="M1574">
        <v>2</v>
      </c>
      <c r="N1574">
        <v>2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8</v>
      </c>
      <c r="V1574">
        <v>728.33896407999998</v>
      </c>
      <c r="AH1574">
        <f t="shared" si="221"/>
        <v>2</v>
      </c>
      <c r="AI1574">
        <f t="shared" si="222"/>
        <v>2</v>
      </c>
      <c r="AJ1574" t="str">
        <f t="shared" si="223"/>
        <v/>
      </c>
      <c r="AK1574" t="str">
        <f t="shared" si="224"/>
        <v/>
      </c>
      <c r="AL1574" t="str">
        <f t="shared" si="217"/>
        <v/>
      </c>
      <c r="AM1574" t="str">
        <f t="shared" si="218"/>
        <v/>
      </c>
      <c r="AN1574" t="str">
        <f t="shared" si="219"/>
        <v/>
      </c>
      <c r="AO1574" t="str">
        <f t="shared" si="220"/>
        <v/>
      </c>
    </row>
    <row r="1575" spans="1:41">
      <c r="A1575">
        <f t="shared" si="225"/>
        <v>1571</v>
      </c>
      <c r="B1575" t="s">
        <v>276</v>
      </c>
      <c r="C1575">
        <v>5</v>
      </c>
      <c r="D1575">
        <v>5</v>
      </c>
      <c r="E1575" t="s">
        <v>385</v>
      </c>
      <c r="F1575">
        <v>412</v>
      </c>
      <c r="G1575">
        <v>2</v>
      </c>
      <c r="H1575">
        <v>40</v>
      </c>
      <c r="I1575" t="s">
        <v>386</v>
      </c>
      <c r="J1575" t="s">
        <v>386</v>
      </c>
      <c r="K1575">
        <v>10000000</v>
      </c>
      <c r="L1575">
        <v>2</v>
      </c>
      <c r="M1575">
        <v>2</v>
      </c>
      <c r="N1575">
        <v>2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8</v>
      </c>
      <c r="V1575">
        <v>728.33896407999998</v>
      </c>
      <c r="AH1575">
        <f t="shared" si="221"/>
        <v>2</v>
      </c>
      <c r="AI1575">
        <f t="shared" si="222"/>
        <v>2</v>
      </c>
      <c r="AJ1575" t="str">
        <f t="shared" si="223"/>
        <v/>
      </c>
      <c r="AK1575" t="str">
        <f t="shared" si="224"/>
        <v/>
      </c>
      <c r="AL1575" t="str">
        <f t="shared" si="217"/>
        <v/>
      </c>
      <c r="AM1575" t="str">
        <f t="shared" si="218"/>
        <v/>
      </c>
      <c r="AN1575" t="str">
        <f t="shared" si="219"/>
        <v/>
      </c>
      <c r="AO1575" t="str">
        <f t="shared" si="220"/>
        <v/>
      </c>
    </row>
    <row r="1576" spans="1:41">
      <c r="A1576">
        <f t="shared" si="225"/>
        <v>1572</v>
      </c>
      <c r="B1576" t="s">
        <v>276</v>
      </c>
      <c r="C1576">
        <v>5</v>
      </c>
      <c r="D1576">
        <v>5</v>
      </c>
      <c r="E1576" t="s">
        <v>385</v>
      </c>
      <c r="F1576">
        <v>412</v>
      </c>
      <c r="G1576">
        <v>2</v>
      </c>
      <c r="H1576">
        <v>41</v>
      </c>
      <c r="I1576" t="s">
        <v>386</v>
      </c>
      <c r="J1576" t="s">
        <v>386</v>
      </c>
      <c r="K1576">
        <v>10000000</v>
      </c>
      <c r="L1576">
        <v>2</v>
      </c>
      <c r="M1576">
        <v>2</v>
      </c>
      <c r="N1576">
        <v>2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8</v>
      </c>
      <c r="V1576">
        <v>728.33896407999998</v>
      </c>
      <c r="AH1576">
        <f t="shared" si="221"/>
        <v>2</v>
      </c>
      <c r="AI1576">
        <f t="shared" si="222"/>
        <v>2</v>
      </c>
      <c r="AJ1576" t="str">
        <f t="shared" si="223"/>
        <v/>
      </c>
      <c r="AK1576" t="str">
        <f t="shared" si="224"/>
        <v/>
      </c>
      <c r="AL1576" t="str">
        <f t="shared" si="217"/>
        <v/>
      </c>
      <c r="AM1576" t="str">
        <f t="shared" si="218"/>
        <v/>
      </c>
      <c r="AN1576" t="str">
        <f t="shared" si="219"/>
        <v/>
      </c>
      <c r="AO1576" t="str">
        <f t="shared" si="220"/>
        <v/>
      </c>
    </row>
    <row r="1577" spans="1:41">
      <c r="A1577">
        <f t="shared" si="225"/>
        <v>1573</v>
      </c>
      <c r="B1577" t="s">
        <v>276</v>
      </c>
      <c r="C1577">
        <v>5</v>
      </c>
      <c r="D1577">
        <v>5</v>
      </c>
      <c r="E1577" t="s">
        <v>385</v>
      </c>
      <c r="F1577">
        <v>412</v>
      </c>
      <c r="G1577">
        <v>2</v>
      </c>
      <c r="H1577">
        <v>42</v>
      </c>
      <c r="I1577" t="s">
        <v>386</v>
      </c>
      <c r="J1577" t="s">
        <v>386</v>
      </c>
      <c r="K1577">
        <v>10000000</v>
      </c>
      <c r="L1577">
        <v>2</v>
      </c>
      <c r="M1577">
        <v>2</v>
      </c>
      <c r="N1577">
        <v>2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8</v>
      </c>
      <c r="V1577">
        <v>728.33896407999998</v>
      </c>
      <c r="AH1577">
        <f t="shared" si="221"/>
        <v>2</v>
      </c>
      <c r="AI1577">
        <f t="shared" si="222"/>
        <v>2</v>
      </c>
      <c r="AJ1577" t="str">
        <f t="shared" si="223"/>
        <v/>
      </c>
      <c r="AK1577" t="str">
        <f t="shared" si="224"/>
        <v/>
      </c>
      <c r="AL1577" t="str">
        <f t="shared" si="217"/>
        <v/>
      </c>
      <c r="AM1577" t="str">
        <f t="shared" si="218"/>
        <v/>
      </c>
      <c r="AN1577" t="str">
        <f t="shared" si="219"/>
        <v/>
      </c>
      <c r="AO1577" t="str">
        <f t="shared" si="220"/>
        <v/>
      </c>
    </row>
    <row r="1578" spans="1:41">
      <c r="A1578">
        <f t="shared" si="225"/>
        <v>1574</v>
      </c>
      <c r="B1578" t="s">
        <v>276</v>
      </c>
      <c r="C1578">
        <v>5</v>
      </c>
      <c r="D1578">
        <v>5</v>
      </c>
      <c r="E1578" t="s">
        <v>385</v>
      </c>
      <c r="F1578">
        <v>412</v>
      </c>
      <c r="G1578">
        <v>2</v>
      </c>
      <c r="H1578">
        <v>43</v>
      </c>
      <c r="I1578" t="s">
        <v>386</v>
      </c>
      <c r="J1578" t="s">
        <v>386</v>
      </c>
      <c r="K1578">
        <v>10000000</v>
      </c>
      <c r="L1578">
        <v>2</v>
      </c>
      <c r="M1578">
        <v>2</v>
      </c>
      <c r="N1578">
        <v>2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8</v>
      </c>
      <c r="V1578">
        <v>728.33896407999998</v>
      </c>
      <c r="AH1578">
        <f t="shared" si="221"/>
        <v>2</v>
      </c>
      <c r="AI1578">
        <f t="shared" si="222"/>
        <v>2</v>
      </c>
      <c r="AJ1578" t="str">
        <f t="shared" si="223"/>
        <v/>
      </c>
      <c r="AK1578" t="str">
        <f t="shared" si="224"/>
        <v/>
      </c>
      <c r="AL1578" t="str">
        <f t="shared" si="217"/>
        <v/>
      </c>
      <c r="AM1578" t="str">
        <f t="shared" si="218"/>
        <v/>
      </c>
      <c r="AN1578" t="str">
        <f t="shared" si="219"/>
        <v/>
      </c>
      <c r="AO1578" t="str">
        <f t="shared" si="220"/>
        <v/>
      </c>
    </row>
    <row r="1579" spans="1:41">
      <c r="A1579">
        <f t="shared" si="225"/>
        <v>1575</v>
      </c>
      <c r="B1579" t="s">
        <v>276</v>
      </c>
      <c r="C1579">
        <v>5</v>
      </c>
      <c r="D1579">
        <v>5</v>
      </c>
      <c r="E1579" t="s">
        <v>385</v>
      </c>
      <c r="F1579">
        <v>412</v>
      </c>
      <c r="G1579">
        <v>2</v>
      </c>
      <c r="H1579">
        <v>44</v>
      </c>
      <c r="I1579" t="s">
        <v>386</v>
      </c>
      <c r="J1579" t="s">
        <v>386</v>
      </c>
      <c r="K1579">
        <v>10000000</v>
      </c>
      <c r="L1579">
        <v>2</v>
      </c>
      <c r="M1579">
        <v>2</v>
      </c>
      <c r="N1579">
        <v>2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8</v>
      </c>
      <c r="V1579">
        <v>728.33896407999998</v>
      </c>
      <c r="AH1579">
        <f t="shared" si="221"/>
        <v>2</v>
      </c>
      <c r="AI1579">
        <f t="shared" si="222"/>
        <v>2</v>
      </c>
      <c r="AJ1579" t="str">
        <f t="shared" si="223"/>
        <v/>
      </c>
      <c r="AK1579" t="str">
        <f t="shared" si="224"/>
        <v/>
      </c>
      <c r="AL1579" t="str">
        <f t="shared" si="217"/>
        <v/>
      </c>
      <c r="AM1579" t="str">
        <f t="shared" si="218"/>
        <v/>
      </c>
      <c r="AN1579" t="str">
        <f t="shared" si="219"/>
        <v/>
      </c>
      <c r="AO1579" t="str">
        <f t="shared" si="220"/>
        <v/>
      </c>
    </row>
    <row r="1580" spans="1:41">
      <c r="A1580">
        <f t="shared" si="225"/>
        <v>1576</v>
      </c>
      <c r="B1580" t="s">
        <v>276</v>
      </c>
      <c r="C1580">
        <v>5</v>
      </c>
      <c r="D1580">
        <v>5</v>
      </c>
      <c r="E1580" t="s">
        <v>385</v>
      </c>
      <c r="F1580">
        <v>412</v>
      </c>
      <c r="G1580">
        <v>2</v>
      </c>
      <c r="H1580">
        <v>45</v>
      </c>
      <c r="I1580" t="s">
        <v>386</v>
      </c>
      <c r="J1580" t="s">
        <v>386</v>
      </c>
      <c r="K1580">
        <v>10000000</v>
      </c>
      <c r="L1580">
        <v>2</v>
      </c>
      <c r="M1580">
        <v>2</v>
      </c>
      <c r="N1580">
        <v>2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8</v>
      </c>
      <c r="V1580">
        <v>728.33896407999998</v>
      </c>
      <c r="AH1580">
        <f t="shared" si="221"/>
        <v>2</v>
      </c>
      <c r="AI1580">
        <f t="shared" si="222"/>
        <v>2</v>
      </c>
      <c r="AJ1580" t="str">
        <f t="shared" si="223"/>
        <v/>
      </c>
      <c r="AK1580" t="str">
        <f t="shared" si="224"/>
        <v/>
      </c>
      <c r="AL1580" t="str">
        <f t="shared" si="217"/>
        <v/>
      </c>
      <c r="AM1580" t="str">
        <f t="shared" si="218"/>
        <v/>
      </c>
      <c r="AN1580" t="str">
        <f t="shared" si="219"/>
        <v/>
      </c>
      <c r="AO1580" t="str">
        <f t="shared" si="220"/>
        <v/>
      </c>
    </row>
    <row r="1581" spans="1:41">
      <c r="A1581">
        <f t="shared" si="225"/>
        <v>1577</v>
      </c>
      <c r="B1581" t="s">
        <v>276</v>
      </c>
      <c r="C1581">
        <v>5</v>
      </c>
      <c r="D1581">
        <v>5</v>
      </c>
      <c r="E1581" t="s">
        <v>385</v>
      </c>
      <c r="F1581">
        <v>412</v>
      </c>
      <c r="G1581">
        <v>2</v>
      </c>
      <c r="H1581">
        <v>46</v>
      </c>
      <c r="I1581" t="s">
        <v>386</v>
      </c>
      <c r="J1581" t="s">
        <v>386</v>
      </c>
      <c r="K1581">
        <v>10000000</v>
      </c>
      <c r="L1581">
        <v>2</v>
      </c>
      <c r="M1581">
        <v>2</v>
      </c>
      <c r="N1581">
        <v>2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8</v>
      </c>
      <c r="V1581">
        <v>728.33896407999998</v>
      </c>
      <c r="AH1581">
        <f t="shared" si="221"/>
        <v>2</v>
      </c>
      <c r="AI1581">
        <f t="shared" si="222"/>
        <v>2</v>
      </c>
      <c r="AJ1581" t="str">
        <f t="shared" si="223"/>
        <v/>
      </c>
      <c r="AK1581" t="str">
        <f t="shared" si="224"/>
        <v/>
      </c>
      <c r="AL1581" t="str">
        <f t="shared" si="217"/>
        <v/>
      </c>
      <c r="AM1581" t="str">
        <f t="shared" si="218"/>
        <v/>
      </c>
      <c r="AN1581" t="str">
        <f t="shared" si="219"/>
        <v/>
      </c>
      <c r="AO1581" t="str">
        <f t="shared" si="220"/>
        <v/>
      </c>
    </row>
    <row r="1582" spans="1:41">
      <c r="A1582">
        <f t="shared" si="225"/>
        <v>1578</v>
      </c>
      <c r="B1582" t="s">
        <v>276</v>
      </c>
      <c r="C1582">
        <v>5</v>
      </c>
      <c r="D1582">
        <v>5</v>
      </c>
      <c r="E1582" t="s">
        <v>385</v>
      </c>
      <c r="F1582">
        <v>412</v>
      </c>
      <c r="G1582">
        <v>2</v>
      </c>
      <c r="H1582">
        <v>47</v>
      </c>
      <c r="I1582" t="s">
        <v>386</v>
      </c>
      <c r="J1582" t="s">
        <v>386</v>
      </c>
      <c r="K1582">
        <v>10000000</v>
      </c>
      <c r="L1582">
        <v>2</v>
      </c>
      <c r="M1582">
        <v>2</v>
      </c>
      <c r="N1582">
        <v>2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8</v>
      </c>
      <c r="V1582">
        <v>728.33896407999998</v>
      </c>
      <c r="AH1582">
        <f t="shared" si="221"/>
        <v>2</v>
      </c>
      <c r="AI1582">
        <f t="shared" si="222"/>
        <v>2</v>
      </c>
      <c r="AJ1582" t="str">
        <f t="shared" si="223"/>
        <v/>
      </c>
      <c r="AK1582" t="str">
        <f t="shared" si="224"/>
        <v/>
      </c>
      <c r="AL1582" t="str">
        <f t="shared" si="217"/>
        <v/>
      </c>
      <c r="AM1582" t="str">
        <f t="shared" si="218"/>
        <v/>
      </c>
      <c r="AN1582" t="str">
        <f t="shared" si="219"/>
        <v/>
      </c>
      <c r="AO1582" t="str">
        <f t="shared" si="220"/>
        <v/>
      </c>
    </row>
    <row r="1583" spans="1:41">
      <c r="A1583">
        <f t="shared" si="225"/>
        <v>1579</v>
      </c>
      <c r="B1583" t="s">
        <v>276</v>
      </c>
      <c r="C1583">
        <v>5</v>
      </c>
      <c r="D1583">
        <v>5</v>
      </c>
      <c r="E1583" t="s">
        <v>385</v>
      </c>
      <c r="F1583">
        <v>412</v>
      </c>
      <c r="G1583">
        <v>2</v>
      </c>
      <c r="H1583">
        <v>48</v>
      </c>
      <c r="I1583" t="s">
        <v>386</v>
      </c>
      <c r="J1583" t="s">
        <v>386</v>
      </c>
      <c r="K1583">
        <v>10000000</v>
      </c>
      <c r="L1583">
        <v>2</v>
      </c>
      <c r="M1583">
        <v>2</v>
      </c>
      <c r="N1583">
        <v>2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8</v>
      </c>
      <c r="V1583">
        <v>728.33896407999998</v>
      </c>
      <c r="AH1583">
        <f t="shared" si="221"/>
        <v>2</v>
      </c>
      <c r="AI1583">
        <f t="shared" si="222"/>
        <v>2</v>
      </c>
      <c r="AJ1583" t="str">
        <f t="shared" si="223"/>
        <v/>
      </c>
      <c r="AK1583" t="str">
        <f t="shared" si="224"/>
        <v/>
      </c>
      <c r="AL1583" t="str">
        <f t="shared" si="217"/>
        <v/>
      </c>
      <c r="AM1583" t="str">
        <f t="shared" si="218"/>
        <v/>
      </c>
      <c r="AN1583" t="str">
        <f t="shared" si="219"/>
        <v/>
      </c>
      <c r="AO1583" t="str">
        <f t="shared" si="220"/>
        <v/>
      </c>
    </row>
    <row r="1584" spans="1:41">
      <c r="A1584">
        <f t="shared" si="225"/>
        <v>1580</v>
      </c>
      <c r="B1584" t="s">
        <v>276</v>
      </c>
      <c r="C1584">
        <v>5</v>
      </c>
      <c r="D1584">
        <v>5</v>
      </c>
      <c r="E1584" t="s">
        <v>385</v>
      </c>
      <c r="F1584">
        <v>412</v>
      </c>
      <c r="G1584">
        <v>2</v>
      </c>
      <c r="H1584">
        <v>49</v>
      </c>
      <c r="I1584" t="s">
        <v>386</v>
      </c>
      <c r="J1584" t="s">
        <v>386</v>
      </c>
      <c r="K1584">
        <v>10000000</v>
      </c>
      <c r="L1584">
        <v>2</v>
      </c>
      <c r="M1584">
        <v>2</v>
      </c>
      <c r="N1584">
        <v>2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8</v>
      </c>
      <c r="V1584">
        <v>728.33896407999998</v>
      </c>
      <c r="AH1584">
        <f t="shared" si="221"/>
        <v>2</v>
      </c>
      <c r="AI1584">
        <f t="shared" si="222"/>
        <v>2</v>
      </c>
      <c r="AJ1584" t="str">
        <f t="shared" si="223"/>
        <v/>
      </c>
      <c r="AK1584" t="str">
        <f t="shared" si="224"/>
        <v/>
      </c>
      <c r="AL1584" t="str">
        <f t="shared" si="217"/>
        <v/>
      </c>
      <c r="AM1584" t="str">
        <f t="shared" si="218"/>
        <v/>
      </c>
      <c r="AN1584" t="str">
        <f t="shared" si="219"/>
        <v/>
      </c>
      <c r="AO1584" t="str">
        <f t="shared" si="220"/>
        <v/>
      </c>
    </row>
    <row r="1585" spans="1:41">
      <c r="A1585">
        <f t="shared" si="225"/>
        <v>1581</v>
      </c>
      <c r="B1585" t="s">
        <v>276</v>
      </c>
      <c r="C1585">
        <v>5</v>
      </c>
      <c r="D1585">
        <v>5</v>
      </c>
      <c r="E1585" t="s">
        <v>385</v>
      </c>
      <c r="F1585">
        <v>412</v>
      </c>
      <c r="G1585">
        <v>2</v>
      </c>
      <c r="H1585">
        <v>50</v>
      </c>
      <c r="I1585" t="s">
        <v>386</v>
      </c>
      <c r="J1585" t="s">
        <v>386</v>
      </c>
      <c r="K1585">
        <v>10000000</v>
      </c>
      <c r="L1585">
        <v>2</v>
      </c>
      <c r="M1585">
        <v>2</v>
      </c>
      <c r="N1585">
        <v>2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8</v>
      </c>
      <c r="V1585">
        <v>728.33896407999998</v>
      </c>
      <c r="AH1585">
        <f t="shared" si="221"/>
        <v>2</v>
      </c>
      <c r="AI1585">
        <f t="shared" si="222"/>
        <v>2</v>
      </c>
      <c r="AJ1585" t="str">
        <f t="shared" si="223"/>
        <v/>
      </c>
      <c r="AK1585" t="str">
        <f t="shared" si="224"/>
        <v/>
      </c>
      <c r="AL1585" t="str">
        <f t="shared" si="217"/>
        <v/>
      </c>
      <c r="AM1585" t="str">
        <f t="shared" si="218"/>
        <v/>
      </c>
      <c r="AN1585" t="str">
        <f t="shared" si="219"/>
        <v/>
      </c>
      <c r="AO1585" t="str">
        <f t="shared" si="220"/>
        <v/>
      </c>
    </row>
    <row r="1586" spans="1:41">
      <c r="A1586">
        <f t="shared" si="225"/>
        <v>1582</v>
      </c>
      <c r="B1586" t="s">
        <v>276</v>
      </c>
      <c r="C1586">
        <v>5</v>
      </c>
      <c r="D1586">
        <v>5</v>
      </c>
      <c r="E1586" t="s">
        <v>385</v>
      </c>
      <c r="F1586">
        <v>412</v>
      </c>
      <c r="G1586">
        <v>2</v>
      </c>
      <c r="H1586">
        <v>51</v>
      </c>
      <c r="I1586" t="s">
        <v>386</v>
      </c>
      <c r="J1586" t="s">
        <v>386</v>
      </c>
      <c r="K1586">
        <v>10000000</v>
      </c>
      <c r="L1586">
        <v>2</v>
      </c>
      <c r="M1586">
        <v>2</v>
      </c>
      <c r="N1586">
        <v>2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8</v>
      </c>
      <c r="V1586">
        <v>728.33896407999998</v>
      </c>
      <c r="AH1586">
        <f t="shared" si="221"/>
        <v>2</v>
      </c>
      <c r="AI1586">
        <f t="shared" si="222"/>
        <v>2</v>
      </c>
      <c r="AJ1586" t="str">
        <f t="shared" si="223"/>
        <v/>
      </c>
      <c r="AK1586" t="str">
        <f t="shared" si="224"/>
        <v/>
      </c>
      <c r="AL1586" t="str">
        <f t="shared" si="217"/>
        <v/>
      </c>
      <c r="AM1586" t="str">
        <f t="shared" si="218"/>
        <v/>
      </c>
      <c r="AN1586" t="str">
        <f t="shared" si="219"/>
        <v/>
      </c>
      <c r="AO1586" t="str">
        <f t="shared" si="220"/>
        <v/>
      </c>
    </row>
    <row r="1587" spans="1:41">
      <c r="A1587">
        <f t="shared" si="225"/>
        <v>1583</v>
      </c>
      <c r="B1587" t="s">
        <v>276</v>
      </c>
      <c r="C1587">
        <v>5</v>
      </c>
      <c r="D1587">
        <v>5</v>
      </c>
      <c r="E1587" t="s">
        <v>385</v>
      </c>
      <c r="F1587">
        <v>412</v>
      </c>
      <c r="G1587">
        <v>2</v>
      </c>
      <c r="H1587">
        <v>52</v>
      </c>
      <c r="I1587" t="s">
        <v>386</v>
      </c>
      <c r="J1587" t="s">
        <v>386</v>
      </c>
      <c r="K1587">
        <v>10000000</v>
      </c>
      <c r="L1587">
        <v>2</v>
      </c>
      <c r="M1587">
        <v>2</v>
      </c>
      <c r="N1587">
        <v>2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8</v>
      </c>
      <c r="V1587">
        <v>728.33896407999998</v>
      </c>
      <c r="AH1587">
        <f t="shared" si="221"/>
        <v>2</v>
      </c>
      <c r="AI1587">
        <f t="shared" si="222"/>
        <v>2</v>
      </c>
      <c r="AJ1587" t="str">
        <f t="shared" si="223"/>
        <v/>
      </c>
      <c r="AK1587" t="str">
        <f t="shared" si="224"/>
        <v/>
      </c>
      <c r="AL1587" t="str">
        <f t="shared" si="217"/>
        <v/>
      </c>
      <c r="AM1587" t="str">
        <f t="shared" si="218"/>
        <v/>
      </c>
      <c r="AN1587" t="str">
        <f t="shared" si="219"/>
        <v/>
      </c>
      <c r="AO1587" t="str">
        <f t="shared" si="220"/>
        <v/>
      </c>
    </row>
    <row r="1588" spans="1:41">
      <c r="A1588">
        <f t="shared" si="225"/>
        <v>1584</v>
      </c>
      <c r="B1588" t="s">
        <v>276</v>
      </c>
      <c r="C1588">
        <v>5</v>
      </c>
      <c r="D1588">
        <v>5</v>
      </c>
      <c r="E1588" t="s">
        <v>385</v>
      </c>
      <c r="F1588">
        <v>412</v>
      </c>
      <c r="G1588">
        <v>2</v>
      </c>
      <c r="H1588">
        <v>53</v>
      </c>
      <c r="I1588" t="s">
        <v>386</v>
      </c>
      <c r="J1588" t="s">
        <v>386</v>
      </c>
      <c r="K1588">
        <v>10000000</v>
      </c>
      <c r="L1588">
        <v>2</v>
      </c>
      <c r="M1588">
        <v>2</v>
      </c>
      <c r="N1588">
        <v>2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8</v>
      </c>
      <c r="V1588">
        <v>728.33896407999998</v>
      </c>
      <c r="AH1588">
        <f t="shared" si="221"/>
        <v>2</v>
      </c>
      <c r="AI1588">
        <f t="shared" si="222"/>
        <v>2</v>
      </c>
      <c r="AJ1588" t="str">
        <f t="shared" si="223"/>
        <v/>
      </c>
      <c r="AK1588" t="str">
        <f t="shared" si="224"/>
        <v/>
      </c>
      <c r="AL1588" t="str">
        <f t="shared" si="217"/>
        <v/>
      </c>
      <c r="AM1588" t="str">
        <f t="shared" si="218"/>
        <v/>
      </c>
      <c r="AN1588" t="str">
        <f t="shared" si="219"/>
        <v/>
      </c>
      <c r="AO1588" t="str">
        <f t="shared" si="220"/>
        <v/>
      </c>
    </row>
    <row r="1589" spans="1:41">
      <c r="A1589">
        <f t="shared" si="225"/>
        <v>1585</v>
      </c>
      <c r="B1589" t="s">
        <v>276</v>
      </c>
      <c r="C1589">
        <v>5</v>
      </c>
      <c r="D1589">
        <v>5</v>
      </c>
      <c r="E1589" t="s">
        <v>385</v>
      </c>
      <c r="F1589">
        <v>412</v>
      </c>
      <c r="G1589">
        <v>2</v>
      </c>
      <c r="H1589">
        <v>54</v>
      </c>
      <c r="I1589" t="s">
        <v>386</v>
      </c>
      <c r="J1589" t="s">
        <v>386</v>
      </c>
      <c r="K1589">
        <v>10000000</v>
      </c>
      <c r="L1589">
        <v>2</v>
      </c>
      <c r="M1589">
        <v>2</v>
      </c>
      <c r="N1589">
        <v>2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8</v>
      </c>
      <c r="V1589">
        <v>728.33896407999998</v>
      </c>
      <c r="AH1589">
        <f t="shared" si="221"/>
        <v>2</v>
      </c>
      <c r="AI1589">
        <f t="shared" si="222"/>
        <v>2</v>
      </c>
      <c r="AJ1589" t="str">
        <f t="shared" si="223"/>
        <v/>
      </c>
      <c r="AK1589" t="str">
        <f t="shared" si="224"/>
        <v/>
      </c>
      <c r="AL1589" t="str">
        <f t="shared" si="217"/>
        <v/>
      </c>
      <c r="AM1589" t="str">
        <f t="shared" si="218"/>
        <v/>
      </c>
      <c r="AN1589" t="str">
        <f t="shared" si="219"/>
        <v/>
      </c>
      <c r="AO1589" t="str">
        <f t="shared" si="220"/>
        <v/>
      </c>
    </row>
    <row r="1590" spans="1:41">
      <c r="A1590">
        <f t="shared" si="225"/>
        <v>1586</v>
      </c>
      <c r="B1590" t="s">
        <v>276</v>
      </c>
      <c r="C1590">
        <v>5</v>
      </c>
      <c r="D1590">
        <v>5</v>
      </c>
      <c r="E1590" t="s">
        <v>385</v>
      </c>
      <c r="F1590">
        <v>412</v>
      </c>
      <c r="G1590">
        <v>2</v>
      </c>
      <c r="H1590">
        <v>55</v>
      </c>
      <c r="I1590" t="s">
        <v>386</v>
      </c>
      <c r="J1590" t="s">
        <v>386</v>
      </c>
      <c r="K1590">
        <v>10000000</v>
      </c>
      <c r="L1590">
        <v>2</v>
      </c>
      <c r="M1590">
        <v>2</v>
      </c>
      <c r="N1590">
        <v>2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8</v>
      </c>
      <c r="V1590">
        <v>728.33896407999998</v>
      </c>
      <c r="AH1590">
        <f t="shared" si="221"/>
        <v>2</v>
      </c>
      <c r="AI1590">
        <f t="shared" si="222"/>
        <v>2</v>
      </c>
      <c r="AJ1590" t="str">
        <f t="shared" si="223"/>
        <v/>
      </c>
      <c r="AK1590" t="str">
        <f t="shared" si="224"/>
        <v/>
      </c>
      <c r="AL1590" t="str">
        <f t="shared" si="217"/>
        <v/>
      </c>
      <c r="AM1590" t="str">
        <f t="shared" si="218"/>
        <v/>
      </c>
      <c r="AN1590" t="str">
        <f t="shared" si="219"/>
        <v/>
      </c>
      <c r="AO1590" t="str">
        <f t="shared" si="220"/>
        <v/>
      </c>
    </row>
    <row r="1591" spans="1:41">
      <c r="A1591">
        <f t="shared" si="225"/>
        <v>1587</v>
      </c>
      <c r="B1591" t="s">
        <v>276</v>
      </c>
      <c r="C1591">
        <v>5</v>
      </c>
      <c r="D1591">
        <v>5</v>
      </c>
      <c r="E1591" t="s">
        <v>385</v>
      </c>
      <c r="F1591">
        <v>412</v>
      </c>
      <c r="G1591">
        <v>2</v>
      </c>
      <c r="H1591">
        <v>56</v>
      </c>
      <c r="I1591" t="s">
        <v>386</v>
      </c>
      <c r="J1591" t="s">
        <v>386</v>
      </c>
      <c r="K1591">
        <v>10000000</v>
      </c>
      <c r="L1591">
        <v>2</v>
      </c>
      <c r="M1591">
        <v>2</v>
      </c>
      <c r="N1591">
        <v>2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8</v>
      </c>
      <c r="V1591">
        <v>728.33896407999998</v>
      </c>
      <c r="AH1591">
        <f t="shared" si="221"/>
        <v>2</v>
      </c>
      <c r="AI1591">
        <f t="shared" si="222"/>
        <v>2</v>
      </c>
      <c r="AJ1591" t="str">
        <f t="shared" si="223"/>
        <v/>
      </c>
      <c r="AK1591" t="str">
        <f t="shared" si="224"/>
        <v/>
      </c>
      <c r="AL1591" t="str">
        <f t="shared" si="217"/>
        <v/>
      </c>
      <c r="AM1591" t="str">
        <f t="shared" si="218"/>
        <v/>
      </c>
      <c r="AN1591" t="str">
        <f t="shared" si="219"/>
        <v/>
      </c>
      <c r="AO1591" t="str">
        <f t="shared" si="220"/>
        <v/>
      </c>
    </row>
    <row r="1592" spans="1:41">
      <c r="A1592">
        <f t="shared" si="225"/>
        <v>1588</v>
      </c>
      <c r="B1592" t="s">
        <v>276</v>
      </c>
      <c r="C1592">
        <v>5</v>
      </c>
      <c r="D1592">
        <v>5</v>
      </c>
      <c r="E1592" t="s">
        <v>385</v>
      </c>
      <c r="F1592">
        <v>412</v>
      </c>
      <c r="G1592">
        <v>2</v>
      </c>
      <c r="H1592">
        <v>57</v>
      </c>
      <c r="I1592" t="s">
        <v>386</v>
      </c>
      <c r="J1592" t="s">
        <v>386</v>
      </c>
      <c r="K1592">
        <v>10000000</v>
      </c>
      <c r="L1592">
        <v>2</v>
      </c>
      <c r="M1592">
        <v>2</v>
      </c>
      <c r="N1592">
        <v>2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8</v>
      </c>
      <c r="V1592">
        <v>728.33896407999998</v>
      </c>
      <c r="AH1592">
        <f t="shared" si="221"/>
        <v>2</v>
      </c>
      <c r="AI1592">
        <f t="shared" si="222"/>
        <v>2</v>
      </c>
      <c r="AJ1592" t="str">
        <f t="shared" si="223"/>
        <v/>
      </c>
      <c r="AK1592" t="str">
        <f t="shared" si="224"/>
        <v/>
      </c>
      <c r="AL1592" t="str">
        <f t="shared" si="217"/>
        <v/>
      </c>
      <c r="AM1592" t="str">
        <f t="shared" si="218"/>
        <v/>
      </c>
      <c r="AN1592" t="str">
        <f t="shared" si="219"/>
        <v/>
      </c>
      <c r="AO1592" t="str">
        <f t="shared" si="220"/>
        <v/>
      </c>
    </row>
    <row r="1593" spans="1:41">
      <c r="A1593">
        <f t="shared" si="225"/>
        <v>1589</v>
      </c>
      <c r="B1593" t="s">
        <v>276</v>
      </c>
      <c r="C1593">
        <v>5</v>
      </c>
      <c r="D1593">
        <v>5</v>
      </c>
      <c r="E1593" t="s">
        <v>385</v>
      </c>
      <c r="F1593">
        <v>412</v>
      </c>
      <c r="G1593">
        <v>2</v>
      </c>
      <c r="H1593">
        <v>58</v>
      </c>
      <c r="I1593" t="s">
        <v>386</v>
      </c>
      <c r="J1593" t="s">
        <v>386</v>
      </c>
      <c r="K1593">
        <v>10000000</v>
      </c>
      <c r="L1593">
        <v>2</v>
      </c>
      <c r="M1593">
        <v>2</v>
      </c>
      <c r="N1593">
        <v>2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8</v>
      </c>
      <c r="V1593">
        <v>728.33896407999998</v>
      </c>
      <c r="AH1593">
        <f t="shared" si="221"/>
        <v>2</v>
      </c>
      <c r="AI1593">
        <f t="shared" si="222"/>
        <v>2</v>
      </c>
      <c r="AJ1593" t="str">
        <f t="shared" si="223"/>
        <v/>
      </c>
      <c r="AK1593" t="str">
        <f t="shared" si="224"/>
        <v/>
      </c>
      <c r="AL1593" t="str">
        <f t="shared" si="217"/>
        <v/>
      </c>
      <c r="AM1593" t="str">
        <f t="shared" si="218"/>
        <v/>
      </c>
      <c r="AN1593" t="str">
        <f t="shared" si="219"/>
        <v/>
      </c>
      <c r="AO1593" t="str">
        <f t="shared" si="220"/>
        <v/>
      </c>
    </row>
    <row r="1594" spans="1:41">
      <c r="A1594">
        <f t="shared" si="225"/>
        <v>1590</v>
      </c>
      <c r="B1594" t="s">
        <v>276</v>
      </c>
      <c r="C1594">
        <v>5</v>
      </c>
      <c r="D1594">
        <v>5</v>
      </c>
      <c r="E1594" t="s">
        <v>385</v>
      </c>
      <c r="F1594">
        <v>412</v>
      </c>
      <c r="G1594">
        <v>2</v>
      </c>
      <c r="H1594">
        <v>59</v>
      </c>
      <c r="I1594" t="s">
        <v>386</v>
      </c>
      <c r="J1594" t="s">
        <v>386</v>
      </c>
      <c r="K1594">
        <v>10000000</v>
      </c>
      <c r="L1594">
        <v>2</v>
      </c>
      <c r="M1594">
        <v>2</v>
      </c>
      <c r="N1594">
        <v>2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8</v>
      </c>
      <c r="V1594">
        <v>728.33896407999998</v>
      </c>
      <c r="AH1594">
        <f t="shared" si="221"/>
        <v>2</v>
      </c>
      <c r="AI1594">
        <f t="shared" si="222"/>
        <v>2</v>
      </c>
      <c r="AJ1594" t="str">
        <f t="shared" si="223"/>
        <v/>
      </c>
      <c r="AK1594" t="str">
        <f t="shared" si="224"/>
        <v/>
      </c>
      <c r="AL1594" t="str">
        <f t="shared" si="217"/>
        <v/>
      </c>
      <c r="AM1594" t="str">
        <f t="shared" si="218"/>
        <v/>
      </c>
      <c r="AN1594" t="str">
        <f t="shared" si="219"/>
        <v/>
      </c>
      <c r="AO1594" t="str">
        <f t="shared" si="220"/>
        <v/>
      </c>
    </row>
    <row r="1595" spans="1:41">
      <c r="A1595">
        <f t="shared" si="225"/>
        <v>1591</v>
      </c>
      <c r="B1595" t="s">
        <v>276</v>
      </c>
      <c r="C1595">
        <v>5</v>
      </c>
      <c r="D1595">
        <v>5</v>
      </c>
      <c r="E1595" t="s">
        <v>385</v>
      </c>
      <c r="F1595">
        <v>412</v>
      </c>
      <c r="G1595">
        <v>2</v>
      </c>
      <c r="H1595">
        <v>60</v>
      </c>
      <c r="I1595" t="s">
        <v>386</v>
      </c>
      <c r="J1595" t="s">
        <v>386</v>
      </c>
      <c r="K1595">
        <v>10000000</v>
      </c>
      <c r="L1595">
        <v>2</v>
      </c>
      <c r="M1595">
        <v>2</v>
      </c>
      <c r="N1595">
        <v>2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8</v>
      </c>
      <c r="V1595">
        <v>728.33896407999998</v>
      </c>
      <c r="AH1595">
        <f t="shared" si="221"/>
        <v>2</v>
      </c>
      <c r="AI1595">
        <f t="shared" si="222"/>
        <v>2</v>
      </c>
      <c r="AJ1595" t="str">
        <f t="shared" si="223"/>
        <v/>
      </c>
      <c r="AK1595" t="str">
        <f t="shared" si="224"/>
        <v/>
      </c>
      <c r="AL1595" t="str">
        <f t="shared" si="217"/>
        <v/>
      </c>
      <c r="AM1595" t="str">
        <f t="shared" si="218"/>
        <v/>
      </c>
      <c r="AN1595" t="str">
        <f t="shared" si="219"/>
        <v/>
      </c>
      <c r="AO1595" t="str">
        <f t="shared" si="220"/>
        <v/>
      </c>
    </row>
    <row r="1596" spans="1:41">
      <c r="A1596">
        <f t="shared" si="225"/>
        <v>1592</v>
      </c>
      <c r="B1596" t="s">
        <v>276</v>
      </c>
      <c r="C1596">
        <v>5</v>
      </c>
      <c r="D1596">
        <v>5</v>
      </c>
      <c r="E1596" t="s">
        <v>385</v>
      </c>
      <c r="F1596">
        <v>412</v>
      </c>
      <c r="G1596">
        <v>2</v>
      </c>
      <c r="H1596">
        <v>61</v>
      </c>
      <c r="I1596" t="s">
        <v>386</v>
      </c>
      <c r="J1596" t="s">
        <v>386</v>
      </c>
      <c r="K1596">
        <v>10000000</v>
      </c>
      <c r="L1596">
        <v>2</v>
      </c>
      <c r="M1596">
        <v>2</v>
      </c>
      <c r="N1596">
        <v>2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8</v>
      </c>
      <c r="V1596">
        <v>728.33896407999998</v>
      </c>
      <c r="AH1596">
        <f t="shared" si="221"/>
        <v>2</v>
      </c>
      <c r="AI1596">
        <f t="shared" si="222"/>
        <v>2</v>
      </c>
      <c r="AJ1596" t="str">
        <f t="shared" si="223"/>
        <v/>
      </c>
      <c r="AK1596" t="str">
        <f t="shared" si="224"/>
        <v/>
      </c>
      <c r="AL1596" t="str">
        <f t="shared" si="217"/>
        <v/>
      </c>
      <c r="AM1596" t="str">
        <f t="shared" si="218"/>
        <v/>
      </c>
      <c r="AN1596" t="str">
        <f t="shared" si="219"/>
        <v/>
      </c>
      <c r="AO1596" t="str">
        <f t="shared" si="220"/>
        <v/>
      </c>
    </row>
    <row r="1597" spans="1:41">
      <c r="A1597">
        <f t="shared" si="225"/>
        <v>1593</v>
      </c>
      <c r="B1597" t="s">
        <v>276</v>
      </c>
      <c r="C1597">
        <v>5</v>
      </c>
      <c r="D1597">
        <v>5</v>
      </c>
      <c r="E1597" t="s">
        <v>385</v>
      </c>
      <c r="F1597">
        <v>412</v>
      </c>
      <c r="G1597">
        <v>2</v>
      </c>
      <c r="H1597">
        <v>62</v>
      </c>
      <c r="I1597" t="s">
        <v>386</v>
      </c>
      <c r="J1597" t="s">
        <v>386</v>
      </c>
      <c r="K1597">
        <v>10000000</v>
      </c>
      <c r="L1597">
        <v>2</v>
      </c>
      <c r="M1597">
        <v>2</v>
      </c>
      <c r="N1597">
        <v>2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8</v>
      </c>
      <c r="V1597">
        <v>728.33896407999998</v>
      </c>
      <c r="AH1597">
        <f t="shared" si="221"/>
        <v>2</v>
      </c>
      <c r="AI1597">
        <f t="shared" si="222"/>
        <v>2</v>
      </c>
      <c r="AJ1597" t="str">
        <f t="shared" si="223"/>
        <v/>
      </c>
      <c r="AK1597" t="str">
        <f t="shared" si="224"/>
        <v/>
      </c>
      <c r="AL1597" t="str">
        <f t="shared" si="217"/>
        <v/>
      </c>
      <c r="AM1597" t="str">
        <f t="shared" si="218"/>
        <v/>
      </c>
      <c r="AN1597" t="str">
        <f t="shared" si="219"/>
        <v/>
      </c>
      <c r="AO1597" t="str">
        <f t="shared" si="220"/>
        <v/>
      </c>
    </row>
    <row r="1598" spans="1:41">
      <c r="A1598">
        <f t="shared" si="225"/>
        <v>1594</v>
      </c>
      <c r="B1598" t="s">
        <v>276</v>
      </c>
      <c r="C1598">
        <v>5</v>
      </c>
      <c r="D1598">
        <v>5</v>
      </c>
      <c r="E1598" t="s">
        <v>385</v>
      </c>
      <c r="F1598">
        <v>412</v>
      </c>
      <c r="G1598">
        <v>2</v>
      </c>
      <c r="H1598">
        <v>63</v>
      </c>
      <c r="I1598" t="s">
        <v>386</v>
      </c>
      <c r="J1598" t="s">
        <v>386</v>
      </c>
      <c r="K1598">
        <v>10000000</v>
      </c>
      <c r="L1598">
        <v>2</v>
      </c>
      <c r="M1598">
        <v>2</v>
      </c>
      <c r="N1598">
        <v>2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8</v>
      </c>
      <c r="V1598">
        <v>728.33896407999998</v>
      </c>
      <c r="AH1598">
        <f t="shared" si="221"/>
        <v>2</v>
      </c>
      <c r="AI1598">
        <f t="shared" si="222"/>
        <v>2</v>
      </c>
      <c r="AJ1598" t="str">
        <f t="shared" si="223"/>
        <v/>
      </c>
      <c r="AK1598" t="str">
        <f t="shared" si="224"/>
        <v/>
      </c>
      <c r="AL1598" t="str">
        <f t="shared" si="217"/>
        <v/>
      </c>
      <c r="AM1598" t="str">
        <f t="shared" si="218"/>
        <v/>
      </c>
      <c r="AN1598" t="str">
        <f t="shared" si="219"/>
        <v/>
      </c>
      <c r="AO1598" t="str">
        <f t="shared" si="220"/>
        <v/>
      </c>
    </row>
    <row r="1599" spans="1:41">
      <c r="A1599">
        <f t="shared" si="225"/>
        <v>1595</v>
      </c>
      <c r="B1599" t="s">
        <v>276</v>
      </c>
      <c r="C1599">
        <v>5</v>
      </c>
      <c r="D1599">
        <v>5</v>
      </c>
      <c r="E1599" t="s">
        <v>385</v>
      </c>
      <c r="F1599">
        <v>412</v>
      </c>
      <c r="G1599">
        <v>2</v>
      </c>
      <c r="H1599">
        <v>64</v>
      </c>
      <c r="I1599" t="s">
        <v>386</v>
      </c>
      <c r="J1599" t="s">
        <v>386</v>
      </c>
      <c r="K1599">
        <v>10000000</v>
      </c>
      <c r="L1599">
        <v>2</v>
      </c>
      <c r="M1599">
        <v>2</v>
      </c>
      <c r="N1599">
        <v>2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8</v>
      </c>
      <c r="V1599">
        <v>728.33896407999998</v>
      </c>
      <c r="AH1599">
        <f t="shared" si="221"/>
        <v>2</v>
      </c>
      <c r="AI1599">
        <f t="shared" si="222"/>
        <v>2</v>
      </c>
      <c r="AJ1599" t="str">
        <f t="shared" si="223"/>
        <v/>
      </c>
      <c r="AK1599" t="str">
        <f t="shared" si="224"/>
        <v/>
      </c>
      <c r="AL1599" t="str">
        <f t="shared" si="217"/>
        <v/>
      </c>
      <c r="AM1599" t="str">
        <f t="shared" si="218"/>
        <v/>
      </c>
      <c r="AN1599" t="str">
        <f t="shared" si="219"/>
        <v/>
      </c>
      <c r="AO1599" t="str">
        <f t="shared" si="220"/>
        <v/>
      </c>
    </row>
    <row r="1600" spans="1:41">
      <c r="A1600">
        <f t="shared" si="225"/>
        <v>1596</v>
      </c>
      <c r="B1600" t="s">
        <v>276</v>
      </c>
      <c r="C1600">
        <v>5</v>
      </c>
      <c r="D1600">
        <v>5</v>
      </c>
      <c r="E1600" t="s">
        <v>385</v>
      </c>
      <c r="F1600">
        <v>412</v>
      </c>
      <c r="G1600">
        <v>2</v>
      </c>
      <c r="H1600">
        <v>65</v>
      </c>
      <c r="I1600" t="s">
        <v>386</v>
      </c>
      <c r="J1600" t="s">
        <v>386</v>
      </c>
      <c r="K1600">
        <v>10000000</v>
      </c>
      <c r="L1600">
        <v>2</v>
      </c>
      <c r="M1600">
        <v>2</v>
      </c>
      <c r="N1600">
        <v>2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8</v>
      </c>
      <c r="V1600">
        <v>728.33896407999998</v>
      </c>
      <c r="AH1600">
        <f t="shared" si="221"/>
        <v>2</v>
      </c>
      <c r="AI1600">
        <f t="shared" si="222"/>
        <v>2</v>
      </c>
      <c r="AJ1600" t="str">
        <f t="shared" si="223"/>
        <v/>
      </c>
      <c r="AK1600" t="str">
        <f t="shared" si="224"/>
        <v/>
      </c>
      <c r="AL1600" t="str">
        <f t="shared" si="217"/>
        <v/>
      </c>
      <c r="AM1600" t="str">
        <f t="shared" si="218"/>
        <v/>
      </c>
      <c r="AN1600" t="str">
        <f t="shared" si="219"/>
        <v/>
      </c>
      <c r="AO1600" t="str">
        <f t="shared" si="220"/>
        <v/>
      </c>
    </row>
    <row r="1601" spans="1:41">
      <c r="A1601">
        <f t="shared" si="225"/>
        <v>1597</v>
      </c>
      <c r="B1601" t="s">
        <v>276</v>
      </c>
      <c r="C1601">
        <v>5</v>
      </c>
      <c r="D1601">
        <v>5</v>
      </c>
      <c r="E1601" t="s">
        <v>385</v>
      </c>
      <c r="F1601">
        <v>412</v>
      </c>
      <c r="G1601">
        <v>2</v>
      </c>
      <c r="H1601">
        <v>66</v>
      </c>
      <c r="I1601" t="s">
        <v>386</v>
      </c>
      <c r="J1601" t="s">
        <v>386</v>
      </c>
      <c r="K1601">
        <v>10000000</v>
      </c>
      <c r="L1601">
        <v>2</v>
      </c>
      <c r="M1601">
        <v>2</v>
      </c>
      <c r="N1601">
        <v>2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8</v>
      </c>
      <c r="V1601">
        <v>728.33896407999998</v>
      </c>
      <c r="AH1601">
        <f t="shared" si="221"/>
        <v>2</v>
      </c>
      <c r="AI1601">
        <f t="shared" si="222"/>
        <v>2</v>
      </c>
      <c r="AJ1601" t="str">
        <f t="shared" si="223"/>
        <v/>
      </c>
      <c r="AK1601" t="str">
        <f t="shared" si="224"/>
        <v/>
      </c>
      <c r="AL1601" t="str">
        <f t="shared" si="217"/>
        <v/>
      </c>
      <c r="AM1601" t="str">
        <f t="shared" si="218"/>
        <v/>
      </c>
      <c r="AN1601" t="str">
        <f t="shared" si="219"/>
        <v/>
      </c>
      <c r="AO1601" t="str">
        <f t="shared" si="220"/>
        <v/>
      </c>
    </row>
    <row r="1602" spans="1:41">
      <c r="A1602">
        <f t="shared" si="225"/>
        <v>1598</v>
      </c>
      <c r="B1602" t="s">
        <v>276</v>
      </c>
      <c r="C1602">
        <v>5</v>
      </c>
      <c r="D1602">
        <v>5</v>
      </c>
      <c r="E1602" t="s">
        <v>385</v>
      </c>
      <c r="F1602">
        <v>412</v>
      </c>
      <c r="G1602">
        <v>2</v>
      </c>
      <c r="H1602">
        <v>67</v>
      </c>
      <c r="I1602" t="s">
        <v>386</v>
      </c>
      <c r="J1602" t="s">
        <v>386</v>
      </c>
      <c r="K1602">
        <v>10000000</v>
      </c>
      <c r="L1602">
        <v>2</v>
      </c>
      <c r="M1602">
        <v>2</v>
      </c>
      <c r="N1602">
        <v>2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8</v>
      </c>
      <c r="V1602">
        <v>728.33896407999998</v>
      </c>
      <c r="AH1602">
        <f t="shared" si="221"/>
        <v>2</v>
      </c>
      <c r="AI1602">
        <f t="shared" si="222"/>
        <v>2</v>
      </c>
      <c r="AJ1602" t="str">
        <f t="shared" si="223"/>
        <v/>
      </c>
      <c r="AK1602" t="str">
        <f t="shared" si="224"/>
        <v/>
      </c>
      <c r="AL1602" t="str">
        <f t="shared" si="217"/>
        <v/>
      </c>
      <c r="AM1602" t="str">
        <f t="shared" si="218"/>
        <v/>
      </c>
      <c r="AN1602" t="str">
        <f t="shared" si="219"/>
        <v/>
      </c>
      <c r="AO1602" t="str">
        <f t="shared" si="220"/>
        <v/>
      </c>
    </row>
    <row r="1603" spans="1:41">
      <c r="A1603">
        <f t="shared" si="225"/>
        <v>1599</v>
      </c>
      <c r="B1603" t="s">
        <v>276</v>
      </c>
      <c r="C1603">
        <v>5</v>
      </c>
      <c r="D1603">
        <v>5</v>
      </c>
      <c r="E1603" t="s">
        <v>385</v>
      </c>
      <c r="F1603">
        <v>412</v>
      </c>
      <c r="G1603">
        <v>2</v>
      </c>
      <c r="H1603">
        <v>68</v>
      </c>
      <c r="I1603" t="s">
        <v>386</v>
      </c>
      <c r="J1603" t="s">
        <v>386</v>
      </c>
      <c r="K1603">
        <v>10000000</v>
      </c>
      <c r="L1603">
        <v>2</v>
      </c>
      <c r="M1603">
        <v>2</v>
      </c>
      <c r="N1603">
        <v>2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8</v>
      </c>
      <c r="V1603">
        <v>728.33896407999998</v>
      </c>
      <c r="AH1603">
        <f t="shared" si="221"/>
        <v>2</v>
      </c>
      <c r="AI1603">
        <f t="shared" si="222"/>
        <v>2</v>
      </c>
      <c r="AJ1603" t="str">
        <f t="shared" si="223"/>
        <v/>
      </c>
      <c r="AK1603" t="str">
        <f t="shared" si="224"/>
        <v/>
      </c>
      <c r="AL1603" t="str">
        <f t="shared" si="217"/>
        <v/>
      </c>
      <c r="AM1603" t="str">
        <f t="shared" si="218"/>
        <v/>
      </c>
      <c r="AN1603" t="str">
        <f t="shared" si="219"/>
        <v/>
      </c>
      <c r="AO1603" t="str">
        <f t="shared" si="220"/>
        <v/>
      </c>
    </row>
    <row r="1604" spans="1:41">
      <c r="A1604">
        <f t="shared" si="225"/>
        <v>1600</v>
      </c>
      <c r="B1604" t="s">
        <v>276</v>
      </c>
      <c r="C1604">
        <v>5</v>
      </c>
      <c r="D1604">
        <v>5</v>
      </c>
      <c r="E1604" t="s">
        <v>385</v>
      </c>
      <c r="F1604">
        <v>412</v>
      </c>
      <c r="G1604">
        <v>2</v>
      </c>
      <c r="H1604">
        <v>69</v>
      </c>
      <c r="I1604" t="s">
        <v>386</v>
      </c>
      <c r="J1604" t="s">
        <v>386</v>
      </c>
      <c r="K1604">
        <v>10000000</v>
      </c>
      <c r="L1604">
        <v>2</v>
      </c>
      <c r="M1604">
        <v>2</v>
      </c>
      <c r="N1604">
        <v>2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8</v>
      </c>
      <c r="V1604">
        <v>728.33896407999998</v>
      </c>
      <c r="AH1604">
        <f t="shared" si="221"/>
        <v>2</v>
      </c>
      <c r="AI1604">
        <f t="shared" si="222"/>
        <v>2</v>
      </c>
      <c r="AJ1604" t="str">
        <f t="shared" si="223"/>
        <v/>
      </c>
      <c r="AK1604" t="str">
        <f t="shared" si="224"/>
        <v/>
      </c>
      <c r="AL1604" t="str">
        <f t="shared" si="217"/>
        <v/>
      </c>
      <c r="AM1604" t="str">
        <f t="shared" si="218"/>
        <v/>
      </c>
      <c r="AN1604" t="str">
        <f t="shared" si="219"/>
        <v/>
      </c>
      <c r="AO1604" t="str">
        <f t="shared" si="220"/>
        <v/>
      </c>
    </row>
    <row r="1605" spans="1:41">
      <c r="A1605">
        <f t="shared" si="225"/>
        <v>1601</v>
      </c>
      <c r="B1605" t="s">
        <v>276</v>
      </c>
      <c r="C1605">
        <v>5</v>
      </c>
      <c r="D1605">
        <v>5</v>
      </c>
      <c r="E1605" t="s">
        <v>385</v>
      </c>
      <c r="F1605">
        <v>412</v>
      </c>
      <c r="G1605">
        <v>2</v>
      </c>
      <c r="H1605">
        <v>70</v>
      </c>
      <c r="I1605" t="s">
        <v>386</v>
      </c>
      <c r="J1605" t="s">
        <v>386</v>
      </c>
      <c r="K1605">
        <v>10000000</v>
      </c>
      <c r="L1605">
        <v>2</v>
      </c>
      <c r="M1605">
        <v>2</v>
      </c>
      <c r="N1605">
        <v>2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8</v>
      </c>
      <c r="V1605">
        <v>728.33896407999998</v>
      </c>
      <c r="AH1605">
        <f t="shared" si="221"/>
        <v>2</v>
      </c>
      <c r="AI1605">
        <f t="shared" si="222"/>
        <v>2</v>
      </c>
      <c r="AJ1605" t="str">
        <f t="shared" si="223"/>
        <v/>
      </c>
      <c r="AK1605" t="str">
        <f t="shared" si="224"/>
        <v/>
      </c>
      <c r="AL1605" t="str">
        <f t="shared" ref="AL1605:AL1668" si="226">IF(Q1605=AC1605, "", Q1605-AC1605)</f>
        <v/>
      </c>
      <c r="AM1605" t="str">
        <f t="shared" ref="AM1605:AM1668" si="227">IF(R1605=AD1605, "", R1605-AD1605)</f>
        <v/>
      </c>
      <c r="AN1605" t="str">
        <f t="shared" ref="AN1605:AN1668" si="228">IF(S1605=AE1605, "", S1605-AE1605)</f>
        <v/>
      </c>
      <c r="AO1605" t="str">
        <f t="shared" ref="AO1605:AO1668" si="229">IF(T1605=AF1605, "", T1605-AF1605)</f>
        <v/>
      </c>
    </row>
    <row r="1606" spans="1:41">
      <c r="A1606">
        <f t="shared" si="225"/>
        <v>1602</v>
      </c>
      <c r="B1606" t="s">
        <v>276</v>
      </c>
      <c r="C1606">
        <v>5</v>
      </c>
      <c r="D1606">
        <v>5</v>
      </c>
      <c r="E1606" t="s">
        <v>385</v>
      </c>
      <c r="F1606">
        <v>412</v>
      </c>
      <c r="G1606">
        <v>2</v>
      </c>
      <c r="H1606">
        <v>71</v>
      </c>
      <c r="I1606" t="s">
        <v>386</v>
      </c>
      <c r="J1606" t="s">
        <v>386</v>
      </c>
      <c r="K1606">
        <v>10000000</v>
      </c>
      <c r="L1606">
        <v>2</v>
      </c>
      <c r="M1606">
        <v>2</v>
      </c>
      <c r="N1606">
        <v>2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8</v>
      </c>
      <c r="V1606">
        <v>728.33896407999998</v>
      </c>
      <c r="AH1606">
        <f t="shared" ref="AH1606:AH1669" si="230">IF(L1606=Y1606, "",L1606-Y1606)</f>
        <v>2</v>
      </c>
      <c r="AI1606">
        <f t="shared" ref="AI1606:AI1669" si="231">IF(N1606=Z1606, "", N1606-Z1606)</f>
        <v>2</v>
      </c>
      <c r="AJ1606" t="str">
        <f t="shared" ref="AJ1606:AJ1669" si="232">IF(O1606=AA1606, "", O1606-AA1606)</f>
        <v/>
      </c>
      <c r="AK1606" t="str">
        <f t="shared" ref="AK1606:AK1669" si="233">IF(P1606=AB1606, "", P1606-AB1606)</f>
        <v/>
      </c>
      <c r="AL1606" t="str">
        <f t="shared" si="226"/>
        <v/>
      </c>
      <c r="AM1606" t="str">
        <f t="shared" si="227"/>
        <v/>
      </c>
      <c r="AN1606" t="str">
        <f t="shared" si="228"/>
        <v/>
      </c>
      <c r="AO1606" t="str">
        <f t="shared" si="229"/>
        <v/>
      </c>
    </row>
    <row r="1607" spans="1:41">
      <c r="A1607">
        <f t="shared" ref="A1607:A1670" si="234">A1606+1</f>
        <v>1603</v>
      </c>
      <c r="B1607" t="s">
        <v>276</v>
      </c>
      <c r="C1607">
        <v>5</v>
      </c>
      <c r="D1607">
        <v>5</v>
      </c>
      <c r="E1607" t="s">
        <v>385</v>
      </c>
      <c r="F1607">
        <v>412</v>
      </c>
      <c r="G1607">
        <v>2</v>
      </c>
      <c r="H1607">
        <v>72</v>
      </c>
      <c r="I1607" t="s">
        <v>386</v>
      </c>
      <c r="J1607" t="s">
        <v>386</v>
      </c>
      <c r="K1607">
        <v>10000000</v>
      </c>
      <c r="L1607">
        <v>2</v>
      </c>
      <c r="M1607">
        <v>2</v>
      </c>
      <c r="N1607">
        <v>2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8</v>
      </c>
      <c r="V1607">
        <v>728.33896407999998</v>
      </c>
      <c r="AH1607">
        <f t="shared" si="230"/>
        <v>2</v>
      </c>
      <c r="AI1607">
        <f t="shared" si="231"/>
        <v>2</v>
      </c>
      <c r="AJ1607" t="str">
        <f t="shared" si="232"/>
        <v/>
      </c>
      <c r="AK1607" t="str">
        <f t="shared" si="233"/>
        <v/>
      </c>
      <c r="AL1607" t="str">
        <f t="shared" si="226"/>
        <v/>
      </c>
      <c r="AM1607" t="str">
        <f t="shared" si="227"/>
        <v/>
      </c>
      <c r="AN1607" t="str">
        <f t="shared" si="228"/>
        <v/>
      </c>
      <c r="AO1607" t="str">
        <f t="shared" si="229"/>
        <v/>
      </c>
    </row>
    <row r="1608" spans="1:41">
      <c r="A1608">
        <f t="shared" si="234"/>
        <v>1604</v>
      </c>
      <c r="B1608" t="s">
        <v>276</v>
      </c>
      <c r="C1608">
        <v>5</v>
      </c>
      <c r="D1608">
        <v>5</v>
      </c>
      <c r="E1608" t="s">
        <v>385</v>
      </c>
      <c r="F1608">
        <v>412</v>
      </c>
      <c r="G1608">
        <v>2</v>
      </c>
      <c r="H1608">
        <v>73</v>
      </c>
      <c r="I1608" t="s">
        <v>386</v>
      </c>
      <c r="J1608" t="s">
        <v>386</v>
      </c>
      <c r="K1608">
        <v>10000000</v>
      </c>
      <c r="L1608">
        <v>2</v>
      </c>
      <c r="M1608">
        <v>2</v>
      </c>
      <c r="N1608">
        <v>2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8</v>
      </c>
      <c r="V1608">
        <v>728.33896407999998</v>
      </c>
      <c r="AH1608">
        <f t="shared" si="230"/>
        <v>2</v>
      </c>
      <c r="AI1608">
        <f t="shared" si="231"/>
        <v>2</v>
      </c>
      <c r="AJ1608" t="str">
        <f t="shared" si="232"/>
        <v/>
      </c>
      <c r="AK1608" t="str">
        <f t="shared" si="233"/>
        <v/>
      </c>
      <c r="AL1608" t="str">
        <f t="shared" si="226"/>
        <v/>
      </c>
      <c r="AM1608" t="str">
        <f t="shared" si="227"/>
        <v/>
      </c>
      <c r="AN1608" t="str">
        <f t="shared" si="228"/>
        <v/>
      </c>
      <c r="AO1608" t="str">
        <f t="shared" si="229"/>
        <v/>
      </c>
    </row>
    <row r="1609" spans="1:41">
      <c r="A1609">
        <f t="shared" si="234"/>
        <v>1605</v>
      </c>
      <c r="B1609" t="s">
        <v>276</v>
      </c>
      <c r="C1609">
        <v>5</v>
      </c>
      <c r="D1609">
        <v>5</v>
      </c>
      <c r="E1609" t="s">
        <v>385</v>
      </c>
      <c r="F1609">
        <v>412</v>
      </c>
      <c r="G1609">
        <v>2</v>
      </c>
      <c r="H1609">
        <v>74</v>
      </c>
      <c r="I1609" t="s">
        <v>386</v>
      </c>
      <c r="J1609" t="s">
        <v>386</v>
      </c>
      <c r="K1609">
        <v>10000000</v>
      </c>
      <c r="L1609">
        <v>2</v>
      </c>
      <c r="M1609">
        <v>2</v>
      </c>
      <c r="N1609">
        <v>2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8</v>
      </c>
      <c r="V1609">
        <v>728.33896407999998</v>
      </c>
      <c r="AH1609">
        <f t="shared" si="230"/>
        <v>2</v>
      </c>
      <c r="AI1609">
        <f t="shared" si="231"/>
        <v>2</v>
      </c>
      <c r="AJ1609" t="str">
        <f t="shared" si="232"/>
        <v/>
      </c>
      <c r="AK1609" t="str">
        <f t="shared" si="233"/>
        <v/>
      </c>
      <c r="AL1609" t="str">
        <f t="shared" si="226"/>
        <v/>
      </c>
      <c r="AM1609" t="str">
        <f t="shared" si="227"/>
        <v/>
      </c>
      <c r="AN1609" t="str">
        <f t="shared" si="228"/>
        <v/>
      </c>
      <c r="AO1609" t="str">
        <f t="shared" si="229"/>
        <v/>
      </c>
    </row>
    <row r="1610" spans="1:41">
      <c r="A1610">
        <f t="shared" si="234"/>
        <v>1606</v>
      </c>
      <c r="B1610" t="s">
        <v>276</v>
      </c>
      <c r="C1610">
        <v>5</v>
      </c>
      <c r="D1610">
        <v>5</v>
      </c>
      <c r="E1610" t="s">
        <v>385</v>
      </c>
      <c r="F1610">
        <v>412</v>
      </c>
      <c r="G1610">
        <v>2</v>
      </c>
      <c r="H1610">
        <v>75</v>
      </c>
      <c r="I1610" t="s">
        <v>386</v>
      </c>
      <c r="J1610" t="s">
        <v>386</v>
      </c>
      <c r="K1610">
        <v>10000000</v>
      </c>
      <c r="L1610">
        <v>2</v>
      </c>
      <c r="M1610">
        <v>2</v>
      </c>
      <c r="N1610">
        <v>2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8</v>
      </c>
      <c r="V1610">
        <v>728.33896407999998</v>
      </c>
      <c r="AH1610">
        <f t="shared" si="230"/>
        <v>2</v>
      </c>
      <c r="AI1610">
        <f t="shared" si="231"/>
        <v>2</v>
      </c>
      <c r="AJ1610" t="str">
        <f t="shared" si="232"/>
        <v/>
      </c>
      <c r="AK1610" t="str">
        <f t="shared" si="233"/>
        <v/>
      </c>
      <c r="AL1610" t="str">
        <f t="shared" si="226"/>
        <v/>
      </c>
      <c r="AM1610" t="str">
        <f t="shared" si="227"/>
        <v/>
      </c>
      <c r="AN1610" t="str">
        <f t="shared" si="228"/>
        <v/>
      </c>
      <c r="AO1610" t="str">
        <f t="shared" si="229"/>
        <v/>
      </c>
    </row>
    <row r="1611" spans="1:41">
      <c r="A1611">
        <f t="shared" si="234"/>
        <v>1607</v>
      </c>
      <c r="B1611" t="s">
        <v>276</v>
      </c>
      <c r="C1611">
        <v>4</v>
      </c>
      <c r="D1611">
        <v>4</v>
      </c>
      <c r="E1611" t="s">
        <v>385</v>
      </c>
      <c r="F1611">
        <v>412</v>
      </c>
      <c r="G1611">
        <v>2</v>
      </c>
      <c r="H1611">
        <v>76</v>
      </c>
      <c r="I1611" t="s">
        <v>386</v>
      </c>
      <c r="J1611" t="s">
        <v>386</v>
      </c>
      <c r="K1611">
        <v>10000000</v>
      </c>
      <c r="L1611">
        <v>2</v>
      </c>
      <c r="M1611">
        <v>2</v>
      </c>
      <c r="N1611">
        <v>2</v>
      </c>
      <c r="O1611">
        <v>0</v>
      </c>
      <c r="P1611">
        <v>0</v>
      </c>
      <c r="Q1611">
        <v>0</v>
      </c>
      <c r="R1611">
        <v>0</v>
      </c>
      <c r="S1611">
        <v>0</v>
      </c>
      <c r="T1611" t="s">
        <v>386</v>
      </c>
      <c r="U1611">
        <v>8</v>
      </c>
      <c r="V1611">
        <v>676.31475236000006</v>
      </c>
      <c r="AH1611">
        <f t="shared" si="230"/>
        <v>2</v>
      </c>
      <c r="AI1611">
        <f t="shared" si="231"/>
        <v>2</v>
      </c>
      <c r="AJ1611" t="str">
        <f t="shared" si="232"/>
        <v/>
      </c>
      <c r="AK1611" t="str">
        <f t="shared" si="233"/>
        <v/>
      </c>
      <c r="AL1611" t="str">
        <f t="shared" si="226"/>
        <v/>
      </c>
      <c r="AM1611" t="str">
        <f t="shared" si="227"/>
        <v/>
      </c>
      <c r="AN1611" t="str">
        <f t="shared" si="228"/>
        <v/>
      </c>
      <c r="AO1611" t="e">
        <f t="shared" si="229"/>
        <v>#VALUE!</v>
      </c>
    </row>
    <row r="1612" spans="1:41">
      <c r="A1612">
        <f t="shared" si="234"/>
        <v>1608</v>
      </c>
      <c r="B1612" t="s">
        <v>276</v>
      </c>
      <c r="C1612">
        <v>3</v>
      </c>
      <c r="D1612">
        <v>3</v>
      </c>
      <c r="E1612" t="s">
        <v>385</v>
      </c>
      <c r="F1612">
        <v>412</v>
      </c>
      <c r="G1612">
        <v>2</v>
      </c>
      <c r="H1612">
        <v>77</v>
      </c>
      <c r="I1612" t="s">
        <v>386</v>
      </c>
      <c r="J1612" t="s">
        <v>386</v>
      </c>
      <c r="K1612">
        <v>10000000</v>
      </c>
      <c r="L1612">
        <v>2</v>
      </c>
      <c r="M1612">
        <v>2</v>
      </c>
      <c r="N1612">
        <v>2</v>
      </c>
      <c r="O1612">
        <v>0</v>
      </c>
      <c r="P1612">
        <v>0</v>
      </c>
      <c r="Q1612">
        <v>0</v>
      </c>
      <c r="R1612">
        <v>0</v>
      </c>
      <c r="S1612" t="s">
        <v>386</v>
      </c>
      <c r="T1612" t="s">
        <v>386</v>
      </c>
      <c r="U1612">
        <v>9</v>
      </c>
      <c r="V1612">
        <v>624.29054064000002</v>
      </c>
      <c r="AH1612">
        <f t="shared" si="230"/>
        <v>2</v>
      </c>
      <c r="AI1612">
        <f t="shared" si="231"/>
        <v>2</v>
      </c>
      <c r="AJ1612" t="str">
        <f t="shared" si="232"/>
        <v/>
      </c>
      <c r="AK1612" t="str">
        <f t="shared" si="233"/>
        <v/>
      </c>
      <c r="AL1612" t="str">
        <f t="shared" si="226"/>
        <v/>
      </c>
      <c r="AM1612" t="str">
        <f t="shared" si="227"/>
        <v/>
      </c>
      <c r="AN1612" t="e">
        <f t="shared" si="228"/>
        <v>#VALUE!</v>
      </c>
      <c r="AO1612" t="e">
        <f t="shared" si="229"/>
        <v>#VALUE!</v>
      </c>
    </row>
    <row r="1613" spans="1:41">
      <c r="A1613">
        <f t="shared" si="234"/>
        <v>1609</v>
      </c>
      <c r="B1613" t="s">
        <v>276</v>
      </c>
      <c r="C1613">
        <v>2</v>
      </c>
      <c r="D1613">
        <v>2</v>
      </c>
      <c r="E1613" t="s">
        <v>385</v>
      </c>
      <c r="F1613">
        <v>412</v>
      </c>
      <c r="G1613">
        <v>2</v>
      </c>
      <c r="H1613">
        <v>78</v>
      </c>
      <c r="I1613" t="s">
        <v>386</v>
      </c>
      <c r="J1613" t="s">
        <v>386</v>
      </c>
      <c r="K1613">
        <v>10000000</v>
      </c>
      <c r="L1613">
        <v>2</v>
      </c>
      <c r="M1613">
        <v>2</v>
      </c>
      <c r="N1613">
        <v>2</v>
      </c>
      <c r="O1613">
        <v>0</v>
      </c>
      <c r="P1613">
        <v>0</v>
      </c>
      <c r="Q1613">
        <v>0</v>
      </c>
      <c r="R1613" t="s">
        <v>386</v>
      </c>
      <c r="S1613" t="s">
        <v>386</v>
      </c>
      <c r="T1613" t="s">
        <v>386</v>
      </c>
      <c r="U1613">
        <v>9</v>
      </c>
      <c r="V1613">
        <v>572.26632891999998</v>
      </c>
      <c r="AH1613">
        <f t="shared" si="230"/>
        <v>2</v>
      </c>
      <c r="AI1613">
        <f t="shared" si="231"/>
        <v>2</v>
      </c>
      <c r="AJ1613" t="str">
        <f t="shared" si="232"/>
        <v/>
      </c>
      <c r="AK1613" t="str">
        <f t="shared" si="233"/>
        <v/>
      </c>
      <c r="AL1613" t="str">
        <f t="shared" si="226"/>
        <v/>
      </c>
      <c r="AM1613" t="e">
        <f t="shared" si="227"/>
        <v>#VALUE!</v>
      </c>
      <c r="AN1613" t="e">
        <f t="shared" si="228"/>
        <v>#VALUE!</v>
      </c>
      <c r="AO1613" t="e">
        <f t="shared" si="229"/>
        <v>#VALUE!</v>
      </c>
    </row>
    <row r="1614" spans="1:41">
      <c r="A1614">
        <f t="shared" si="234"/>
        <v>1610</v>
      </c>
      <c r="B1614" t="s">
        <v>276</v>
      </c>
      <c r="C1614">
        <v>1</v>
      </c>
      <c r="D1614">
        <v>1</v>
      </c>
      <c r="E1614" t="s">
        <v>385</v>
      </c>
      <c r="F1614">
        <v>412</v>
      </c>
      <c r="G1614">
        <v>2</v>
      </c>
      <c r="H1614">
        <v>79</v>
      </c>
      <c r="I1614" t="s">
        <v>386</v>
      </c>
      <c r="J1614" t="s">
        <v>386</v>
      </c>
      <c r="K1614">
        <v>10000000</v>
      </c>
      <c r="L1614">
        <v>2</v>
      </c>
      <c r="M1614">
        <v>2</v>
      </c>
      <c r="N1614">
        <v>3</v>
      </c>
      <c r="O1614">
        <v>0</v>
      </c>
      <c r="P1614">
        <v>0</v>
      </c>
      <c r="Q1614" t="s">
        <v>386</v>
      </c>
      <c r="R1614" t="s">
        <v>386</v>
      </c>
      <c r="S1614" t="s">
        <v>386</v>
      </c>
      <c r="T1614" t="s">
        <v>386</v>
      </c>
      <c r="U1614">
        <v>10</v>
      </c>
      <c r="V1614">
        <v>520.24211720000005</v>
      </c>
      <c r="AH1614">
        <f t="shared" si="230"/>
        <v>2</v>
      </c>
      <c r="AI1614">
        <f t="shared" si="231"/>
        <v>3</v>
      </c>
      <c r="AJ1614" t="str">
        <f t="shared" si="232"/>
        <v/>
      </c>
      <c r="AK1614" t="str">
        <f t="shared" si="233"/>
        <v/>
      </c>
      <c r="AL1614" t="e">
        <f t="shared" si="226"/>
        <v>#VALUE!</v>
      </c>
      <c r="AM1614" t="e">
        <f t="shared" si="227"/>
        <v>#VALUE!</v>
      </c>
      <c r="AN1614" t="e">
        <f t="shared" si="228"/>
        <v>#VALUE!</v>
      </c>
      <c r="AO1614" t="e">
        <f t="shared" si="229"/>
        <v>#VALUE!</v>
      </c>
    </row>
    <row r="1615" spans="1:41">
      <c r="A1615">
        <f t="shared" si="234"/>
        <v>1611</v>
      </c>
      <c r="B1615" t="s">
        <v>276</v>
      </c>
      <c r="C1615">
        <v>5</v>
      </c>
      <c r="D1615">
        <v>5</v>
      </c>
      <c r="E1615" t="s">
        <v>387</v>
      </c>
      <c r="F1615">
        <v>412</v>
      </c>
      <c r="G1615">
        <v>2</v>
      </c>
      <c r="H1615">
        <v>30</v>
      </c>
      <c r="I1615" t="s">
        <v>386</v>
      </c>
      <c r="J1615" t="s">
        <v>386</v>
      </c>
      <c r="K1615">
        <v>10000000</v>
      </c>
      <c r="L1615">
        <v>2</v>
      </c>
      <c r="M1615">
        <v>2</v>
      </c>
      <c r="N1615">
        <v>2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8</v>
      </c>
      <c r="V1615">
        <v>728.33896407999998</v>
      </c>
      <c r="AH1615">
        <f t="shared" si="230"/>
        <v>2</v>
      </c>
      <c r="AI1615">
        <f t="shared" si="231"/>
        <v>2</v>
      </c>
      <c r="AJ1615" t="str">
        <f t="shared" si="232"/>
        <v/>
      </c>
      <c r="AK1615" t="str">
        <f t="shared" si="233"/>
        <v/>
      </c>
      <c r="AL1615" t="str">
        <f t="shared" si="226"/>
        <v/>
      </c>
      <c r="AM1615" t="str">
        <f t="shared" si="227"/>
        <v/>
      </c>
      <c r="AN1615" t="str">
        <f t="shared" si="228"/>
        <v/>
      </c>
      <c r="AO1615" t="str">
        <f t="shared" si="229"/>
        <v/>
      </c>
    </row>
    <row r="1616" spans="1:41">
      <c r="A1616">
        <f t="shared" si="234"/>
        <v>1612</v>
      </c>
      <c r="B1616" t="s">
        <v>276</v>
      </c>
      <c r="C1616">
        <v>5</v>
      </c>
      <c r="D1616">
        <v>5</v>
      </c>
      <c r="E1616" t="s">
        <v>387</v>
      </c>
      <c r="F1616">
        <v>412</v>
      </c>
      <c r="G1616">
        <v>2</v>
      </c>
      <c r="H1616">
        <v>31</v>
      </c>
      <c r="I1616" t="s">
        <v>386</v>
      </c>
      <c r="J1616" t="s">
        <v>386</v>
      </c>
      <c r="K1616">
        <v>10000000</v>
      </c>
      <c r="L1616">
        <v>2</v>
      </c>
      <c r="M1616">
        <v>2</v>
      </c>
      <c r="N1616">
        <v>2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8</v>
      </c>
      <c r="V1616">
        <v>728.33896407999998</v>
      </c>
      <c r="AH1616">
        <f t="shared" si="230"/>
        <v>2</v>
      </c>
      <c r="AI1616">
        <f t="shared" si="231"/>
        <v>2</v>
      </c>
      <c r="AJ1616" t="str">
        <f t="shared" si="232"/>
        <v/>
      </c>
      <c r="AK1616" t="str">
        <f t="shared" si="233"/>
        <v/>
      </c>
      <c r="AL1616" t="str">
        <f t="shared" si="226"/>
        <v/>
      </c>
      <c r="AM1616" t="str">
        <f t="shared" si="227"/>
        <v/>
      </c>
      <c r="AN1616" t="str">
        <f t="shared" si="228"/>
        <v/>
      </c>
      <c r="AO1616" t="str">
        <f t="shared" si="229"/>
        <v/>
      </c>
    </row>
    <row r="1617" spans="1:41">
      <c r="A1617">
        <f t="shared" si="234"/>
        <v>1613</v>
      </c>
      <c r="B1617" t="s">
        <v>276</v>
      </c>
      <c r="C1617">
        <v>5</v>
      </c>
      <c r="D1617">
        <v>5</v>
      </c>
      <c r="E1617" t="s">
        <v>387</v>
      </c>
      <c r="F1617">
        <v>412</v>
      </c>
      <c r="G1617">
        <v>2</v>
      </c>
      <c r="H1617">
        <v>32</v>
      </c>
      <c r="I1617" t="s">
        <v>386</v>
      </c>
      <c r="J1617" t="s">
        <v>386</v>
      </c>
      <c r="K1617">
        <v>10000000</v>
      </c>
      <c r="L1617">
        <v>2</v>
      </c>
      <c r="M1617">
        <v>2</v>
      </c>
      <c r="N1617">
        <v>2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8</v>
      </c>
      <c r="V1617">
        <v>728.33896407999998</v>
      </c>
      <c r="AH1617">
        <f t="shared" si="230"/>
        <v>2</v>
      </c>
      <c r="AI1617">
        <f t="shared" si="231"/>
        <v>2</v>
      </c>
      <c r="AJ1617" t="str">
        <f t="shared" si="232"/>
        <v/>
      </c>
      <c r="AK1617" t="str">
        <f t="shared" si="233"/>
        <v/>
      </c>
      <c r="AL1617" t="str">
        <f t="shared" si="226"/>
        <v/>
      </c>
      <c r="AM1617" t="str">
        <f t="shared" si="227"/>
        <v/>
      </c>
      <c r="AN1617" t="str">
        <f t="shared" si="228"/>
        <v/>
      </c>
      <c r="AO1617" t="str">
        <f t="shared" si="229"/>
        <v/>
      </c>
    </row>
    <row r="1618" spans="1:41">
      <c r="A1618">
        <f t="shared" si="234"/>
        <v>1614</v>
      </c>
      <c r="B1618" t="s">
        <v>276</v>
      </c>
      <c r="C1618">
        <v>5</v>
      </c>
      <c r="D1618">
        <v>5</v>
      </c>
      <c r="E1618" t="s">
        <v>387</v>
      </c>
      <c r="F1618">
        <v>412</v>
      </c>
      <c r="G1618">
        <v>2</v>
      </c>
      <c r="H1618">
        <v>33</v>
      </c>
      <c r="I1618" t="s">
        <v>386</v>
      </c>
      <c r="J1618" t="s">
        <v>386</v>
      </c>
      <c r="K1618">
        <v>10000000</v>
      </c>
      <c r="L1618">
        <v>2</v>
      </c>
      <c r="M1618">
        <v>2</v>
      </c>
      <c r="N1618">
        <v>2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8</v>
      </c>
      <c r="V1618">
        <v>728.33896407999998</v>
      </c>
      <c r="AH1618">
        <f t="shared" si="230"/>
        <v>2</v>
      </c>
      <c r="AI1618">
        <f t="shared" si="231"/>
        <v>2</v>
      </c>
      <c r="AJ1618" t="str">
        <f t="shared" si="232"/>
        <v/>
      </c>
      <c r="AK1618" t="str">
        <f t="shared" si="233"/>
        <v/>
      </c>
      <c r="AL1618" t="str">
        <f t="shared" si="226"/>
        <v/>
      </c>
      <c r="AM1618" t="str">
        <f t="shared" si="227"/>
        <v/>
      </c>
      <c r="AN1618" t="str">
        <f t="shared" si="228"/>
        <v/>
      </c>
      <c r="AO1618" t="str">
        <f t="shared" si="229"/>
        <v/>
      </c>
    </row>
    <row r="1619" spans="1:41">
      <c r="A1619">
        <f t="shared" si="234"/>
        <v>1615</v>
      </c>
      <c r="B1619" t="s">
        <v>276</v>
      </c>
      <c r="C1619">
        <v>5</v>
      </c>
      <c r="D1619">
        <v>5</v>
      </c>
      <c r="E1619" t="s">
        <v>387</v>
      </c>
      <c r="F1619">
        <v>412</v>
      </c>
      <c r="G1619">
        <v>2</v>
      </c>
      <c r="H1619">
        <v>34</v>
      </c>
      <c r="I1619" t="s">
        <v>386</v>
      </c>
      <c r="J1619" t="s">
        <v>386</v>
      </c>
      <c r="K1619">
        <v>10000000</v>
      </c>
      <c r="L1619">
        <v>2</v>
      </c>
      <c r="M1619">
        <v>2</v>
      </c>
      <c r="N1619">
        <v>2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8</v>
      </c>
      <c r="V1619">
        <v>728.33896407999998</v>
      </c>
      <c r="AH1619">
        <f t="shared" si="230"/>
        <v>2</v>
      </c>
      <c r="AI1619">
        <f t="shared" si="231"/>
        <v>2</v>
      </c>
      <c r="AJ1619" t="str">
        <f t="shared" si="232"/>
        <v/>
      </c>
      <c r="AK1619" t="str">
        <f t="shared" si="233"/>
        <v/>
      </c>
      <c r="AL1619" t="str">
        <f t="shared" si="226"/>
        <v/>
      </c>
      <c r="AM1619" t="str">
        <f t="shared" si="227"/>
        <v/>
      </c>
      <c r="AN1619" t="str">
        <f t="shared" si="228"/>
        <v/>
      </c>
      <c r="AO1619" t="str">
        <f t="shared" si="229"/>
        <v/>
      </c>
    </row>
    <row r="1620" spans="1:41">
      <c r="A1620">
        <f t="shared" si="234"/>
        <v>1616</v>
      </c>
      <c r="B1620" t="s">
        <v>276</v>
      </c>
      <c r="C1620">
        <v>5</v>
      </c>
      <c r="D1620">
        <v>5</v>
      </c>
      <c r="E1620" t="s">
        <v>387</v>
      </c>
      <c r="F1620">
        <v>412</v>
      </c>
      <c r="G1620">
        <v>2</v>
      </c>
      <c r="H1620">
        <v>35</v>
      </c>
      <c r="I1620" t="s">
        <v>386</v>
      </c>
      <c r="J1620" t="s">
        <v>386</v>
      </c>
      <c r="K1620">
        <v>10000000</v>
      </c>
      <c r="L1620">
        <v>2</v>
      </c>
      <c r="M1620">
        <v>2</v>
      </c>
      <c r="N1620">
        <v>2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8</v>
      </c>
      <c r="V1620">
        <v>728.33896407999998</v>
      </c>
      <c r="AH1620">
        <f t="shared" si="230"/>
        <v>2</v>
      </c>
      <c r="AI1620">
        <f t="shared" si="231"/>
        <v>2</v>
      </c>
      <c r="AJ1620" t="str">
        <f t="shared" si="232"/>
        <v/>
      </c>
      <c r="AK1620" t="str">
        <f t="shared" si="233"/>
        <v/>
      </c>
      <c r="AL1620" t="str">
        <f t="shared" si="226"/>
        <v/>
      </c>
      <c r="AM1620" t="str">
        <f t="shared" si="227"/>
        <v/>
      </c>
      <c r="AN1620" t="str">
        <f t="shared" si="228"/>
        <v/>
      </c>
      <c r="AO1620" t="str">
        <f t="shared" si="229"/>
        <v/>
      </c>
    </row>
    <row r="1621" spans="1:41">
      <c r="A1621">
        <f t="shared" si="234"/>
        <v>1617</v>
      </c>
      <c r="B1621" t="s">
        <v>276</v>
      </c>
      <c r="C1621">
        <v>5</v>
      </c>
      <c r="D1621">
        <v>5</v>
      </c>
      <c r="E1621" t="s">
        <v>387</v>
      </c>
      <c r="F1621">
        <v>412</v>
      </c>
      <c r="G1621">
        <v>2</v>
      </c>
      <c r="H1621">
        <v>36</v>
      </c>
      <c r="I1621" t="s">
        <v>386</v>
      </c>
      <c r="J1621" t="s">
        <v>386</v>
      </c>
      <c r="K1621">
        <v>10000000</v>
      </c>
      <c r="L1621">
        <v>2</v>
      </c>
      <c r="M1621">
        <v>2</v>
      </c>
      <c r="N1621">
        <v>2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8</v>
      </c>
      <c r="V1621">
        <v>728.33896407999998</v>
      </c>
      <c r="AH1621">
        <f t="shared" si="230"/>
        <v>2</v>
      </c>
      <c r="AI1621">
        <f t="shared" si="231"/>
        <v>2</v>
      </c>
      <c r="AJ1621" t="str">
        <f t="shared" si="232"/>
        <v/>
      </c>
      <c r="AK1621" t="str">
        <f t="shared" si="233"/>
        <v/>
      </c>
      <c r="AL1621" t="str">
        <f t="shared" si="226"/>
        <v/>
      </c>
      <c r="AM1621" t="str">
        <f t="shared" si="227"/>
        <v/>
      </c>
      <c r="AN1621" t="str">
        <f t="shared" si="228"/>
        <v/>
      </c>
      <c r="AO1621" t="str">
        <f t="shared" si="229"/>
        <v/>
      </c>
    </row>
    <row r="1622" spans="1:41">
      <c r="A1622">
        <f t="shared" si="234"/>
        <v>1618</v>
      </c>
      <c r="B1622" t="s">
        <v>276</v>
      </c>
      <c r="C1622">
        <v>5</v>
      </c>
      <c r="D1622">
        <v>5</v>
      </c>
      <c r="E1622" t="s">
        <v>387</v>
      </c>
      <c r="F1622">
        <v>412</v>
      </c>
      <c r="G1622">
        <v>2</v>
      </c>
      <c r="H1622">
        <v>37</v>
      </c>
      <c r="I1622" t="s">
        <v>386</v>
      </c>
      <c r="J1622" t="s">
        <v>386</v>
      </c>
      <c r="K1622">
        <v>10000000</v>
      </c>
      <c r="L1622">
        <v>2</v>
      </c>
      <c r="M1622">
        <v>2</v>
      </c>
      <c r="N1622">
        <v>2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8</v>
      </c>
      <c r="V1622">
        <v>728.33896407999998</v>
      </c>
      <c r="AH1622">
        <f t="shared" si="230"/>
        <v>2</v>
      </c>
      <c r="AI1622">
        <f t="shared" si="231"/>
        <v>2</v>
      </c>
      <c r="AJ1622" t="str">
        <f t="shared" si="232"/>
        <v/>
      </c>
      <c r="AK1622" t="str">
        <f t="shared" si="233"/>
        <v/>
      </c>
      <c r="AL1622" t="str">
        <f t="shared" si="226"/>
        <v/>
      </c>
      <c r="AM1622" t="str">
        <f t="shared" si="227"/>
        <v/>
      </c>
      <c r="AN1622" t="str">
        <f t="shared" si="228"/>
        <v/>
      </c>
      <c r="AO1622" t="str">
        <f t="shared" si="229"/>
        <v/>
      </c>
    </row>
    <row r="1623" spans="1:41">
      <c r="A1623">
        <f t="shared" si="234"/>
        <v>1619</v>
      </c>
      <c r="B1623" t="s">
        <v>276</v>
      </c>
      <c r="C1623">
        <v>5</v>
      </c>
      <c r="D1623">
        <v>5</v>
      </c>
      <c r="E1623" t="s">
        <v>387</v>
      </c>
      <c r="F1623">
        <v>412</v>
      </c>
      <c r="G1623">
        <v>2</v>
      </c>
      <c r="H1623">
        <v>38</v>
      </c>
      <c r="I1623" t="s">
        <v>386</v>
      </c>
      <c r="J1623" t="s">
        <v>386</v>
      </c>
      <c r="K1623">
        <v>10000000</v>
      </c>
      <c r="L1623">
        <v>2</v>
      </c>
      <c r="M1623">
        <v>2</v>
      </c>
      <c r="N1623">
        <v>2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8</v>
      </c>
      <c r="V1623">
        <v>728.33896407999998</v>
      </c>
      <c r="AH1623">
        <f t="shared" si="230"/>
        <v>2</v>
      </c>
      <c r="AI1623">
        <f t="shared" si="231"/>
        <v>2</v>
      </c>
      <c r="AJ1623" t="str">
        <f t="shared" si="232"/>
        <v/>
      </c>
      <c r="AK1623" t="str">
        <f t="shared" si="233"/>
        <v/>
      </c>
      <c r="AL1623" t="str">
        <f t="shared" si="226"/>
        <v/>
      </c>
      <c r="AM1623" t="str">
        <f t="shared" si="227"/>
        <v/>
      </c>
      <c r="AN1623" t="str">
        <f t="shared" si="228"/>
        <v/>
      </c>
      <c r="AO1623" t="str">
        <f t="shared" si="229"/>
        <v/>
      </c>
    </row>
    <row r="1624" spans="1:41">
      <c r="A1624">
        <f t="shared" si="234"/>
        <v>1620</v>
      </c>
      <c r="B1624" t="s">
        <v>276</v>
      </c>
      <c r="C1624">
        <v>5</v>
      </c>
      <c r="D1624">
        <v>5</v>
      </c>
      <c r="E1624" t="s">
        <v>387</v>
      </c>
      <c r="F1624">
        <v>412</v>
      </c>
      <c r="G1624">
        <v>2</v>
      </c>
      <c r="H1624">
        <v>39</v>
      </c>
      <c r="I1624" t="s">
        <v>386</v>
      </c>
      <c r="J1624" t="s">
        <v>386</v>
      </c>
      <c r="K1624">
        <v>10000000</v>
      </c>
      <c r="L1624">
        <v>2</v>
      </c>
      <c r="M1624">
        <v>2</v>
      </c>
      <c r="N1624">
        <v>2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8</v>
      </c>
      <c r="V1624">
        <v>728.33896407999998</v>
      </c>
      <c r="AH1624">
        <f t="shared" si="230"/>
        <v>2</v>
      </c>
      <c r="AI1624">
        <f t="shared" si="231"/>
        <v>2</v>
      </c>
      <c r="AJ1624" t="str">
        <f t="shared" si="232"/>
        <v/>
      </c>
      <c r="AK1624" t="str">
        <f t="shared" si="233"/>
        <v/>
      </c>
      <c r="AL1624" t="str">
        <f t="shared" si="226"/>
        <v/>
      </c>
      <c r="AM1624" t="str">
        <f t="shared" si="227"/>
        <v/>
      </c>
      <c r="AN1624" t="str">
        <f t="shared" si="228"/>
        <v/>
      </c>
      <c r="AO1624" t="str">
        <f t="shared" si="229"/>
        <v/>
      </c>
    </row>
    <row r="1625" spans="1:41">
      <c r="A1625">
        <f t="shared" si="234"/>
        <v>1621</v>
      </c>
      <c r="B1625" t="s">
        <v>276</v>
      </c>
      <c r="C1625">
        <v>5</v>
      </c>
      <c r="D1625">
        <v>5</v>
      </c>
      <c r="E1625" t="s">
        <v>387</v>
      </c>
      <c r="F1625">
        <v>412</v>
      </c>
      <c r="G1625">
        <v>2</v>
      </c>
      <c r="H1625">
        <v>40</v>
      </c>
      <c r="I1625" t="s">
        <v>386</v>
      </c>
      <c r="J1625" t="s">
        <v>386</v>
      </c>
      <c r="K1625">
        <v>10000000</v>
      </c>
      <c r="L1625">
        <v>2</v>
      </c>
      <c r="M1625">
        <v>2</v>
      </c>
      <c r="N1625">
        <v>2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8</v>
      </c>
      <c r="V1625">
        <v>728.33896407999998</v>
      </c>
      <c r="AH1625">
        <f t="shared" si="230"/>
        <v>2</v>
      </c>
      <c r="AI1625">
        <f t="shared" si="231"/>
        <v>2</v>
      </c>
      <c r="AJ1625" t="str">
        <f t="shared" si="232"/>
        <v/>
      </c>
      <c r="AK1625" t="str">
        <f t="shared" si="233"/>
        <v/>
      </c>
      <c r="AL1625" t="str">
        <f t="shared" si="226"/>
        <v/>
      </c>
      <c r="AM1625" t="str">
        <f t="shared" si="227"/>
        <v/>
      </c>
      <c r="AN1625" t="str">
        <f t="shared" si="228"/>
        <v/>
      </c>
      <c r="AO1625" t="str">
        <f t="shared" si="229"/>
        <v/>
      </c>
    </row>
    <row r="1626" spans="1:41">
      <c r="A1626">
        <f t="shared" si="234"/>
        <v>1622</v>
      </c>
      <c r="B1626" t="s">
        <v>276</v>
      </c>
      <c r="C1626">
        <v>5</v>
      </c>
      <c r="D1626">
        <v>5</v>
      </c>
      <c r="E1626" t="s">
        <v>387</v>
      </c>
      <c r="F1626">
        <v>412</v>
      </c>
      <c r="G1626">
        <v>2</v>
      </c>
      <c r="H1626">
        <v>41</v>
      </c>
      <c r="I1626" t="s">
        <v>386</v>
      </c>
      <c r="J1626" t="s">
        <v>386</v>
      </c>
      <c r="K1626">
        <v>10000000</v>
      </c>
      <c r="L1626">
        <v>2</v>
      </c>
      <c r="M1626">
        <v>2</v>
      </c>
      <c r="N1626">
        <v>2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8</v>
      </c>
      <c r="V1626">
        <v>728.33896407999998</v>
      </c>
      <c r="AH1626">
        <f t="shared" si="230"/>
        <v>2</v>
      </c>
      <c r="AI1626">
        <f t="shared" si="231"/>
        <v>2</v>
      </c>
      <c r="AJ1626" t="str">
        <f t="shared" si="232"/>
        <v/>
      </c>
      <c r="AK1626" t="str">
        <f t="shared" si="233"/>
        <v/>
      </c>
      <c r="AL1626" t="str">
        <f t="shared" si="226"/>
        <v/>
      </c>
      <c r="AM1626" t="str">
        <f t="shared" si="227"/>
        <v/>
      </c>
      <c r="AN1626" t="str">
        <f t="shared" si="228"/>
        <v/>
      </c>
      <c r="AO1626" t="str">
        <f t="shared" si="229"/>
        <v/>
      </c>
    </row>
    <row r="1627" spans="1:41">
      <c r="A1627">
        <f t="shared" si="234"/>
        <v>1623</v>
      </c>
      <c r="B1627" t="s">
        <v>276</v>
      </c>
      <c r="C1627">
        <v>5</v>
      </c>
      <c r="D1627">
        <v>5</v>
      </c>
      <c r="E1627" t="s">
        <v>387</v>
      </c>
      <c r="F1627">
        <v>412</v>
      </c>
      <c r="G1627">
        <v>2</v>
      </c>
      <c r="H1627">
        <v>42</v>
      </c>
      <c r="I1627" t="s">
        <v>386</v>
      </c>
      <c r="J1627" t="s">
        <v>386</v>
      </c>
      <c r="K1627">
        <v>10000000</v>
      </c>
      <c r="L1627">
        <v>2</v>
      </c>
      <c r="M1627">
        <v>2</v>
      </c>
      <c r="N1627">
        <v>2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8</v>
      </c>
      <c r="V1627">
        <v>728.33896407999998</v>
      </c>
      <c r="AH1627">
        <f t="shared" si="230"/>
        <v>2</v>
      </c>
      <c r="AI1627">
        <f t="shared" si="231"/>
        <v>2</v>
      </c>
      <c r="AJ1627" t="str">
        <f t="shared" si="232"/>
        <v/>
      </c>
      <c r="AK1627" t="str">
        <f t="shared" si="233"/>
        <v/>
      </c>
      <c r="AL1627" t="str">
        <f t="shared" si="226"/>
        <v/>
      </c>
      <c r="AM1627" t="str">
        <f t="shared" si="227"/>
        <v/>
      </c>
      <c r="AN1627" t="str">
        <f t="shared" si="228"/>
        <v/>
      </c>
      <c r="AO1627" t="str">
        <f t="shared" si="229"/>
        <v/>
      </c>
    </row>
    <row r="1628" spans="1:41">
      <c r="A1628">
        <f t="shared" si="234"/>
        <v>1624</v>
      </c>
      <c r="B1628" t="s">
        <v>276</v>
      </c>
      <c r="C1628">
        <v>5</v>
      </c>
      <c r="D1628">
        <v>5</v>
      </c>
      <c r="E1628" t="s">
        <v>387</v>
      </c>
      <c r="F1628">
        <v>412</v>
      </c>
      <c r="G1628">
        <v>2</v>
      </c>
      <c r="H1628">
        <v>43</v>
      </c>
      <c r="I1628" t="s">
        <v>386</v>
      </c>
      <c r="J1628" t="s">
        <v>386</v>
      </c>
      <c r="K1628">
        <v>10000000</v>
      </c>
      <c r="L1628">
        <v>2</v>
      </c>
      <c r="M1628">
        <v>2</v>
      </c>
      <c r="N1628">
        <v>2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8</v>
      </c>
      <c r="V1628">
        <v>728.33896407999998</v>
      </c>
      <c r="AH1628">
        <f t="shared" si="230"/>
        <v>2</v>
      </c>
      <c r="AI1628">
        <f t="shared" si="231"/>
        <v>2</v>
      </c>
      <c r="AJ1628" t="str">
        <f t="shared" si="232"/>
        <v/>
      </c>
      <c r="AK1628" t="str">
        <f t="shared" si="233"/>
        <v/>
      </c>
      <c r="AL1628" t="str">
        <f t="shared" si="226"/>
        <v/>
      </c>
      <c r="AM1628" t="str">
        <f t="shared" si="227"/>
        <v/>
      </c>
      <c r="AN1628" t="str">
        <f t="shared" si="228"/>
        <v/>
      </c>
      <c r="AO1628" t="str">
        <f t="shared" si="229"/>
        <v/>
      </c>
    </row>
    <row r="1629" spans="1:41">
      <c r="A1629">
        <f t="shared" si="234"/>
        <v>1625</v>
      </c>
      <c r="B1629" t="s">
        <v>276</v>
      </c>
      <c r="C1629">
        <v>5</v>
      </c>
      <c r="D1629">
        <v>5</v>
      </c>
      <c r="E1629" t="s">
        <v>387</v>
      </c>
      <c r="F1629">
        <v>412</v>
      </c>
      <c r="G1629">
        <v>2</v>
      </c>
      <c r="H1629">
        <v>44</v>
      </c>
      <c r="I1629" t="s">
        <v>386</v>
      </c>
      <c r="J1629" t="s">
        <v>386</v>
      </c>
      <c r="K1629">
        <v>10000000</v>
      </c>
      <c r="L1629">
        <v>2</v>
      </c>
      <c r="M1629">
        <v>2</v>
      </c>
      <c r="N1629">
        <v>2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8</v>
      </c>
      <c r="V1629">
        <v>728.33896407999998</v>
      </c>
      <c r="AH1629">
        <f t="shared" si="230"/>
        <v>2</v>
      </c>
      <c r="AI1629">
        <f t="shared" si="231"/>
        <v>2</v>
      </c>
      <c r="AJ1629" t="str">
        <f t="shared" si="232"/>
        <v/>
      </c>
      <c r="AK1629" t="str">
        <f t="shared" si="233"/>
        <v/>
      </c>
      <c r="AL1629" t="str">
        <f t="shared" si="226"/>
        <v/>
      </c>
      <c r="AM1629" t="str">
        <f t="shared" si="227"/>
        <v/>
      </c>
      <c r="AN1629" t="str">
        <f t="shared" si="228"/>
        <v/>
      </c>
      <c r="AO1629" t="str">
        <f t="shared" si="229"/>
        <v/>
      </c>
    </row>
    <row r="1630" spans="1:41">
      <c r="A1630">
        <f t="shared" si="234"/>
        <v>1626</v>
      </c>
      <c r="B1630" t="s">
        <v>276</v>
      </c>
      <c r="C1630">
        <v>5</v>
      </c>
      <c r="D1630">
        <v>5</v>
      </c>
      <c r="E1630" t="s">
        <v>387</v>
      </c>
      <c r="F1630">
        <v>412</v>
      </c>
      <c r="G1630">
        <v>2</v>
      </c>
      <c r="H1630">
        <v>45</v>
      </c>
      <c r="I1630" t="s">
        <v>386</v>
      </c>
      <c r="J1630" t="s">
        <v>386</v>
      </c>
      <c r="K1630">
        <v>10000000</v>
      </c>
      <c r="L1630">
        <v>2</v>
      </c>
      <c r="M1630">
        <v>2</v>
      </c>
      <c r="N1630">
        <v>2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8</v>
      </c>
      <c r="V1630">
        <v>728.33896407999998</v>
      </c>
      <c r="AH1630">
        <f t="shared" si="230"/>
        <v>2</v>
      </c>
      <c r="AI1630">
        <f t="shared" si="231"/>
        <v>2</v>
      </c>
      <c r="AJ1630" t="str">
        <f t="shared" si="232"/>
        <v/>
      </c>
      <c r="AK1630" t="str">
        <f t="shared" si="233"/>
        <v/>
      </c>
      <c r="AL1630" t="str">
        <f t="shared" si="226"/>
        <v/>
      </c>
      <c r="AM1630" t="str">
        <f t="shared" si="227"/>
        <v/>
      </c>
      <c r="AN1630" t="str">
        <f t="shared" si="228"/>
        <v/>
      </c>
      <c r="AO1630" t="str">
        <f t="shared" si="229"/>
        <v/>
      </c>
    </row>
    <row r="1631" spans="1:41">
      <c r="A1631">
        <f t="shared" si="234"/>
        <v>1627</v>
      </c>
      <c r="B1631" t="s">
        <v>276</v>
      </c>
      <c r="C1631">
        <v>5</v>
      </c>
      <c r="D1631">
        <v>5</v>
      </c>
      <c r="E1631" t="s">
        <v>387</v>
      </c>
      <c r="F1631">
        <v>412</v>
      </c>
      <c r="G1631">
        <v>2</v>
      </c>
      <c r="H1631">
        <v>46</v>
      </c>
      <c r="I1631" t="s">
        <v>386</v>
      </c>
      <c r="J1631" t="s">
        <v>386</v>
      </c>
      <c r="K1631">
        <v>10000000</v>
      </c>
      <c r="L1631">
        <v>2</v>
      </c>
      <c r="M1631">
        <v>2</v>
      </c>
      <c r="N1631">
        <v>2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8</v>
      </c>
      <c r="V1631">
        <v>728.33896407999998</v>
      </c>
      <c r="AH1631">
        <f t="shared" si="230"/>
        <v>2</v>
      </c>
      <c r="AI1631">
        <f t="shared" si="231"/>
        <v>2</v>
      </c>
      <c r="AJ1631" t="str">
        <f t="shared" si="232"/>
        <v/>
      </c>
      <c r="AK1631" t="str">
        <f t="shared" si="233"/>
        <v/>
      </c>
      <c r="AL1631" t="str">
        <f t="shared" si="226"/>
        <v/>
      </c>
      <c r="AM1631" t="str">
        <f t="shared" si="227"/>
        <v/>
      </c>
      <c r="AN1631" t="str">
        <f t="shared" si="228"/>
        <v/>
      </c>
      <c r="AO1631" t="str">
        <f t="shared" si="229"/>
        <v/>
      </c>
    </row>
    <row r="1632" spans="1:41">
      <c r="A1632">
        <f t="shared" si="234"/>
        <v>1628</v>
      </c>
      <c r="B1632" t="s">
        <v>276</v>
      </c>
      <c r="C1632">
        <v>5</v>
      </c>
      <c r="D1632">
        <v>5</v>
      </c>
      <c r="E1632" t="s">
        <v>387</v>
      </c>
      <c r="F1632">
        <v>412</v>
      </c>
      <c r="G1632">
        <v>2</v>
      </c>
      <c r="H1632">
        <v>47</v>
      </c>
      <c r="I1632" t="s">
        <v>386</v>
      </c>
      <c r="J1632" t="s">
        <v>386</v>
      </c>
      <c r="K1632">
        <v>10000000</v>
      </c>
      <c r="L1632">
        <v>2</v>
      </c>
      <c r="M1632">
        <v>2</v>
      </c>
      <c r="N1632">
        <v>2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8</v>
      </c>
      <c r="V1632">
        <v>728.33896407999998</v>
      </c>
      <c r="AH1632">
        <f t="shared" si="230"/>
        <v>2</v>
      </c>
      <c r="AI1632">
        <f t="shared" si="231"/>
        <v>2</v>
      </c>
      <c r="AJ1632" t="str">
        <f t="shared" si="232"/>
        <v/>
      </c>
      <c r="AK1632" t="str">
        <f t="shared" si="233"/>
        <v/>
      </c>
      <c r="AL1632" t="str">
        <f t="shared" si="226"/>
        <v/>
      </c>
      <c r="AM1632" t="str">
        <f t="shared" si="227"/>
        <v/>
      </c>
      <c r="AN1632" t="str">
        <f t="shared" si="228"/>
        <v/>
      </c>
      <c r="AO1632" t="str">
        <f t="shared" si="229"/>
        <v/>
      </c>
    </row>
    <row r="1633" spans="1:41">
      <c r="A1633">
        <f t="shared" si="234"/>
        <v>1629</v>
      </c>
      <c r="B1633" t="s">
        <v>276</v>
      </c>
      <c r="C1633">
        <v>5</v>
      </c>
      <c r="D1633">
        <v>5</v>
      </c>
      <c r="E1633" t="s">
        <v>387</v>
      </c>
      <c r="F1633">
        <v>412</v>
      </c>
      <c r="G1633">
        <v>2</v>
      </c>
      <c r="H1633">
        <v>48</v>
      </c>
      <c r="I1633" t="s">
        <v>386</v>
      </c>
      <c r="J1633" t="s">
        <v>386</v>
      </c>
      <c r="K1633">
        <v>10000000</v>
      </c>
      <c r="L1633">
        <v>2</v>
      </c>
      <c r="M1633">
        <v>2</v>
      </c>
      <c r="N1633">
        <v>2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8</v>
      </c>
      <c r="V1633">
        <v>728.33896407999998</v>
      </c>
      <c r="AH1633">
        <f t="shared" si="230"/>
        <v>2</v>
      </c>
      <c r="AI1633">
        <f t="shared" si="231"/>
        <v>2</v>
      </c>
      <c r="AJ1633" t="str">
        <f t="shared" si="232"/>
        <v/>
      </c>
      <c r="AK1633" t="str">
        <f t="shared" si="233"/>
        <v/>
      </c>
      <c r="AL1633" t="str">
        <f t="shared" si="226"/>
        <v/>
      </c>
      <c r="AM1633" t="str">
        <f t="shared" si="227"/>
        <v/>
      </c>
      <c r="AN1633" t="str">
        <f t="shared" si="228"/>
        <v/>
      </c>
      <c r="AO1633" t="str">
        <f t="shared" si="229"/>
        <v/>
      </c>
    </row>
    <row r="1634" spans="1:41">
      <c r="A1634">
        <f t="shared" si="234"/>
        <v>1630</v>
      </c>
      <c r="B1634" t="s">
        <v>276</v>
      </c>
      <c r="C1634">
        <v>5</v>
      </c>
      <c r="D1634">
        <v>5</v>
      </c>
      <c r="E1634" t="s">
        <v>387</v>
      </c>
      <c r="F1634">
        <v>412</v>
      </c>
      <c r="G1634">
        <v>2</v>
      </c>
      <c r="H1634">
        <v>49</v>
      </c>
      <c r="I1634" t="s">
        <v>386</v>
      </c>
      <c r="J1634" t="s">
        <v>386</v>
      </c>
      <c r="K1634">
        <v>10000000</v>
      </c>
      <c r="L1634">
        <v>2</v>
      </c>
      <c r="M1634">
        <v>2</v>
      </c>
      <c r="N1634">
        <v>2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8</v>
      </c>
      <c r="V1634">
        <v>728.33896407999998</v>
      </c>
      <c r="AH1634">
        <f t="shared" si="230"/>
        <v>2</v>
      </c>
      <c r="AI1634">
        <f t="shared" si="231"/>
        <v>2</v>
      </c>
      <c r="AJ1634" t="str">
        <f t="shared" si="232"/>
        <v/>
      </c>
      <c r="AK1634" t="str">
        <f t="shared" si="233"/>
        <v/>
      </c>
      <c r="AL1634" t="str">
        <f t="shared" si="226"/>
        <v/>
      </c>
      <c r="AM1634" t="str">
        <f t="shared" si="227"/>
        <v/>
      </c>
      <c r="AN1634" t="str">
        <f t="shared" si="228"/>
        <v/>
      </c>
      <c r="AO1634" t="str">
        <f t="shared" si="229"/>
        <v/>
      </c>
    </row>
    <row r="1635" spans="1:41">
      <c r="A1635">
        <f t="shared" si="234"/>
        <v>1631</v>
      </c>
      <c r="B1635" t="s">
        <v>276</v>
      </c>
      <c r="C1635">
        <v>5</v>
      </c>
      <c r="D1635">
        <v>5</v>
      </c>
      <c r="E1635" t="s">
        <v>387</v>
      </c>
      <c r="F1635">
        <v>412</v>
      </c>
      <c r="G1635">
        <v>2</v>
      </c>
      <c r="H1635">
        <v>50</v>
      </c>
      <c r="I1635" t="s">
        <v>386</v>
      </c>
      <c r="J1635" t="s">
        <v>386</v>
      </c>
      <c r="K1635">
        <v>10000000</v>
      </c>
      <c r="L1635">
        <v>2</v>
      </c>
      <c r="M1635">
        <v>2</v>
      </c>
      <c r="N1635">
        <v>2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8</v>
      </c>
      <c r="V1635">
        <v>728.33896407999998</v>
      </c>
      <c r="AH1635">
        <f t="shared" si="230"/>
        <v>2</v>
      </c>
      <c r="AI1635">
        <f t="shared" si="231"/>
        <v>2</v>
      </c>
      <c r="AJ1635" t="str">
        <f t="shared" si="232"/>
        <v/>
      </c>
      <c r="AK1635" t="str">
        <f t="shared" si="233"/>
        <v/>
      </c>
      <c r="AL1635" t="str">
        <f t="shared" si="226"/>
        <v/>
      </c>
      <c r="AM1635" t="str">
        <f t="shared" si="227"/>
        <v/>
      </c>
      <c r="AN1635" t="str">
        <f t="shared" si="228"/>
        <v/>
      </c>
      <c r="AO1635" t="str">
        <f t="shared" si="229"/>
        <v/>
      </c>
    </row>
    <row r="1636" spans="1:41">
      <c r="A1636">
        <f t="shared" si="234"/>
        <v>1632</v>
      </c>
      <c r="B1636" t="s">
        <v>276</v>
      </c>
      <c r="C1636">
        <v>5</v>
      </c>
      <c r="D1636">
        <v>5</v>
      </c>
      <c r="E1636" t="s">
        <v>387</v>
      </c>
      <c r="F1636">
        <v>412</v>
      </c>
      <c r="G1636">
        <v>2</v>
      </c>
      <c r="H1636">
        <v>51</v>
      </c>
      <c r="I1636" t="s">
        <v>386</v>
      </c>
      <c r="J1636" t="s">
        <v>386</v>
      </c>
      <c r="K1636">
        <v>10000000</v>
      </c>
      <c r="L1636">
        <v>2</v>
      </c>
      <c r="M1636">
        <v>2</v>
      </c>
      <c r="N1636">
        <v>2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8</v>
      </c>
      <c r="V1636">
        <v>728.33896407999998</v>
      </c>
      <c r="AH1636">
        <f t="shared" si="230"/>
        <v>2</v>
      </c>
      <c r="AI1636">
        <f t="shared" si="231"/>
        <v>2</v>
      </c>
      <c r="AJ1636" t="str">
        <f t="shared" si="232"/>
        <v/>
      </c>
      <c r="AK1636" t="str">
        <f t="shared" si="233"/>
        <v/>
      </c>
      <c r="AL1636" t="str">
        <f t="shared" si="226"/>
        <v/>
      </c>
      <c r="AM1636" t="str">
        <f t="shared" si="227"/>
        <v/>
      </c>
      <c r="AN1636" t="str">
        <f t="shared" si="228"/>
        <v/>
      </c>
      <c r="AO1636" t="str">
        <f t="shared" si="229"/>
        <v/>
      </c>
    </row>
    <row r="1637" spans="1:41">
      <c r="A1637">
        <f t="shared" si="234"/>
        <v>1633</v>
      </c>
      <c r="B1637" t="s">
        <v>276</v>
      </c>
      <c r="C1637">
        <v>5</v>
      </c>
      <c r="D1637">
        <v>5</v>
      </c>
      <c r="E1637" t="s">
        <v>387</v>
      </c>
      <c r="F1637">
        <v>412</v>
      </c>
      <c r="G1637">
        <v>2</v>
      </c>
      <c r="H1637">
        <v>52</v>
      </c>
      <c r="I1637" t="s">
        <v>386</v>
      </c>
      <c r="J1637" t="s">
        <v>386</v>
      </c>
      <c r="K1637">
        <v>10000000</v>
      </c>
      <c r="L1637">
        <v>2</v>
      </c>
      <c r="M1637">
        <v>2</v>
      </c>
      <c r="N1637">
        <v>2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8</v>
      </c>
      <c r="V1637">
        <v>728.33896407999998</v>
      </c>
      <c r="AH1637">
        <f t="shared" si="230"/>
        <v>2</v>
      </c>
      <c r="AI1637">
        <f t="shared" si="231"/>
        <v>2</v>
      </c>
      <c r="AJ1637" t="str">
        <f t="shared" si="232"/>
        <v/>
      </c>
      <c r="AK1637" t="str">
        <f t="shared" si="233"/>
        <v/>
      </c>
      <c r="AL1637" t="str">
        <f t="shared" si="226"/>
        <v/>
      </c>
      <c r="AM1637" t="str">
        <f t="shared" si="227"/>
        <v/>
      </c>
      <c r="AN1637" t="str">
        <f t="shared" si="228"/>
        <v/>
      </c>
      <c r="AO1637" t="str">
        <f t="shared" si="229"/>
        <v/>
      </c>
    </row>
    <row r="1638" spans="1:41">
      <c r="A1638">
        <f t="shared" si="234"/>
        <v>1634</v>
      </c>
      <c r="B1638" t="s">
        <v>276</v>
      </c>
      <c r="C1638">
        <v>5</v>
      </c>
      <c r="D1638">
        <v>5</v>
      </c>
      <c r="E1638" t="s">
        <v>387</v>
      </c>
      <c r="F1638">
        <v>412</v>
      </c>
      <c r="G1638">
        <v>2</v>
      </c>
      <c r="H1638">
        <v>53</v>
      </c>
      <c r="I1638" t="s">
        <v>386</v>
      </c>
      <c r="J1638" t="s">
        <v>386</v>
      </c>
      <c r="K1638">
        <v>10000000</v>
      </c>
      <c r="L1638">
        <v>2</v>
      </c>
      <c r="M1638">
        <v>2</v>
      </c>
      <c r="N1638">
        <v>2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8</v>
      </c>
      <c r="V1638">
        <v>728.33896407999998</v>
      </c>
      <c r="AH1638">
        <f t="shared" si="230"/>
        <v>2</v>
      </c>
      <c r="AI1638">
        <f t="shared" si="231"/>
        <v>2</v>
      </c>
      <c r="AJ1638" t="str">
        <f t="shared" si="232"/>
        <v/>
      </c>
      <c r="AK1638" t="str">
        <f t="shared" si="233"/>
        <v/>
      </c>
      <c r="AL1638" t="str">
        <f t="shared" si="226"/>
        <v/>
      </c>
      <c r="AM1638" t="str">
        <f t="shared" si="227"/>
        <v/>
      </c>
      <c r="AN1638" t="str">
        <f t="shared" si="228"/>
        <v/>
      </c>
      <c r="AO1638" t="str">
        <f t="shared" si="229"/>
        <v/>
      </c>
    </row>
    <row r="1639" spans="1:41">
      <c r="A1639">
        <f t="shared" si="234"/>
        <v>1635</v>
      </c>
      <c r="B1639" t="s">
        <v>276</v>
      </c>
      <c r="C1639">
        <v>5</v>
      </c>
      <c r="D1639">
        <v>5</v>
      </c>
      <c r="E1639" t="s">
        <v>387</v>
      </c>
      <c r="F1639">
        <v>412</v>
      </c>
      <c r="G1639">
        <v>2</v>
      </c>
      <c r="H1639">
        <v>54</v>
      </c>
      <c r="I1639" t="s">
        <v>386</v>
      </c>
      <c r="J1639" t="s">
        <v>386</v>
      </c>
      <c r="K1639">
        <v>10000000</v>
      </c>
      <c r="L1639">
        <v>2</v>
      </c>
      <c r="M1639">
        <v>2</v>
      </c>
      <c r="N1639">
        <v>2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8</v>
      </c>
      <c r="V1639">
        <v>728.33896407999998</v>
      </c>
      <c r="AH1639">
        <f t="shared" si="230"/>
        <v>2</v>
      </c>
      <c r="AI1639">
        <f t="shared" si="231"/>
        <v>2</v>
      </c>
      <c r="AJ1639" t="str">
        <f t="shared" si="232"/>
        <v/>
      </c>
      <c r="AK1639" t="str">
        <f t="shared" si="233"/>
        <v/>
      </c>
      <c r="AL1639" t="str">
        <f t="shared" si="226"/>
        <v/>
      </c>
      <c r="AM1639" t="str">
        <f t="shared" si="227"/>
        <v/>
      </c>
      <c r="AN1639" t="str">
        <f t="shared" si="228"/>
        <v/>
      </c>
      <c r="AO1639" t="str">
        <f t="shared" si="229"/>
        <v/>
      </c>
    </row>
    <row r="1640" spans="1:41">
      <c r="A1640">
        <f t="shared" si="234"/>
        <v>1636</v>
      </c>
      <c r="B1640" t="s">
        <v>276</v>
      </c>
      <c r="C1640">
        <v>5</v>
      </c>
      <c r="D1640">
        <v>5</v>
      </c>
      <c r="E1640" t="s">
        <v>387</v>
      </c>
      <c r="F1640">
        <v>412</v>
      </c>
      <c r="G1640">
        <v>2</v>
      </c>
      <c r="H1640">
        <v>55</v>
      </c>
      <c r="I1640" t="s">
        <v>386</v>
      </c>
      <c r="J1640" t="s">
        <v>386</v>
      </c>
      <c r="K1640">
        <v>10000000</v>
      </c>
      <c r="L1640">
        <v>2</v>
      </c>
      <c r="M1640">
        <v>2</v>
      </c>
      <c r="N1640">
        <v>2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8</v>
      </c>
      <c r="V1640">
        <v>728.33896407999998</v>
      </c>
      <c r="AH1640">
        <f t="shared" si="230"/>
        <v>2</v>
      </c>
      <c r="AI1640">
        <f t="shared" si="231"/>
        <v>2</v>
      </c>
      <c r="AJ1640" t="str">
        <f t="shared" si="232"/>
        <v/>
      </c>
      <c r="AK1640" t="str">
        <f t="shared" si="233"/>
        <v/>
      </c>
      <c r="AL1640" t="str">
        <f t="shared" si="226"/>
        <v/>
      </c>
      <c r="AM1640" t="str">
        <f t="shared" si="227"/>
        <v/>
      </c>
      <c r="AN1640" t="str">
        <f t="shared" si="228"/>
        <v/>
      </c>
      <c r="AO1640" t="str">
        <f t="shared" si="229"/>
        <v/>
      </c>
    </row>
    <row r="1641" spans="1:41">
      <c r="A1641">
        <f t="shared" si="234"/>
        <v>1637</v>
      </c>
      <c r="B1641" t="s">
        <v>276</v>
      </c>
      <c r="C1641">
        <v>5</v>
      </c>
      <c r="D1641">
        <v>5</v>
      </c>
      <c r="E1641" t="s">
        <v>387</v>
      </c>
      <c r="F1641">
        <v>412</v>
      </c>
      <c r="G1641">
        <v>2</v>
      </c>
      <c r="H1641">
        <v>56</v>
      </c>
      <c r="I1641" t="s">
        <v>386</v>
      </c>
      <c r="J1641" t="s">
        <v>386</v>
      </c>
      <c r="K1641">
        <v>10000000</v>
      </c>
      <c r="L1641">
        <v>2</v>
      </c>
      <c r="M1641">
        <v>2</v>
      </c>
      <c r="N1641">
        <v>2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8</v>
      </c>
      <c r="V1641">
        <v>728.33896407999998</v>
      </c>
      <c r="AH1641">
        <f t="shared" si="230"/>
        <v>2</v>
      </c>
      <c r="AI1641">
        <f t="shared" si="231"/>
        <v>2</v>
      </c>
      <c r="AJ1641" t="str">
        <f t="shared" si="232"/>
        <v/>
      </c>
      <c r="AK1641" t="str">
        <f t="shared" si="233"/>
        <v/>
      </c>
      <c r="AL1641" t="str">
        <f t="shared" si="226"/>
        <v/>
      </c>
      <c r="AM1641" t="str">
        <f t="shared" si="227"/>
        <v/>
      </c>
      <c r="AN1641" t="str">
        <f t="shared" si="228"/>
        <v/>
      </c>
      <c r="AO1641" t="str">
        <f t="shared" si="229"/>
        <v/>
      </c>
    </row>
    <row r="1642" spans="1:41">
      <c r="A1642">
        <f t="shared" si="234"/>
        <v>1638</v>
      </c>
      <c r="B1642" t="s">
        <v>276</v>
      </c>
      <c r="C1642">
        <v>5</v>
      </c>
      <c r="D1642">
        <v>5</v>
      </c>
      <c r="E1642" t="s">
        <v>387</v>
      </c>
      <c r="F1642">
        <v>412</v>
      </c>
      <c r="G1642">
        <v>2</v>
      </c>
      <c r="H1642">
        <v>57</v>
      </c>
      <c r="I1642" t="s">
        <v>386</v>
      </c>
      <c r="J1642" t="s">
        <v>386</v>
      </c>
      <c r="K1642">
        <v>10000000</v>
      </c>
      <c r="L1642">
        <v>2</v>
      </c>
      <c r="M1642">
        <v>2</v>
      </c>
      <c r="N1642">
        <v>2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8</v>
      </c>
      <c r="V1642">
        <v>728.33896407999998</v>
      </c>
      <c r="AH1642">
        <f t="shared" si="230"/>
        <v>2</v>
      </c>
      <c r="AI1642">
        <f t="shared" si="231"/>
        <v>2</v>
      </c>
      <c r="AJ1642" t="str">
        <f t="shared" si="232"/>
        <v/>
      </c>
      <c r="AK1642" t="str">
        <f t="shared" si="233"/>
        <v/>
      </c>
      <c r="AL1642" t="str">
        <f t="shared" si="226"/>
        <v/>
      </c>
      <c r="AM1642" t="str">
        <f t="shared" si="227"/>
        <v/>
      </c>
      <c r="AN1642" t="str">
        <f t="shared" si="228"/>
        <v/>
      </c>
      <c r="AO1642" t="str">
        <f t="shared" si="229"/>
        <v/>
      </c>
    </row>
    <row r="1643" spans="1:41">
      <c r="A1643">
        <f t="shared" si="234"/>
        <v>1639</v>
      </c>
      <c r="B1643" t="s">
        <v>276</v>
      </c>
      <c r="C1643">
        <v>5</v>
      </c>
      <c r="D1643">
        <v>5</v>
      </c>
      <c r="E1643" t="s">
        <v>387</v>
      </c>
      <c r="F1643">
        <v>412</v>
      </c>
      <c r="G1643">
        <v>2</v>
      </c>
      <c r="H1643">
        <v>58</v>
      </c>
      <c r="I1643" t="s">
        <v>386</v>
      </c>
      <c r="J1643" t="s">
        <v>386</v>
      </c>
      <c r="K1643">
        <v>10000000</v>
      </c>
      <c r="L1643">
        <v>2</v>
      </c>
      <c r="M1643">
        <v>2</v>
      </c>
      <c r="N1643">
        <v>2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8</v>
      </c>
      <c r="V1643">
        <v>728.33896407999998</v>
      </c>
      <c r="AH1643">
        <f t="shared" si="230"/>
        <v>2</v>
      </c>
      <c r="AI1643">
        <f t="shared" si="231"/>
        <v>2</v>
      </c>
      <c r="AJ1643" t="str">
        <f t="shared" si="232"/>
        <v/>
      </c>
      <c r="AK1643" t="str">
        <f t="shared" si="233"/>
        <v/>
      </c>
      <c r="AL1643" t="str">
        <f t="shared" si="226"/>
        <v/>
      </c>
      <c r="AM1643" t="str">
        <f t="shared" si="227"/>
        <v/>
      </c>
      <c r="AN1643" t="str">
        <f t="shared" si="228"/>
        <v/>
      </c>
      <c r="AO1643" t="str">
        <f t="shared" si="229"/>
        <v/>
      </c>
    </row>
    <row r="1644" spans="1:41">
      <c r="A1644">
        <f t="shared" si="234"/>
        <v>1640</v>
      </c>
      <c r="B1644" t="s">
        <v>276</v>
      </c>
      <c r="C1644">
        <v>5</v>
      </c>
      <c r="D1644">
        <v>5</v>
      </c>
      <c r="E1644" t="s">
        <v>387</v>
      </c>
      <c r="F1644">
        <v>412</v>
      </c>
      <c r="G1644">
        <v>2</v>
      </c>
      <c r="H1644">
        <v>59</v>
      </c>
      <c r="I1644" t="s">
        <v>386</v>
      </c>
      <c r="J1644" t="s">
        <v>386</v>
      </c>
      <c r="K1644">
        <v>10000000</v>
      </c>
      <c r="L1644">
        <v>2</v>
      </c>
      <c r="M1644">
        <v>2</v>
      </c>
      <c r="N1644">
        <v>2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8</v>
      </c>
      <c r="V1644">
        <v>728.33896407999998</v>
      </c>
      <c r="AH1644">
        <f t="shared" si="230"/>
        <v>2</v>
      </c>
      <c r="AI1644">
        <f t="shared" si="231"/>
        <v>2</v>
      </c>
      <c r="AJ1644" t="str">
        <f t="shared" si="232"/>
        <v/>
      </c>
      <c r="AK1644" t="str">
        <f t="shared" si="233"/>
        <v/>
      </c>
      <c r="AL1644" t="str">
        <f t="shared" si="226"/>
        <v/>
      </c>
      <c r="AM1644" t="str">
        <f t="shared" si="227"/>
        <v/>
      </c>
      <c r="AN1644" t="str">
        <f t="shared" si="228"/>
        <v/>
      </c>
      <c r="AO1644" t="str">
        <f t="shared" si="229"/>
        <v/>
      </c>
    </row>
    <row r="1645" spans="1:41">
      <c r="A1645">
        <f t="shared" si="234"/>
        <v>1641</v>
      </c>
      <c r="B1645" t="s">
        <v>276</v>
      </c>
      <c r="C1645">
        <v>5</v>
      </c>
      <c r="D1645">
        <v>5</v>
      </c>
      <c r="E1645" t="s">
        <v>387</v>
      </c>
      <c r="F1645">
        <v>412</v>
      </c>
      <c r="G1645">
        <v>2</v>
      </c>
      <c r="H1645">
        <v>60</v>
      </c>
      <c r="I1645" t="s">
        <v>386</v>
      </c>
      <c r="J1645" t="s">
        <v>386</v>
      </c>
      <c r="K1645">
        <v>10000000</v>
      </c>
      <c r="L1645">
        <v>2</v>
      </c>
      <c r="M1645">
        <v>2</v>
      </c>
      <c r="N1645">
        <v>2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8</v>
      </c>
      <c r="V1645">
        <v>728.33896407999998</v>
      </c>
      <c r="AH1645">
        <f t="shared" si="230"/>
        <v>2</v>
      </c>
      <c r="AI1645">
        <f t="shared" si="231"/>
        <v>2</v>
      </c>
      <c r="AJ1645" t="str">
        <f t="shared" si="232"/>
        <v/>
      </c>
      <c r="AK1645" t="str">
        <f t="shared" si="233"/>
        <v/>
      </c>
      <c r="AL1645" t="str">
        <f t="shared" si="226"/>
        <v/>
      </c>
      <c r="AM1645" t="str">
        <f t="shared" si="227"/>
        <v/>
      </c>
      <c r="AN1645" t="str">
        <f t="shared" si="228"/>
        <v/>
      </c>
      <c r="AO1645" t="str">
        <f t="shared" si="229"/>
        <v/>
      </c>
    </row>
    <row r="1646" spans="1:41">
      <c r="A1646">
        <f t="shared" si="234"/>
        <v>1642</v>
      </c>
      <c r="B1646" t="s">
        <v>276</v>
      </c>
      <c r="C1646">
        <v>5</v>
      </c>
      <c r="D1646">
        <v>5</v>
      </c>
      <c r="E1646" t="s">
        <v>387</v>
      </c>
      <c r="F1646">
        <v>412</v>
      </c>
      <c r="G1646">
        <v>2</v>
      </c>
      <c r="H1646">
        <v>61</v>
      </c>
      <c r="I1646" t="s">
        <v>386</v>
      </c>
      <c r="J1646" t="s">
        <v>386</v>
      </c>
      <c r="K1646">
        <v>10000000</v>
      </c>
      <c r="L1646">
        <v>2</v>
      </c>
      <c r="M1646">
        <v>2</v>
      </c>
      <c r="N1646">
        <v>2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8</v>
      </c>
      <c r="V1646">
        <v>728.33896407999998</v>
      </c>
      <c r="AH1646">
        <f t="shared" si="230"/>
        <v>2</v>
      </c>
      <c r="AI1646">
        <f t="shared" si="231"/>
        <v>2</v>
      </c>
      <c r="AJ1646" t="str">
        <f t="shared" si="232"/>
        <v/>
      </c>
      <c r="AK1646" t="str">
        <f t="shared" si="233"/>
        <v/>
      </c>
      <c r="AL1646" t="str">
        <f t="shared" si="226"/>
        <v/>
      </c>
      <c r="AM1646" t="str">
        <f t="shared" si="227"/>
        <v/>
      </c>
      <c r="AN1646" t="str">
        <f t="shared" si="228"/>
        <v/>
      </c>
      <c r="AO1646" t="str">
        <f t="shared" si="229"/>
        <v/>
      </c>
    </row>
    <row r="1647" spans="1:41">
      <c r="A1647">
        <f t="shared" si="234"/>
        <v>1643</v>
      </c>
      <c r="B1647" t="s">
        <v>276</v>
      </c>
      <c r="C1647">
        <v>5</v>
      </c>
      <c r="D1647">
        <v>5</v>
      </c>
      <c r="E1647" t="s">
        <v>387</v>
      </c>
      <c r="F1647">
        <v>412</v>
      </c>
      <c r="G1647">
        <v>2</v>
      </c>
      <c r="H1647">
        <v>62</v>
      </c>
      <c r="I1647" t="s">
        <v>386</v>
      </c>
      <c r="J1647" t="s">
        <v>386</v>
      </c>
      <c r="K1647">
        <v>10000000</v>
      </c>
      <c r="L1647">
        <v>2</v>
      </c>
      <c r="M1647">
        <v>2</v>
      </c>
      <c r="N1647">
        <v>2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8</v>
      </c>
      <c r="V1647">
        <v>728.33896407999998</v>
      </c>
      <c r="AH1647">
        <f t="shared" si="230"/>
        <v>2</v>
      </c>
      <c r="AI1647">
        <f t="shared" si="231"/>
        <v>2</v>
      </c>
      <c r="AJ1647" t="str">
        <f t="shared" si="232"/>
        <v/>
      </c>
      <c r="AK1647" t="str">
        <f t="shared" si="233"/>
        <v/>
      </c>
      <c r="AL1647" t="str">
        <f t="shared" si="226"/>
        <v/>
      </c>
      <c r="AM1647" t="str">
        <f t="shared" si="227"/>
        <v/>
      </c>
      <c r="AN1647" t="str">
        <f t="shared" si="228"/>
        <v/>
      </c>
      <c r="AO1647" t="str">
        <f t="shared" si="229"/>
        <v/>
      </c>
    </row>
    <row r="1648" spans="1:41">
      <c r="A1648">
        <f t="shared" si="234"/>
        <v>1644</v>
      </c>
      <c r="B1648" t="s">
        <v>276</v>
      </c>
      <c r="C1648">
        <v>5</v>
      </c>
      <c r="D1648">
        <v>5</v>
      </c>
      <c r="E1648" t="s">
        <v>387</v>
      </c>
      <c r="F1648">
        <v>412</v>
      </c>
      <c r="G1648">
        <v>2</v>
      </c>
      <c r="H1648">
        <v>63</v>
      </c>
      <c r="I1648" t="s">
        <v>386</v>
      </c>
      <c r="J1648" t="s">
        <v>386</v>
      </c>
      <c r="K1648">
        <v>10000000</v>
      </c>
      <c r="L1648">
        <v>2</v>
      </c>
      <c r="M1648">
        <v>2</v>
      </c>
      <c r="N1648">
        <v>2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8</v>
      </c>
      <c r="V1648">
        <v>728.33896407999998</v>
      </c>
      <c r="AH1648">
        <f t="shared" si="230"/>
        <v>2</v>
      </c>
      <c r="AI1648">
        <f t="shared" si="231"/>
        <v>2</v>
      </c>
      <c r="AJ1648" t="str">
        <f t="shared" si="232"/>
        <v/>
      </c>
      <c r="AK1648" t="str">
        <f t="shared" si="233"/>
        <v/>
      </c>
      <c r="AL1648" t="str">
        <f t="shared" si="226"/>
        <v/>
      </c>
      <c r="AM1648" t="str">
        <f t="shared" si="227"/>
        <v/>
      </c>
      <c r="AN1648" t="str">
        <f t="shared" si="228"/>
        <v/>
      </c>
      <c r="AO1648" t="str">
        <f t="shared" si="229"/>
        <v/>
      </c>
    </row>
    <row r="1649" spans="1:41">
      <c r="A1649">
        <f t="shared" si="234"/>
        <v>1645</v>
      </c>
      <c r="B1649" t="s">
        <v>276</v>
      </c>
      <c r="C1649">
        <v>5</v>
      </c>
      <c r="D1649">
        <v>5</v>
      </c>
      <c r="E1649" t="s">
        <v>387</v>
      </c>
      <c r="F1649">
        <v>412</v>
      </c>
      <c r="G1649">
        <v>2</v>
      </c>
      <c r="H1649">
        <v>64</v>
      </c>
      <c r="I1649" t="s">
        <v>386</v>
      </c>
      <c r="J1649" t="s">
        <v>386</v>
      </c>
      <c r="K1649">
        <v>10000000</v>
      </c>
      <c r="L1649">
        <v>2</v>
      </c>
      <c r="M1649">
        <v>2</v>
      </c>
      <c r="N1649">
        <v>2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8</v>
      </c>
      <c r="V1649">
        <v>728.33896407999998</v>
      </c>
      <c r="AH1649">
        <f t="shared" si="230"/>
        <v>2</v>
      </c>
      <c r="AI1649">
        <f t="shared" si="231"/>
        <v>2</v>
      </c>
      <c r="AJ1649" t="str">
        <f t="shared" si="232"/>
        <v/>
      </c>
      <c r="AK1649" t="str">
        <f t="shared" si="233"/>
        <v/>
      </c>
      <c r="AL1649" t="str">
        <f t="shared" si="226"/>
        <v/>
      </c>
      <c r="AM1649" t="str">
        <f t="shared" si="227"/>
        <v/>
      </c>
      <c r="AN1649" t="str">
        <f t="shared" si="228"/>
        <v/>
      </c>
      <c r="AO1649" t="str">
        <f t="shared" si="229"/>
        <v/>
      </c>
    </row>
    <row r="1650" spans="1:41">
      <c r="A1650">
        <f t="shared" si="234"/>
        <v>1646</v>
      </c>
      <c r="B1650" t="s">
        <v>276</v>
      </c>
      <c r="C1650">
        <v>5</v>
      </c>
      <c r="D1650">
        <v>5</v>
      </c>
      <c r="E1650" t="s">
        <v>387</v>
      </c>
      <c r="F1650">
        <v>412</v>
      </c>
      <c r="G1650">
        <v>2</v>
      </c>
      <c r="H1650">
        <v>65</v>
      </c>
      <c r="I1650" t="s">
        <v>386</v>
      </c>
      <c r="J1650" t="s">
        <v>386</v>
      </c>
      <c r="K1650">
        <v>10000000</v>
      </c>
      <c r="L1650">
        <v>2</v>
      </c>
      <c r="M1650">
        <v>2</v>
      </c>
      <c r="N1650">
        <v>2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8</v>
      </c>
      <c r="V1650">
        <v>728.33896407999998</v>
      </c>
      <c r="AH1650">
        <f t="shared" si="230"/>
        <v>2</v>
      </c>
      <c r="AI1650">
        <f t="shared" si="231"/>
        <v>2</v>
      </c>
      <c r="AJ1650" t="str">
        <f t="shared" si="232"/>
        <v/>
      </c>
      <c r="AK1650" t="str">
        <f t="shared" si="233"/>
        <v/>
      </c>
      <c r="AL1650" t="str">
        <f t="shared" si="226"/>
        <v/>
      </c>
      <c r="AM1650" t="str">
        <f t="shared" si="227"/>
        <v/>
      </c>
      <c r="AN1650" t="str">
        <f t="shared" si="228"/>
        <v/>
      </c>
      <c r="AO1650" t="str">
        <f t="shared" si="229"/>
        <v/>
      </c>
    </row>
    <row r="1651" spans="1:41">
      <c r="A1651">
        <f t="shared" si="234"/>
        <v>1647</v>
      </c>
      <c r="B1651" t="s">
        <v>276</v>
      </c>
      <c r="C1651">
        <v>5</v>
      </c>
      <c r="D1651">
        <v>5</v>
      </c>
      <c r="E1651" t="s">
        <v>387</v>
      </c>
      <c r="F1651">
        <v>412</v>
      </c>
      <c r="G1651">
        <v>2</v>
      </c>
      <c r="H1651">
        <v>66</v>
      </c>
      <c r="I1651" t="s">
        <v>386</v>
      </c>
      <c r="J1651" t="s">
        <v>386</v>
      </c>
      <c r="K1651">
        <v>10000000</v>
      </c>
      <c r="L1651">
        <v>2</v>
      </c>
      <c r="M1651">
        <v>2</v>
      </c>
      <c r="N1651">
        <v>2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8</v>
      </c>
      <c r="V1651">
        <v>728.33896407999998</v>
      </c>
      <c r="AH1651">
        <f t="shared" si="230"/>
        <v>2</v>
      </c>
      <c r="AI1651">
        <f t="shared" si="231"/>
        <v>2</v>
      </c>
      <c r="AJ1651" t="str">
        <f t="shared" si="232"/>
        <v/>
      </c>
      <c r="AK1651" t="str">
        <f t="shared" si="233"/>
        <v/>
      </c>
      <c r="AL1651" t="str">
        <f t="shared" si="226"/>
        <v/>
      </c>
      <c r="AM1651" t="str">
        <f t="shared" si="227"/>
        <v/>
      </c>
      <c r="AN1651" t="str">
        <f t="shared" si="228"/>
        <v/>
      </c>
      <c r="AO1651" t="str">
        <f t="shared" si="229"/>
        <v/>
      </c>
    </row>
    <row r="1652" spans="1:41">
      <c r="A1652">
        <f t="shared" si="234"/>
        <v>1648</v>
      </c>
      <c r="B1652" t="s">
        <v>276</v>
      </c>
      <c r="C1652">
        <v>5</v>
      </c>
      <c r="D1652">
        <v>5</v>
      </c>
      <c r="E1652" t="s">
        <v>387</v>
      </c>
      <c r="F1652">
        <v>412</v>
      </c>
      <c r="G1652">
        <v>2</v>
      </c>
      <c r="H1652">
        <v>67</v>
      </c>
      <c r="I1652" t="s">
        <v>386</v>
      </c>
      <c r="J1652" t="s">
        <v>386</v>
      </c>
      <c r="K1652">
        <v>10000000</v>
      </c>
      <c r="L1652">
        <v>2</v>
      </c>
      <c r="M1652">
        <v>2</v>
      </c>
      <c r="N1652">
        <v>2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8</v>
      </c>
      <c r="V1652">
        <v>728.33896407999998</v>
      </c>
      <c r="AH1652">
        <f t="shared" si="230"/>
        <v>2</v>
      </c>
      <c r="AI1652">
        <f t="shared" si="231"/>
        <v>2</v>
      </c>
      <c r="AJ1652" t="str">
        <f t="shared" si="232"/>
        <v/>
      </c>
      <c r="AK1652" t="str">
        <f t="shared" si="233"/>
        <v/>
      </c>
      <c r="AL1652" t="str">
        <f t="shared" si="226"/>
        <v/>
      </c>
      <c r="AM1652" t="str">
        <f t="shared" si="227"/>
        <v/>
      </c>
      <c r="AN1652" t="str">
        <f t="shared" si="228"/>
        <v/>
      </c>
      <c r="AO1652" t="str">
        <f t="shared" si="229"/>
        <v/>
      </c>
    </row>
    <row r="1653" spans="1:41">
      <c r="A1653">
        <f t="shared" si="234"/>
        <v>1649</v>
      </c>
      <c r="B1653" t="s">
        <v>276</v>
      </c>
      <c r="C1653">
        <v>5</v>
      </c>
      <c r="D1653">
        <v>5</v>
      </c>
      <c r="E1653" t="s">
        <v>387</v>
      </c>
      <c r="F1653">
        <v>412</v>
      </c>
      <c r="G1653">
        <v>2</v>
      </c>
      <c r="H1653">
        <v>68</v>
      </c>
      <c r="I1653" t="s">
        <v>386</v>
      </c>
      <c r="J1653" t="s">
        <v>386</v>
      </c>
      <c r="K1653">
        <v>10000000</v>
      </c>
      <c r="L1653">
        <v>2</v>
      </c>
      <c r="M1653">
        <v>2</v>
      </c>
      <c r="N1653">
        <v>2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8</v>
      </c>
      <c r="V1653">
        <v>728.33896407999998</v>
      </c>
      <c r="AH1653">
        <f t="shared" si="230"/>
        <v>2</v>
      </c>
      <c r="AI1653">
        <f t="shared" si="231"/>
        <v>2</v>
      </c>
      <c r="AJ1653" t="str">
        <f t="shared" si="232"/>
        <v/>
      </c>
      <c r="AK1653" t="str">
        <f t="shared" si="233"/>
        <v/>
      </c>
      <c r="AL1653" t="str">
        <f t="shared" si="226"/>
        <v/>
      </c>
      <c r="AM1653" t="str">
        <f t="shared" si="227"/>
        <v/>
      </c>
      <c r="AN1653" t="str">
        <f t="shared" si="228"/>
        <v/>
      </c>
      <c r="AO1653" t="str">
        <f t="shared" si="229"/>
        <v/>
      </c>
    </row>
    <row r="1654" spans="1:41">
      <c r="A1654">
        <f t="shared" si="234"/>
        <v>1650</v>
      </c>
      <c r="B1654" t="s">
        <v>276</v>
      </c>
      <c r="C1654">
        <v>5</v>
      </c>
      <c r="D1654">
        <v>5</v>
      </c>
      <c r="E1654" t="s">
        <v>387</v>
      </c>
      <c r="F1654">
        <v>412</v>
      </c>
      <c r="G1654">
        <v>2</v>
      </c>
      <c r="H1654">
        <v>69</v>
      </c>
      <c r="I1654" t="s">
        <v>386</v>
      </c>
      <c r="J1654" t="s">
        <v>386</v>
      </c>
      <c r="K1654">
        <v>10000000</v>
      </c>
      <c r="L1654">
        <v>2</v>
      </c>
      <c r="M1654">
        <v>2</v>
      </c>
      <c r="N1654">
        <v>2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8</v>
      </c>
      <c r="V1654">
        <v>728.33896407999998</v>
      </c>
      <c r="AH1654">
        <f t="shared" si="230"/>
        <v>2</v>
      </c>
      <c r="AI1654">
        <f t="shared" si="231"/>
        <v>2</v>
      </c>
      <c r="AJ1654" t="str">
        <f t="shared" si="232"/>
        <v/>
      </c>
      <c r="AK1654" t="str">
        <f t="shared" si="233"/>
        <v/>
      </c>
      <c r="AL1654" t="str">
        <f t="shared" si="226"/>
        <v/>
      </c>
      <c r="AM1654" t="str">
        <f t="shared" si="227"/>
        <v/>
      </c>
      <c r="AN1654" t="str">
        <f t="shared" si="228"/>
        <v/>
      </c>
      <c r="AO1654" t="str">
        <f t="shared" si="229"/>
        <v/>
      </c>
    </row>
    <row r="1655" spans="1:41">
      <c r="A1655">
        <f t="shared" si="234"/>
        <v>1651</v>
      </c>
      <c r="B1655" t="s">
        <v>276</v>
      </c>
      <c r="C1655">
        <v>5</v>
      </c>
      <c r="D1655">
        <v>5</v>
      </c>
      <c r="E1655" t="s">
        <v>387</v>
      </c>
      <c r="F1655">
        <v>412</v>
      </c>
      <c r="G1655">
        <v>2</v>
      </c>
      <c r="H1655">
        <v>70</v>
      </c>
      <c r="I1655" t="s">
        <v>386</v>
      </c>
      <c r="J1655" t="s">
        <v>386</v>
      </c>
      <c r="K1655">
        <v>10000000</v>
      </c>
      <c r="L1655">
        <v>2</v>
      </c>
      <c r="M1655">
        <v>2</v>
      </c>
      <c r="N1655">
        <v>2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8</v>
      </c>
      <c r="V1655">
        <v>728.33896407999998</v>
      </c>
      <c r="AH1655">
        <f t="shared" si="230"/>
        <v>2</v>
      </c>
      <c r="AI1655">
        <f t="shared" si="231"/>
        <v>2</v>
      </c>
      <c r="AJ1655" t="str">
        <f t="shared" si="232"/>
        <v/>
      </c>
      <c r="AK1655" t="str">
        <f t="shared" si="233"/>
        <v/>
      </c>
      <c r="AL1655" t="str">
        <f t="shared" si="226"/>
        <v/>
      </c>
      <c r="AM1655" t="str">
        <f t="shared" si="227"/>
        <v/>
      </c>
      <c r="AN1655" t="str">
        <f t="shared" si="228"/>
        <v/>
      </c>
      <c r="AO1655" t="str">
        <f t="shared" si="229"/>
        <v/>
      </c>
    </row>
    <row r="1656" spans="1:41">
      <c r="A1656">
        <f t="shared" si="234"/>
        <v>1652</v>
      </c>
      <c r="B1656" t="s">
        <v>276</v>
      </c>
      <c r="C1656">
        <v>5</v>
      </c>
      <c r="D1656">
        <v>5</v>
      </c>
      <c r="E1656" t="s">
        <v>387</v>
      </c>
      <c r="F1656">
        <v>412</v>
      </c>
      <c r="G1656">
        <v>2</v>
      </c>
      <c r="H1656">
        <v>71</v>
      </c>
      <c r="I1656" t="s">
        <v>386</v>
      </c>
      <c r="J1656" t="s">
        <v>386</v>
      </c>
      <c r="K1656">
        <v>10000000</v>
      </c>
      <c r="L1656">
        <v>2</v>
      </c>
      <c r="M1656">
        <v>2</v>
      </c>
      <c r="N1656">
        <v>2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8</v>
      </c>
      <c r="V1656">
        <v>728.33896407999998</v>
      </c>
      <c r="AH1656">
        <f t="shared" si="230"/>
        <v>2</v>
      </c>
      <c r="AI1656">
        <f t="shared" si="231"/>
        <v>2</v>
      </c>
      <c r="AJ1656" t="str">
        <f t="shared" si="232"/>
        <v/>
      </c>
      <c r="AK1656" t="str">
        <f t="shared" si="233"/>
        <v/>
      </c>
      <c r="AL1656" t="str">
        <f t="shared" si="226"/>
        <v/>
      </c>
      <c r="AM1656" t="str">
        <f t="shared" si="227"/>
        <v/>
      </c>
      <c r="AN1656" t="str">
        <f t="shared" si="228"/>
        <v/>
      </c>
      <c r="AO1656" t="str">
        <f t="shared" si="229"/>
        <v/>
      </c>
    </row>
    <row r="1657" spans="1:41">
      <c r="A1657">
        <f t="shared" si="234"/>
        <v>1653</v>
      </c>
      <c r="B1657" t="s">
        <v>276</v>
      </c>
      <c r="C1657">
        <v>5</v>
      </c>
      <c r="D1657">
        <v>5</v>
      </c>
      <c r="E1657" t="s">
        <v>387</v>
      </c>
      <c r="F1657">
        <v>412</v>
      </c>
      <c r="G1657">
        <v>2</v>
      </c>
      <c r="H1657">
        <v>72</v>
      </c>
      <c r="I1657" t="s">
        <v>386</v>
      </c>
      <c r="J1657" t="s">
        <v>386</v>
      </c>
      <c r="K1657">
        <v>10000000</v>
      </c>
      <c r="L1657">
        <v>2</v>
      </c>
      <c r="M1657">
        <v>2</v>
      </c>
      <c r="N1657">
        <v>2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8</v>
      </c>
      <c r="V1657">
        <v>728.33896407999998</v>
      </c>
      <c r="AH1657">
        <f t="shared" si="230"/>
        <v>2</v>
      </c>
      <c r="AI1657">
        <f t="shared" si="231"/>
        <v>2</v>
      </c>
      <c r="AJ1657" t="str">
        <f t="shared" si="232"/>
        <v/>
      </c>
      <c r="AK1657" t="str">
        <f t="shared" si="233"/>
        <v/>
      </c>
      <c r="AL1657" t="str">
        <f t="shared" si="226"/>
        <v/>
      </c>
      <c r="AM1657" t="str">
        <f t="shared" si="227"/>
        <v/>
      </c>
      <c r="AN1657" t="str">
        <f t="shared" si="228"/>
        <v/>
      </c>
      <c r="AO1657" t="str">
        <f t="shared" si="229"/>
        <v/>
      </c>
    </row>
    <row r="1658" spans="1:41">
      <c r="A1658">
        <f t="shared" si="234"/>
        <v>1654</v>
      </c>
      <c r="B1658" t="s">
        <v>276</v>
      </c>
      <c r="C1658">
        <v>5</v>
      </c>
      <c r="D1658">
        <v>5</v>
      </c>
      <c r="E1658" t="s">
        <v>387</v>
      </c>
      <c r="F1658">
        <v>412</v>
      </c>
      <c r="G1658">
        <v>2</v>
      </c>
      <c r="H1658">
        <v>73</v>
      </c>
      <c r="I1658" t="s">
        <v>386</v>
      </c>
      <c r="J1658" t="s">
        <v>386</v>
      </c>
      <c r="K1658">
        <v>10000000</v>
      </c>
      <c r="L1658">
        <v>2</v>
      </c>
      <c r="M1658">
        <v>2</v>
      </c>
      <c r="N1658">
        <v>2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8</v>
      </c>
      <c r="V1658">
        <v>728.33896407999998</v>
      </c>
      <c r="AH1658">
        <f t="shared" si="230"/>
        <v>2</v>
      </c>
      <c r="AI1658">
        <f t="shared" si="231"/>
        <v>2</v>
      </c>
      <c r="AJ1658" t="str">
        <f t="shared" si="232"/>
        <v/>
      </c>
      <c r="AK1658" t="str">
        <f t="shared" si="233"/>
        <v/>
      </c>
      <c r="AL1658" t="str">
        <f t="shared" si="226"/>
        <v/>
      </c>
      <c r="AM1658" t="str">
        <f t="shared" si="227"/>
        <v/>
      </c>
      <c r="AN1658" t="str">
        <f t="shared" si="228"/>
        <v/>
      </c>
      <c r="AO1658" t="str">
        <f t="shared" si="229"/>
        <v/>
      </c>
    </row>
    <row r="1659" spans="1:41">
      <c r="A1659">
        <f t="shared" si="234"/>
        <v>1655</v>
      </c>
      <c r="B1659" t="s">
        <v>276</v>
      </c>
      <c r="C1659">
        <v>5</v>
      </c>
      <c r="D1659">
        <v>5</v>
      </c>
      <c r="E1659" t="s">
        <v>387</v>
      </c>
      <c r="F1659">
        <v>412</v>
      </c>
      <c r="G1659">
        <v>2</v>
      </c>
      <c r="H1659">
        <v>74</v>
      </c>
      <c r="I1659" t="s">
        <v>386</v>
      </c>
      <c r="J1659" t="s">
        <v>386</v>
      </c>
      <c r="K1659">
        <v>10000000</v>
      </c>
      <c r="L1659">
        <v>2</v>
      </c>
      <c r="M1659">
        <v>2</v>
      </c>
      <c r="N1659">
        <v>2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8</v>
      </c>
      <c r="V1659">
        <v>728.33896407999998</v>
      </c>
      <c r="AH1659">
        <f t="shared" si="230"/>
        <v>2</v>
      </c>
      <c r="AI1659">
        <f t="shared" si="231"/>
        <v>2</v>
      </c>
      <c r="AJ1659" t="str">
        <f t="shared" si="232"/>
        <v/>
      </c>
      <c r="AK1659" t="str">
        <f t="shared" si="233"/>
        <v/>
      </c>
      <c r="AL1659" t="str">
        <f t="shared" si="226"/>
        <v/>
      </c>
      <c r="AM1659" t="str">
        <f t="shared" si="227"/>
        <v/>
      </c>
      <c r="AN1659" t="str">
        <f t="shared" si="228"/>
        <v/>
      </c>
      <c r="AO1659" t="str">
        <f t="shared" si="229"/>
        <v/>
      </c>
    </row>
    <row r="1660" spans="1:41">
      <c r="A1660">
        <f t="shared" si="234"/>
        <v>1656</v>
      </c>
      <c r="B1660" t="s">
        <v>276</v>
      </c>
      <c r="C1660">
        <v>5</v>
      </c>
      <c r="D1660">
        <v>5</v>
      </c>
      <c r="E1660" t="s">
        <v>387</v>
      </c>
      <c r="F1660">
        <v>412</v>
      </c>
      <c r="G1660">
        <v>2</v>
      </c>
      <c r="H1660">
        <v>75</v>
      </c>
      <c r="I1660" t="s">
        <v>386</v>
      </c>
      <c r="J1660" t="s">
        <v>386</v>
      </c>
      <c r="K1660">
        <v>10000000</v>
      </c>
      <c r="L1660">
        <v>2</v>
      </c>
      <c r="M1660">
        <v>2</v>
      </c>
      <c r="N1660">
        <v>2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8</v>
      </c>
      <c r="V1660">
        <v>728.33896407999998</v>
      </c>
      <c r="AH1660">
        <f t="shared" si="230"/>
        <v>2</v>
      </c>
      <c r="AI1660">
        <f t="shared" si="231"/>
        <v>2</v>
      </c>
      <c r="AJ1660" t="str">
        <f t="shared" si="232"/>
        <v/>
      </c>
      <c r="AK1660" t="str">
        <f t="shared" si="233"/>
        <v/>
      </c>
      <c r="AL1660" t="str">
        <f t="shared" si="226"/>
        <v/>
      </c>
      <c r="AM1660" t="str">
        <f t="shared" si="227"/>
        <v/>
      </c>
      <c r="AN1660" t="str">
        <f t="shared" si="228"/>
        <v/>
      </c>
      <c r="AO1660" t="str">
        <f t="shared" si="229"/>
        <v/>
      </c>
    </row>
    <row r="1661" spans="1:41">
      <c r="A1661">
        <f t="shared" si="234"/>
        <v>1657</v>
      </c>
      <c r="B1661" t="s">
        <v>276</v>
      </c>
      <c r="C1661">
        <v>5</v>
      </c>
      <c r="D1661">
        <v>5</v>
      </c>
      <c r="E1661" t="s">
        <v>387</v>
      </c>
      <c r="F1661">
        <v>412</v>
      </c>
      <c r="G1661">
        <v>2</v>
      </c>
      <c r="H1661">
        <v>76</v>
      </c>
      <c r="I1661" t="s">
        <v>386</v>
      </c>
      <c r="J1661" t="s">
        <v>386</v>
      </c>
      <c r="K1661">
        <v>10000000</v>
      </c>
      <c r="L1661">
        <v>2</v>
      </c>
      <c r="M1661">
        <v>2</v>
      </c>
      <c r="N1661">
        <v>2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8</v>
      </c>
      <c r="V1661">
        <v>728.33896407999998</v>
      </c>
      <c r="AH1661">
        <f t="shared" si="230"/>
        <v>2</v>
      </c>
      <c r="AI1661">
        <f t="shared" si="231"/>
        <v>2</v>
      </c>
      <c r="AJ1661" t="str">
        <f t="shared" si="232"/>
        <v/>
      </c>
      <c r="AK1661" t="str">
        <f t="shared" si="233"/>
        <v/>
      </c>
      <c r="AL1661" t="str">
        <f t="shared" si="226"/>
        <v/>
      </c>
      <c r="AM1661" t="str">
        <f t="shared" si="227"/>
        <v/>
      </c>
      <c r="AN1661" t="str">
        <f t="shared" si="228"/>
        <v/>
      </c>
      <c r="AO1661" t="str">
        <f t="shared" si="229"/>
        <v/>
      </c>
    </row>
    <row r="1662" spans="1:41">
      <c r="A1662">
        <f t="shared" si="234"/>
        <v>1658</v>
      </c>
      <c r="B1662" t="s">
        <v>276</v>
      </c>
      <c r="C1662">
        <v>5</v>
      </c>
      <c r="D1662">
        <v>5</v>
      </c>
      <c r="E1662" t="s">
        <v>387</v>
      </c>
      <c r="F1662">
        <v>412</v>
      </c>
      <c r="G1662">
        <v>2</v>
      </c>
      <c r="H1662">
        <v>77</v>
      </c>
      <c r="I1662" t="s">
        <v>386</v>
      </c>
      <c r="J1662" t="s">
        <v>386</v>
      </c>
      <c r="K1662">
        <v>10000000</v>
      </c>
      <c r="L1662">
        <v>2</v>
      </c>
      <c r="M1662">
        <v>2</v>
      </c>
      <c r="N1662">
        <v>2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8</v>
      </c>
      <c r="V1662">
        <v>728.33896407999998</v>
      </c>
      <c r="AH1662">
        <f t="shared" si="230"/>
        <v>2</v>
      </c>
      <c r="AI1662">
        <f t="shared" si="231"/>
        <v>2</v>
      </c>
      <c r="AJ1662" t="str">
        <f t="shared" si="232"/>
        <v/>
      </c>
      <c r="AK1662" t="str">
        <f t="shared" si="233"/>
        <v/>
      </c>
      <c r="AL1662" t="str">
        <f t="shared" si="226"/>
        <v/>
      </c>
      <c r="AM1662" t="str">
        <f t="shared" si="227"/>
        <v/>
      </c>
      <c r="AN1662" t="str">
        <f t="shared" si="228"/>
        <v/>
      </c>
      <c r="AO1662" t="str">
        <f t="shared" si="229"/>
        <v/>
      </c>
    </row>
    <row r="1663" spans="1:41">
      <c r="A1663">
        <f t="shared" si="234"/>
        <v>1659</v>
      </c>
      <c r="B1663" t="s">
        <v>276</v>
      </c>
      <c r="C1663">
        <v>5</v>
      </c>
      <c r="D1663">
        <v>5</v>
      </c>
      <c r="E1663" t="s">
        <v>387</v>
      </c>
      <c r="F1663">
        <v>412</v>
      </c>
      <c r="G1663">
        <v>2</v>
      </c>
      <c r="H1663">
        <v>78</v>
      </c>
      <c r="I1663" t="s">
        <v>386</v>
      </c>
      <c r="J1663" t="s">
        <v>386</v>
      </c>
      <c r="K1663">
        <v>10000000</v>
      </c>
      <c r="L1663">
        <v>2</v>
      </c>
      <c r="M1663">
        <v>2</v>
      </c>
      <c r="N1663">
        <v>2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8</v>
      </c>
      <c r="V1663">
        <v>728.33896407999998</v>
      </c>
      <c r="AH1663">
        <f t="shared" si="230"/>
        <v>2</v>
      </c>
      <c r="AI1663">
        <f t="shared" si="231"/>
        <v>2</v>
      </c>
      <c r="AJ1663" t="str">
        <f t="shared" si="232"/>
        <v/>
      </c>
      <c r="AK1663" t="str">
        <f t="shared" si="233"/>
        <v/>
      </c>
      <c r="AL1663" t="str">
        <f t="shared" si="226"/>
        <v/>
      </c>
      <c r="AM1663" t="str">
        <f t="shared" si="227"/>
        <v/>
      </c>
      <c r="AN1663" t="str">
        <f t="shared" si="228"/>
        <v/>
      </c>
      <c r="AO1663" t="str">
        <f t="shared" si="229"/>
        <v/>
      </c>
    </row>
    <row r="1664" spans="1:41">
      <c r="A1664">
        <f t="shared" si="234"/>
        <v>1660</v>
      </c>
      <c r="B1664" t="s">
        <v>276</v>
      </c>
      <c r="C1664">
        <v>5</v>
      </c>
      <c r="D1664">
        <v>5</v>
      </c>
      <c r="E1664" t="s">
        <v>387</v>
      </c>
      <c r="F1664">
        <v>412</v>
      </c>
      <c r="G1664">
        <v>2</v>
      </c>
      <c r="H1664">
        <v>79</v>
      </c>
      <c r="I1664" t="s">
        <v>386</v>
      </c>
      <c r="J1664" t="s">
        <v>386</v>
      </c>
      <c r="K1664">
        <v>10000000</v>
      </c>
      <c r="L1664">
        <v>2</v>
      </c>
      <c r="M1664">
        <v>2</v>
      </c>
      <c r="N1664">
        <v>2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8</v>
      </c>
      <c r="V1664">
        <v>728.33896407999998</v>
      </c>
      <c r="AH1664">
        <f t="shared" si="230"/>
        <v>2</v>
      </c>
      <c r="AI1664">
        <f t="shared" si="231"/>
        <v>2</v>
      </c>
      <c r="AJ1664" t="str">
        <f t="shared" si="232"/>
        <v/>
      </c>
      <c r="AK1664" t="str">
        <f t="shared" si="233"/>
        <v/>
      </c>
      <c r="AL1664" t="str">
        <f t="shared" si="226"/>
        <v/>
      </c>
      <c r="AM1664" t="str">
        <f t="shared" si="227"/>
        <v/>
      </c>
      <c r="AN1664" t="str">
        <f t="shared" si="228"/>
        <v/>
      </c>
      <c r="AO1664" t="str">
        <f t="shared" si="229"/>
        <v/>
      </c>
    </row>
    <row r="1665" spans="1:41">
      <c r="A1665">
        <f t="shared" si="234"/>
        <v>1661</v>
      </c>
      <c r="B1665" t="s">
        <v>276</v>
      </c>
      <c r="C1665">
        <v>5</v>
      </c>
      <c r="D1665">
        <v>5</v>
      </c>
      <c r="E1665" t="s">
        <v>387</v>
      </c>
      <c r="F1665">
        <v>412</v>
      </c>
      <c r="G1665">
        <v>2</v>
      </c>
      <c r="H1665">
        <v>80</v>
      </c>
      <c r="I1665" t="s">
        <v>386</v>
      </c>
      <c r="J1665" t="s">
        <v>386</v>
      </c>
      <c r="K1665">
        <v>10000000</v>
      </c>
      <c r="L1665">
        <v>2</v>
      </c>
      <c r="M1665">
        <v>2</v>
      </c>
      <c r="N1665">
        <v>2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8</v>
      </c>
      <c r="V1665">
        <v>728.33896407999998</v>
      </c>
      <c r="AH1665">
        <f t="shared" si="230"/>
        <v>2</v>
      </c>
      <c r="AI1665">
        <f t="shared" si="231"/>
        <v>2</v>
      </c>
      <c r="AJ1665" t="str">
        <f t="shared" si="232"/>
        <v/>
      </c>
      <c r="AK1665" t="str">
        <f t="shared" si="233"/>
        <v/>
      </c>
      <c r="AL1665" t="str">
        <f t="shared" si="226"/>
        <v/>
      </c>
      <c r="AM1665" t="str">
        <f t="shared" si="227"/>
        <v/>
      </c>
      <c r="AN1665" t="str">
        <f t="shared" si="228"/>
        <v/>
      </c>
      <c r="AO1665" t="str">
        <f t="shared" si="229"/>
        <v/>
      </c>
    </row>
    <row r="1666" spans="1:41">
      <c r="A1666">
        <f t="shared" si="234"/>
        <v>1662</v>
      </c>
      <c r="B1666" t="s">
        <v>276</v>
      </c>
      <c r="C1666">
        <v>5</v>
      </c>
      <c r="D1666">
        <v>5</v>
      </c>
      <c r="E1666" t="s">
        <v>387</v>
      </c>
      <c r="F1666">
        <v>412</v>
      </c>
      <c r="G1666">
        <v>2</v>
      </c>
      <c r="H1666">
        <v>81</v>
      </c>
      <c r="I1666" t="s">
        <v>386</v>
      </c>
      <c r="J1666" t="s">
        <v>386</v>
      </c>
      <c r="K1666">
        <v>10000000</v>
      </c>
      <c r="L1666">
        <v>2</v>
      </c>
      <c r="M1666">
        <v>2</v>
      </c>
      <c r="N1666">
        <v>2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8</v>
      </c>
      <c r="V1666">
        <v>728.33896407999998</v>
      </c>
      <c r="AH1666">
        <f t="shared" si="230"/>
        <v>2</v>
      </c>
      <c r="AI1666">
        <f t="shared" si="231"/>
        <v>2</v>
      </c>
      <c r="AJ1666" t="str">
        <f t="shared" si="232"/>
        <v/>
      </c>
      <c r="AK1666" t="str">
        <f t="shared" si="233"/>
        <v/>
      </c>
      <c r="AL1666" t="str">
        <f t="shared" si="226"/>
        <v/>
      </c>
      <c r="AM1666" t="str">
        <f t="shared" si="227"/>
        <v/>
      </c>
      <c r="AN1666" t="str">
        <f t="shared" si="228"/>
        <v/>
      </c>
      <c r="AO1666" t="str">
        <f t="shared" si="229"/>
        <v/>
      </c>
    </row>
    <row r="1667" spans="1:41">
      <c r="A1667">
        <f t="shared" si="234"/>
        <v>1663</v>
      </c>
      <c r="B1667" t="s">
        <v>276</v>
      </c>
      <c r="C1667">
        <v>5</v>
      </c>
      <c r="D1667">
        <v>5</v>
      </c>
      <c r="E1667" t="s">
        <v>387</v>
      </c>
      <c r="F1667">
        <v>412</v>
      </c>
      <c r="G1667">
        <v>2</v>
      </c>
      <c r="H1667">
        <v>82</v>
      </c>
      <c r="I1667" t="s">
        <v>386</v>
      </c>
      <c r="J1667" t="s">
        <v>386</v>
      </c>
      <c r="K1667">
        <v>10000000</v>
      </c>
      <c r="L1667">
        <v>2</v>
      </c>
      <c r="M1667">
        <v>2</v>
      </c>
      <c r="N1667">
        <v>2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8</v>
      </c>
      <c r="V1667">
        <v>728.33896407999998</v>
      </c>
      <c r="AH1667">
        <f t="shared" si="230"/>
        <v>2</v>
      </c>
      <c r="AI1667">
        <f t="shared" si="231"/>
        <v>2</v>
      </c>
      <c r="AJ1667" t="str">
        <f t="shared" si="232"/>
        <v/>
      </c>
      <c r="AK1667" t="str">
        <f t="shared" si="233"/>
        <v/>
      </c>
      <c r="AL1667" t="str">
        <f t="shared" si="226"/>
        <v/>
      </c>
      <c r="AM1667" t="str">
        <f t="shared" si="227"/>
        <v/>
      </c>
      <c r="AN1667" t="str">
        <f t="shared" si="228"/>
        <v/>
      </c>
      <c r="AO1667" t="str">
        <f t="shared" si="229"/>
        <v/>
      </c>
    </row>
    <row r="1668" spans="1:41">
      <c r="A1668">
        <f t="shared" si="234"/>
        <v>1664</v>
      </c>
      <c r="B1668" t="s">
        <v>276</v>
      </c>
      <c r="C1668">
        <v>5</v>
      </c>
      <c r="D1668">
        <v>5</v>
      </c>
      <c r="E1668" t="s">
        <v>387</v>
      </c>
      <c r="F1668">
        <v>412</v>
      </c>
      <c r="G1668">
        <v>2</v>
      </c>
      <c r="H1668">
        <v>83</v>
      </c>
      <c r="I1668" t="s">
        <v>386</v>
      </c>
      <c r="J1668" t="s">
        <v>386</v>
      </c>
      <c r="K1668">
        <v>10000000</v>
      </c>
      <c r="L1668">
        <v>2</v>
      </c>
      <c r="M1668">
        <v>2</v>
      </c>
      <c r="N1668">
        <v>2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8</v>
      </c>
      <c r="V1668">
        <v>728.33896407999998</v>
      </c>
      <c r="AH1668">
        <f t="shared" si="230"/>
        <v>2</v>
      </c>
      <c r="AI1668">
        <f t="shared" si="231"/>
        <v>2</v>
      </c>
      <c r="AJ1668" t="str">
        <f t="shared" si="232"/>
        <v/>
      </c>
      <c r="AK1668" t="str">
        <f t="shared" si="233"/>
        <v/>
      </c>
      <c r="AL1668" t="str">
        <f t="shared" si="226"/>
        <v/>
      </c>
      <c r="AM1668" t="str">
        <f t="shared" si="227"/>
        <v/>
      </c>
      <c r="AN1668" t="str">
        <f t="shared" si="228"/>
        <v/>
      </c>
      <c r="AO1668" t="str">
        <f t="shared" si="229"/>
        <v/>
      </c>
    </row>
    <row r="1669" spans="1:41">
      <c r="A1669">
        <f t="shared" si="234"/>
        <v>1665</v>
      </c>
      <c r="B1669" t="s">
        <v>276</v>
      </c>
      <c r="C1669">
        <v>5</v>
      </c>
      <c r="D1669">
        <v>5</v>
      </c>
      <c r="E1669" t="s">
        <v>387</v>
      </c>
      <c r="F1669">
        <v>412</v>
      </c>
      <c r="G1669">
        <v>2</v>
      </c>
      <c r="H1669">
        <v>84</v>
      </c>
      <c r="I1669" t="s">
        <v>386</v>
      </c>
      <c r="J1669" t="s">
        <v>386</v>
      </c>
      <c r="K1669">
        <v>10000000</v>
      </c>
      <c r="L1669">
        <v>2</v>
      </c>
      <c r="M1669">
        <v>2</v>
      </c>
      <c r="N1669">
        <v>2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8</v>
      </c>
      <c r="V1669">
        <v>728.33896407999998</v>
      </c>
      <c r="AH1669">
        <f t="shared" si="230"/>
        <v>2</v>
      </c>
      <c r="AI1669">
        <f t="shared" si="231"/>
        <v>2</v>
      </c>
      <c r="AJ1669" t="str">
        <f t="shared" si="232"/>
        <v/>
      </c>
      <c r="AK1669" t="str">
        <f t="shared" si="233"/>
        <v/>
      </c>
      <c r="AL1669" t="str">
        <f t="shared" ref="AL1669:AL1684" si="235">IF(Q1669=AC1669, "", Q1669-AC1669)</f>
        <v/>
      </c>
      <c r="AM1669" t="str">
        <f t="shared" ref="AM1669:AM1684" si="236">IF(R1669=AD1669, "", R1669-AD1669)</f>
        <v/>
      </c>
      <c r="AN1669" t="str">
        <f t="shared" ref="AN1669:AN1684" si="237">IF(S1669=AE1669, "", S1669-AE1669)</f>
        <v/>
      </c>
      <c r="AO1669" t="str">
        <f t="shared" ref="AO1669:AO1684" si="238">IF(T1669=AF1669, "", T1669-AF1669)</f>
        <v/>
      </c>
    </row>
    <row r="1670" spans="1:41">
      <c r="A1670">
        <f t="shared" si="234"/>
        <v>1666</v>
      </c>
      <c r="B1670" t="s">
        <v>276</v>
      </c>
      <c r="C1670">
        <v>5</v>
      </c>
      <c r="D1670">
        <v>5</v>
      </c>
      <c r="E1670" t="s">
        <v>387</v>
      </c>
      <c r="F1670">
        <v>412</v>
      </c>
      <c r="G1670">
        <v>2</v>
      </c>
      <c r="H1670">
        <v>85</v>
      </c>
      <c r="I1670" t="s">
        <v>386</v>
      </c>
      <c r="J1670" t="s">
        <v>386</v>
      </c>
      <c r="K1670">
        <v>10000000</v>
      </c>
      <c r="L1670">
        <v>2</v>
      </c>
      <c r="M1670">
        <v>2</v>
      </c>
      <c r="N1670">
        <v>2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8</v>
      </c>
      <c r="V1670">
        <v>728.33896407999998</v>
      </c>
      <c r="AH1670">
        <f t="shared" ref="AH1670:AH1684" si="239">IF(L1670=Y1670, "",L1670-Y1670)</f>
        <v>2</v>
      </c>
      <c r="AI1670">
        <f t="shared" ref="AI1670:AI1684" si="240">IF(N1670=Z1670, "", N1670-Z1670)</f>
        <v>2</v>
      </c>
      <c r="AJ1670" t="str">
        <f t="shared" ref="AJ1670:AJ1684" si="241">IF(O1670=AA1670, "", O1670-AA1670)</f>
        <v/>
      </c>
      <c r="AK1670" t="str">
        <f t="shared" ref="AK1670:AK1684" si="242">IF(P1670=AB1670, "", P1670-AB1670)</f>
        <v/>
      </c>
      <c r="AL1670" t="str">
        <f t="shared" si="235"/>
        <v/>
      </c>
      <c r="AM1670" t="str">
        <f t="shared" si="236"/>
        <v/>
      </c>
      <c r="AN1670" t="str">
        <f t="shared" si="237"/>
        <v/>
      </c>
      <c r="AO1670" t="str">
        <f t="shared" si="238"/>
        <v/>
      </c>
    </row>
    <row r="1671" spans="1:41">
      <c r="A1671">
        <f t="shared" ref="A1671:A1684" si="243">A1670+1</f>
        <v>1667</v>
      </c>
      <c r="B1671" t="s">
        <v>276</v>
      </c>
      <c r="C1671">
        <v>5</v>
      </c>
      <c r="D1671">
        <v>5</v>
      </c>
      <c r="E1671" t="s">
        <v>387</v>
      </c>
      <c r="F1671">
        <v>412</v>
      </c>
      <c r="G1671">
        <v>2</v>
      </c>
      <c r="H1671">
        <v>86</v>
      </c>
      <c r="I1671" t="s">
        <v>386</v>
      </c>
      <c r="J1671" t="s">
        <v>386</v>
      </c>
      <c r="K1671">
        <v>10000000</v>
      </c>
      <c r="L1671">
        <v>2</v>
      </c>
      <c r="M1671">
        <v>2</v>
      </c>
      <c r="N1671">
        <v>2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8</v>
      </c>
      <c r="V1671">
        <v>728.33896407999998</v>
      </c>
      <c r="AH1671">
        <f t="shared" si="239"/>
        <v>2</v>
      </c>
      <c r="AI1671">
        <f t="shared" si="240"/>
        <v>2</v>
      </c>
      <c r="AJ1671" t="str">
        <f t="shared" si="241"/>
        <v/>
      </c>
      <c r="AK1671" t="str">
        <f t="shared" si="242"/>
        <v/>
      </c>
      <c r="AL1671" t="str">
        <f t="shared" si="235"/>
        <v/>
      </c>
      <c r="AM1671" t="str">
        <f t="shared" si="236"/>
        <v/>
      </c>
      <c r="AN1671" t="str">
        <f t="shared" si="237"/>
        <v/>
      </c>
      <c r="AO1671" t="str">
        <f t="shared" si="238"/>
        <v/>
      </c>
    </row>
    <row r="1672" spans="1:41">
      <c r="A1672">
        <f t="shared" si="243"/>
        <v>1668</v>
      </c>
      <c r="B1672" t="s">
        <v>276</v>
      </c>
      <c r="C1672">
        <v>5</v>
      </c>
      <c r="D1672">
        <v>5</v>
      </c>
      <c r="E1672" t="s">
        <v>387</v>
      </c>
      <c r="F1672">
        <v>412</v>
      </c>
      <c r="G1672">
        <v>2</v>
      </c>
      <c r="H1672">
        <v>87</v>
      </c>
      <c r="I1672" t="s">
        <v>386</v>
      </c>
      <c r="J1672" t="s">
        <v>386</v>
      </c>
      <c r="K1672">
        <v>10000000</v>
      </c>
      <c r="L1672">
        <v>2</v>
      </c>
      <c r="M1672">
        <v>2</v>
      </c>
      <c r="N1672">
        <v>2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8</v>
      </c>
      <c r="V1672">
        <v>728.33896407999998</v>
      </c>
      <c r="AH1672">
        <f t="shared" si="239"/>
        <v>2</v>
      </c>
      <c r="AI1672">
        <f t="shared" si="240"/>
        <v>2</v>
      </c>
      <c r="AJ1672" t="str">
        <f t="shared" si="241"/>
        <v/>
      </c>
      <c r="AK1672" t="str">
        <f t="shared" si="242"/>
        <v/>
      </c>
      <c r="AL1672" t="str">
        <f t="shared" si="235"/>
        <v/>
      </c>
      <c r="AM1672" t="str">
        <f t="shared" si="236"/>
        <v/>
      </c>
      <c r="AN1672" t="str">
        <f t="shared" si="237"/>
        <v/>
      </c>
      <c r="AO1672" t="str">
        <f t="shared" si="238"/>
        <v/>
      </c>
    </row>
    <row r="1673" spans="1:41">
      <c r="A1673">
        <f t="shared" si="243"/>
        <v>1669</v>
      </c>
      <c r="B1673" t="s">
        <v>276</v>
      </c>
      <c r="C1673">
        <v>5</v>
      </c>
      <c r="D1673">
        <v>5</v>
      </c>
      <c r="E1673" t="s">
        <v>387</v>
      </c>
      <c r="F1673">
        <v>412</v>
      </c>
      <c r="G1673">
        <v>2</v>
      </c>
      <c r="H1673">
        <v>88</v>
      </c>
      <c r="I1673" t="s">
        <v>386</v>
      </c>
      <c r="J1673" t="s">
        <v>386</v>
      </c>
      <c r="K1673">
        <v>10000000</v>
      </c>
      <c r="L1673">
        <v>2</v>
      </c>
      <c r="M1673">
        <v>2</v>
      </c>
      <c r="N1673">
        <v>2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8</v>
      </c>
      <c r="V1673">
        <v>728.33896407999998</v>
      </c>
      <c r="AH1673">
        <f t="shared" si="239"/>
        <v>2</v>
      </c>
      <c r="AI1673">
        <f t="shared" si="240"/>
        <v>2</v>
      </c>
      <c r="AJ1673" t="str">
        <f t="shared" si="241"/>
        <v/>
      </c>
      <c r="AK1673" t="str">
        <f t="shared" si="242"/>
        <v/>
      </c>
      <c r="AL1673" t="str">
        <f t="shared" si="235"/>
        <v/>
      </c>
      <c r="AM1673" t="str">
        <f t="shared" si="236"/>
        <v/>
      </c>
      <c r="AN1673" t="str">
        <f t="shared" si="237"/>
        <v/>
      </c>
      <c r="AO1673" t="str">
        <f t="shared" si="238"/>
        <v/>
      </c>
    </row>
    <row r="1674" spans="1:41">
      <c r="A1674">
        <f t="shared" si="243"/>
        <v>1670</v>
      </c>
      <c r="B1674" t="s">
        <v>276</v>
      </c>
      <c r="C1674">
        <v>5</v>
      </c>
      <c r="D1674">
        <v>5</v>
      </c>
      <c r="E1674" t="s">
        <v>387</v>
      </c>
      <c r="F1674">
        <v>412</v>
      </c>
      <c r="G1674">
        <v>2</v>
      </c>
      <c r="H1674">
        <v>89</v>
      </c>
      <c r="I1674" t="s">
        <v>386</v>
      </c>
      <c r="J1674" t="s">
        <v>386</v>
      </c>
      <c r="K1674">
        <v>10000000</v>
      </c>
      <c r="L1674">
        <v>2</v>
      </c>
      <c r="M1674">
        <v>2</v>
      </c>
      <c r="N1674">
        <v>2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8</v>
      </c>
      <c r="V1674">
        <v>728.33896407999998</v>
      </c>
      <c r="AH1674">
        <f t="shared" si="239"/>
        <v>2</v>
      </c>
      <c r="AI1674">
        <f t="shared" si="240"/>
        <v>2</v>
      </c>
      <c r="AJ1674" t="str">
        <f t="shared" si="241"/>
        <v/>
      </c>
      <c r="AK1674" t="str">
        <f t="shared" si="242"/>
        <v/>
      </c>
      <c r="AL1674" t="str">
        <f t="shared" si="235"/>
        <v/>
      </c>
      <c r="AM1674" t="str">
        <f t="shared" si="236"/>
        <v/>
      </c>
      <c r="AN1674" t="str">
        <f t="shared" si="237"/>
        <v/>
      </c>
      <c r="AO1674" t="str">
        <f t="shared" si="238"/>
        <v/>
      </c>
    </row>
    <row r="1675" spans="1:41">
      <c r="A1675">
        <f t="shared" si="243"/>
        <v>1671</v>
      </c>
      <c r="B1675" t="s">
        <v>276</v>
      </c>
      <c r="C1675">
        <v>5</v>
      </c>
      <c r="D1675">
        <v>5</v>
      </c>
      <c r="E1675" t="s">
        <v>387</v>
      </c>
      <c r="F1675">
        <v>412</v>
      </c>
      <c r="G1675">
        <v>2</v>
      </c>
      <c r="H1675">
        <v>90</v>
      </c>
      <c r="I1675" t="s">
        <v>386</v>
      </c>
      <c r="J1675" t="s">
        <v>386</v>
      </c>
      <c r="K1675">
        <v>10000000</v>
      </c>
      <c r="L1675">
        <v>2</v>
      </c>
      <c r="M1675">
        <v>2</v>
      </c>
      <c r="N1675">
        <v>2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8</v>
      </c>
      <c r="V1675">
        <v>728.33896407999998</v>
      </c>
      <c r="AH1675">
        <f t="shared" si="239"/>
        <v>2</v>
      </c>
      <c r="AI1675">
        <f t="shared" si="240"/>
        <v>2</v>
      </c>
      <c r="AJ1675" t="str">
        <f t="shared" si="241"/>
        <v/>
      </c>
      <c r="AK1675" t="str">
        <f t="shared" si="242"/>
        <v/>
      </c>
      <c r="AL1675" t="str">
        <f t="shared" si="235"/>
        <v/>
      </c>
      <c r="AM1675" t="str">
        <f t="shared" si="236"/>
        <v/>
      </c>
      <c r="AN1675" t="str">
        <f t="shared" si="237"/>
        <v/>
      </c>
      <c r="AO1675" t="str">
        <f t="shared" si="238"/>
        <v/>
      </c>
    </row>
    <row r="1676" spans="1:41">
      <c r="A1676">
        <f t="shared" si="243"/>
        <v>1672</v>
      </c>
      <c r="B1676" t="s">
        <v>276</v>
      </c>
      <c r="C1676">
        <v>5</v>
      </c>
      <c r="D1676">
        <v>5</v>
      </c>
      <c r="E1676" t="s">
        <v>387</v>
      </c>
      <c r="F1676">
        <v>412</v>
      </c>
      <c r="G1676">
        <v>2</v>
      </c>
      <c r="H1676">
        <v>91</v>
      </c>
      <c r="I1676" t="s">
        <v>386</v>
      </c>
      <c r="J1676" t="s">
        <v>386</v>
      </c>
      <c r="K1676">
        <v>10000000</v>
      </c>
      <c r="L1676">
        <v>2</v>
      </c>
      <c r="M1676">
        <v>2</v>
      </c>
      <c r="N1676">
        <v>2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8</v>
      </c>
      <c r="V1676">
        <v>728.33896407999998</v>
      </c>
      <c r="AH1676">
        <f t="shared" si="239"/>
        <v>2</v>
      </c>
      <c r="AI1676">
        <f t="shared" si="240"/>
        <v>2</v>
      </c>
      <c r="AJ1676" t="str">
        <f t="shared" si="241"/>
        <v/>
      </c>
      <c r="AK1676" t="str">
        <f t="shared" si="242"/>
        <v/>
      </c>
      <c r="AL1676" t="str">
        <f t="shared" si="235"/>
        <v/>
      </c>
      <c r="AM1676" t="str">
        <f t="shared" si="236"/>
        <v/>
      </c>
      <c r="AN1676" t="str">
        <f t="shared" si="237"/>
        <v/>
      </c>
      <c r="AO1676" t="str">
        <f t="shared" si="238"/>
        <v/>
      </c>
    </row>
    <row r="1677" spans="1:41">
      <c r="A1677">
        <f t="shared" si="243"/>
        <v>1673</v>
      </c>
      <c r="B1677" t="s">
        <v>276</v>
      </c>
      <c r="C1677">
        <v>5</v>
      </c>
      <c r="D1677">
        <v>5</v>
      </c>
      <c r="E1677" t="s">
        <v>387</v>
      </c>
      <c r="F1677">
        <v>412</v>
      </c>
      <c r="G1677">
        <v>2</v>
      </c>
      <c r="H1677">
        <v>92</v>
      </c>
      <c r="I1677" t="s">
        <v>386</v>
      </c>
      <c r="J1677" t="s">
        <v>386</v>
      </c>
      <c r="K1677">
        <v>10000000</v>
      </c>
      <c r="L1677">
        <v>2</v>
      </c>
      <c r="M1677">
        <v>2</v>
      </c>
      <c r="N1677">
        <v>2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8</v>
      </c>
      <c r="V1677">
        <v>728.33896407999998</v>
      </c>
      <c r="AH1677">
        <f t="shared" si="239"/>
        <v>2</v>
      </c>
      <c r="AI1677">
        <f t="shared" si="240"/>
        <v>2</v>
      </c>
      <c r="AJ1677" t="str">
        <f t="shared" si="241"/>
        <v/>
      </c>
      <c r="AK1677" t="str">
        <f t="shared" si="242"/>
        <v/>
      </c>
      <c r="AL1677" t="str">
        <f t="shared" si="235"/>
        <v/>
      </c>
      <c r="AM1677" t="str">
        <f t="shared" si="236"/>
        <v/>
      </c>
      <c r="AN1677" t="str">
        <f t="shared" si="237"/>
        <v/>
      </c>
      <c r="AO1677" t="str">
        <f t="shared" si="238"/>
        <v/>
      </c>
    </row>
    <row r="1678" spans="1:41">
      <c r="A1678">
        <f t="shared" si="243"/>
        <v>1674</v>
      </c>
      <c r="B1678" t="s">
        <v>276</v>
      </c>
      <c r="C1678">
        <v>5</v>
      </c>
      <c r="D1678">
        <v>5</v>
      </c>
      <c r="E1678" t="s">
        <v>387</v>
      </c>
      <c r="F1678">
        <v>412</v>
      </c>
      <c r="G1678">
        <v>2</v>
      </c>
      <c r="H1678">
        <v>93</v>
      </c>
      <c r="I1678" t="s">
        <v>386</v>
      </c>
      <c r="J1678" t="s">
        <v>386</v>
      </c>
      <c r="K1678">
        <v>10000000</v>
      </c>
      <c r="L1678">
        <v>2</v>
      </c>
      <c r="M1678">
        <v>2</v>
      </c>
      <c r="N1678">
        <v>2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8</v>
      </c>
      <c r="V1678">
        <v>728.33896407999998</v>
      </c>
      <c r="AH1678">
        <f t="shared" si="239"/>
        <v>2</v>
      </c>
      <c r="AI1678">
        <f t="shared" si="240"/>
        <v>2</v>
      </c>
      <c r="AJ1678" t="str">
        <f t="shared" si="241"/>
        <v/>
      </c>
      <c r="AK1678" t="str">
        <f t="shared" si="242"/>
        <v/>
      </c>
      <c r="AL1678" t="str">
        <f t="shared" si="235"/>
        <v/>
      </c>
      <c r="AM1678" t="str">
        <f t="shared" si="236"/>
        <v/>
      </c>
      <c r="AN1678" t="str">
        <f t="shared" si="237"/>
        <v/>
      </c>
      <c r="AO1678" t="str">
        <f t="shared" si="238"/>
        <v/>
      </c>
    </row>
    <row r="1679" spans="1:41">
      <c r="A1679">
        <f t="shared" si="243"/>
        <v>1675</v>
      </c>
      <c r="B1679" t="s">
        <v>276</v>
      </c>
      <c r="C1679">
        <v>5</v>
      </c>
      <c r="D1679">
        <v>5</v>
      </c>
      <c r="E1679" t="s">
        <v>387</v>
      </c>
      <c r="F1679">
        <v>412</v>
      </c>
      <c r="G1679">
        <v>2</v>
      </c>
      <c r="H1679">
        <v>94</v>
      </c>
      <c r="I1679" t="s">
        <v>386</v>
      </c>
      <c r="J1679" t="s">
        <v>386</v>
      </c>
      <c r="K1679">
        <v>10000000</v>
      </c>
      <c r="L1679">
        <v>2</v>
      </c>
      <c r="M1679">
        <v>2</v>
      </c>
      <c r="N1679">
        <v>2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8</v>
      </c>
      <c r="V1679">
        <v>728.33896407999998</v>
      </c>
      <c r="AH1679">
        <f t="shared" si="239"/>
        <v>2</v>
      </c>
      <c r="AI1679">
        <f t="shared" si="240"/>
        <v>2</v>
      </c>
      <c r="AJ1679" t="str">
        <f t="shared" si="241"/>
        <v/>
      </c>
      <c r="AK1679" t="str">
        <f t="shared" si="242"/>
        <v/>
      </c>
      <c r="AL1679" t="str">
        <f t="shared" si="235"/>
        <v/>
      </c>
      <c r="AM1679" t="str">
        <f t="shared" si="236"/>
        <v/>
      </c>
      <c r="AN1679" t="str">
        <f t="shared" si="237"/>
        <v/>
      </c>
      <c r="AO1679" t="str">
        <f t="shared" si="238"/>
        <v/>
      </c>
    </row>
    <row r="1680" spans="1:41">
      <c r="A1680">
        <f t="shared" si="243"/>
        <v>1676</v>
      </c>
      <c r="B1680" t="s">
        <v>276</v>
      </c>
      <c r="C1680">
        <v>5</v>
      </c>
      <c r="D1680">
        <v>5</v>
      </c>
      <c r="E1680" t="s">
        <v>387</v>
      </c>
      <c r="F1680">
        <v>412</v>
      </c>
      <c r="G1680">
        <v>2</v>
      </c>
      <c r="H1680">
        <v>95</v>
      </c>
      <c r="I1680" t="s">
        <v>386</v>
      </c>
      <c r="J1680" t="s">
        <v>386</v>
      </c>
      <c r="K1680">
        <v>10000000</v>
      </c>
      <c r="L1680">
        <v>2</v>
      </c>
      <c r="M1680">
        <v>2</v>
      </c>
      <c r="N1680">
        <v>2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8</v>
      </c>
      <c r="V1680">
        <v>728.33896407999998</v>
      </c>
      <c r="AH1680">
        <f t="shared" si="239"/>
        <v>2</v>
      </c>
      <c r="AI1680">
        <f t="shared" si="240"/>
        <v>2</v>
      </c>
      <c r="AJ1680" t="str">
        <f t="shared" si="241"/>
        <v/>
      </c>
      <c r="AK1680" t="str">
        <f t="shared" si="242"/>
        <v/>
      </c>
      <c r="AL1680" t="str">
        <f t="shared" si="235"/>
        <v/>
      </c>
      <c r="AM1680" t="str">
        <f t="shared" si="236"/>
        <v/>
      </c>
      <c r="AN1680" t="str">
        <f t="shared" si="237"/>
        <v/>
      </c>
      <c r="AO1680" t="str">
        <f t="shared" si="238"/>
        <v/>
      </c>
    </row>
    <row r="1681" spans="1:41">
      <c r="A1681">
        <f t="shared" si="243"/>
        <v>1677</v>
      </c>
      <c r="B1681" t="s">
        <v>276</v>
      </c>
      <c r="C1681">
        <v>4</v>
      </c>
      <c r="D1681">
        <v>4</v>
      </c>
      <c r="E1681" t="s">
        <v>387</v>
      </c>
      <c r="F1681">
        <v>412</v>
      </c>
      <c r="G1681">
        <v>2</v>
      </c>
      <c r="H1681">
        <v>96</v>
      </c>
      <c r="I1681" t="s">
        <v>386</v>
      </c>
      <c r="J1681" t="s">
        <v>386</v>
      </c>
      <c r="K1681">
        <v>10000000</v>
      </c>
      <c r="L1681">
        <v>2</v>
      </c>
      <c r="M1681">
        <v>2</v>
      </c>
      <c r="N1681">
        <v>2</v>
      </c>
      <c r="O1681">
        <v>0</v>
      </c>
      <c r="P1681">
        <v>0</v>
      </c>
      <c r="Q1681">
        <v>0</v>
      </c>
      <c r="R1681">
        <v>0</v>
      </c>
      <c r="S1681">
        <v>0</v>
      </c>
      <c r="T1681" t="s">
        <v>386</v>
      </c>
      <c r="U1681">
        <v>8</v>
      </c>
      <c r="V1681">
        <v>676.31475236000006</v>
      </c>
      <c r="AH1681">
        <f t="shared" si="239"/>
        <v>2</v>
      </c>
      <c r="AI1681">
        <f t="shared" si="240"/>
        <v>2</v>
      </c>
      <c r="AJ1681" t="str">
        <f t="shared" si="241"/>
        <v/>
      </c>
      <c r="AK1681" t="str">
        <f t="shared" si="242"/>
        <v/>
      </c>
      <c r="AL1681" t="str">
        <f t="shared" si="235"/>
        <v/>
      </c>
      <c r="AM1681" t="str">
        <f t="shared" si="236"/>
        <v/>
      </c>
      <c r="AN1681" t="str">
        <f t="shared" si="237"/>
        <v/>
      </c>
      <c r="AO1681" t="e">
        <f t="shared" si="238"/>
        <v>#VALUE!</v>
      </c>
    </row>
    <row r="1682" spans="1:41">
      <c r="A1682">
        <f t="shared" si="243"/>
        <v>1678</v>
      </c>
      <c r="B1682" t="s">
        <v>276</v>
      </c>
      <c r="C1682">
        <v>3</v>
      </c>
      <c r="D1682">
        <v>3</v>
      </c>
      <c r="E1682" t="s">
        <v>387</v>
      </c>
      <c r="F1682">
        <v>412</v>
      </c>
      <c r="G1682">
        <v>2</v>
      </c>
      <c r="H1682">
        <v>97</v>
      </c>
      <c r="I1682" t="s">
        <v>386</v>
      </c>
      <c r="J1682" t="s">
        <v>386</v>
      </c>
      <c r="K1682">
        <v>10000000</v>
      </c>
      <c r="L1682">
        <v>2</v>
      </c>
      <c r="M1682">
        <v>2</v>
      </c>
      <c r="N1682">
        <v>2</v>
      </c>
      <c r="O1682">
        <v>0</v>
      </c>
      <c r="P1682">
        <v>0</v>
      </c>
      <c r="Q1682">
        <v>0</v>
      </c>
      <c r="R1682">
        <v>0</v>
      </c>
      <c r="S1682" t="s">
        <v>386</v>
      </c>
      <c r="T1682" t="s">
        <v>386</v>
      </c>
      <c r="U1682">
        <v>9</v>
      </c>
      <c r="V1682">
        <v>624.29054064000002</v>
      </c>
      <c r="AH1682">
        <f t="shared" si="239"/>
        <v>2</v>
      </c>
      <c r="AI1682">
        <f t="shared" si="240"/>
        <v>2</v>
      </c>
      <c r="AJ1682" t="str">
        <f t="shared" si="241"/>
        <v/>
      </c>
      <c r="AK1682" t="str">
        <f t="shared" si="242"/>
        <v/>
      </c>
      <c r="AL1682" t="str">
        <f t="shared" si="235"/>
        <v/>
      </c>
      <c r="AM1682" t="str">
        <f t="shared" si="236"/>
        <v/>
      </c>
      <c r="AN1682" t="e">
        <f t="shared" si="237"/>
        <v>#VALUE!</v>
      </c>
      <c r="AO1682" t="e">
        <f t="shared" si="238"/>
        <v>#VALUE!</v>
      </c>
    </row>
    <row r="1683" spans="1:41">
      <c r="A1683">
        <f t="shared" si="243"/>
        <v>1679</v>
      </c>
      <c r="B1683" t="s">
        <v>276</v>
      </c>
      <c r="C1683">
        <v>2</v>
      </c>
      <c r="D1683">
        <v>2</v>
      </c>
      <c r="E1683" t="s">
        <v>387</v>
      </c>
      <c r="F1683">
        <v>412</v>
      </c>
      <c r="G1683">
        <v>2</v>
      </c>
      <c r="H1683">
        <v>98</v>
      </c>
      <c r="I1683" t="s">
        <v>386</v>
      </c>
      <c r="J1683" t="s">
        <v>386</v>
      </c>
      <c r="K1683">
        <v>10000000</v>
      </c>
      <c r="L1683">
        <v>2</v>
      </c>
      <c r="M1683">
        <v>2</v>
      </c>
      <c r="N1683">
        <v>2</v>
      </c>
      <c r="O1683">
        <v>0</v>
      </c>
      <c r="P1683">
        <v>0</v>
      </c>
      <c r="Q1683">
        <v>0</v>
      </c>
      <c r="R1683" t="s">
        <v>386</v>
      </c>
      <c r="S1683" t="s">
        <v>386</v>
      </c>
      <c r="T1683" t="s">
        <v>386</v>
      </c>
      <c r="U1683">
        <v>9</v>
      </c>
      <c r="V1683">
        <v>572.26632891999998</v>
      </c>
      <c r="AH1683">
        <f t="shared" si="239"/>
        <v>2</v>
      </c>
      <c r="AI1683">
        <f t="shared" si="240"/>
        <v>2</v>
      </c>
      <c r="AJ1683" t="str">
        <f t="shared" si="241"/>
        <v/>
      </c>
      <c r="AK1683" t="str">
        <f t="shared" si="242"/>
        <v/>
      </c>
      <c r="AL1683" t="str">
        <f t="shared" si="235"/>
        <v/>
      </c>
      <c r="AM1683" t="e">
        <f t="shared" si="236"/>
        <v>#VALUE!</v>
      </c>
      <c r="AN1683" t="e">
        <f t="shared" si="237"/>
        <v>#VALUE!</v>
      </c>
      <c r="AO1683" t="e">
        <f t="shared" si="238"/>
        <v>#VALUE!</v>
      </c>
    </row>
    <row r="1684" spans="1:41">
      <c r="A1684">
        <f t="shared" si="243"/>
        <v>1680</v>
      </c>
      <c r="B1684" t="s">
        <v>276</v>
      </c>
      <c r="C1684">
        <v>1</v>
      </c>
      <c r="D1684">
        <v>1</v>
      </c>
      <c r="E1684" t="s">
        <v>387</v>
      </c>
      <c r="F1684">
        <v>412</v>
      </c>
      <c r="G1684">
        <v>2</v>
      </c>
      <c r="H1684">
        <v>99</v>
      </c>
      <c r="I1684" t="s">
        <v>386</v>
      </c>
      <c r="J1684" t="s">
        <v>386</v>
      </c>
      <c r="K1684">
        <v>10000000</v>
      </c>
      <c r="L1684">
        <v>2</v>
      </c>
      <c r="M1684">
        <v>2</v>
      </c>
      <c r="N1684">
        <v>3</v>
      </c>
      <c r="O1684">
        <v>0</v>
      </c>
      <c r="P1684">
        <v>0</v>
      </c>
      <c r="Q1684" t="s">
        <v>386</v>
      </c>
      <c r="R1684" t="s">
        <v>386</v>
      </c>
      <c r="S1684" t="s">
        <v>386</v>
      </c>
      <c r="T1684" t="s">
        <v>386</v>
      </c>
      <c r="U1684">
        <v>10</v>
      </c>
      <c r="V1684">
        <v>520.24211720000005</v>
      </c>
      <c r="AH1684">
        <f t="shared" si="239"/>
        <v>2</v>
      </c>
      <c r="AI1684">
        <f t="shared" si="240"/>
        <v>3</v>
      </c>
      <c r="AJ1684" t="str">
        <f t="shared" si="241"/>
        <v/>
      </c>
      <c r="AK1684" t="str">
        <f t="shared" si="242"/>
        <v/>
      </c>
      <c r="AL1684" t="e">
        <f t="shared" si="235"/>
        <v>#VALUE!</v>
      </c>
      <c r="AM1684" t="e">
        <f t="shared" si="236"/>
        <v>#VALUE!</v>
      </c>
      <c r="AN1684" t="e">
        <f t="shared" si="237"/>
        <v>#VALUE!</v>
      </c>
      <c r="AO1684" t="e">
        <f t="shared" si="238"/>
        <v>#VALUE!</v>
      </c>
    </row>
  </sheetData>
  <autoFilter ref="A4:AO4" xr:uid="{3AA1377E-6F91-4445-8C80-F2757EABDE01}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28</vt:i4>
      </vt:variant>
    </vt:vector>
  </HeadingPairs>
  <TitlesOfParts>
    <vt:vector size="36" baseType="lpstr">
      <vt:lpstr>Qx</vt:lpstr>
      <vt:lpstr>Code</vt:lpstr>
      <vt:lpstr>Comb</vt:lpstr>
      <vt:lpstr>Expense</vt:lpstr>
      <vt:lpstr>Srate</vt:lpstr>
      <vt:lpstr>Sample</vt:lpstr>
      <vt:lpstr>Remark</vt:lpstr>
      <vt:lpstr>샘플검증</vt:lpstr>
      <vt:lpstr>CoverageKey</vt:lpstr>
      <vt:lpstr>i</vt:lpstr>
      <vt:lpstr>m</vt:lpstr>
      <vt:lpstr>n</vt:lpstr>
      <vt:lpstr>Code!Print_Area</vt:lpstr>
      <vt:lpstr>Comb!Print_Area</vt:lpstr>
      <vt:lpstr>Expense!Print_Area</vt:lpstr>
      <vt:lpstr>Qx!Print_Area</vt:lpstr>
      <vt:lpstr>Remark!Print_Area</vt:lpstr>
      <vt:lpstr>Sample!Print_Area</vt:lpstr>
      <vt:lpstr>Srate!Print_Area</vt:lpstr>
      <vt:lpstr>sex</vt:lpstr>
      <vt:lpstr>TAB_INFO_COV</vt:lpstr>
      <vt:lpstr>TAB_INFO_Qx</vt:lpstr>
      <vt:lpstr>v</vt:lpstr>
      <vt:lpstr>x</vt:lpstr>
      <vt:lpstr>갱신구분</vt:lpstr>
      <vt:lpstr>구분자1</vt:lpstr>
      <vt:lpstr>구분자2</vt:lpstr>
      <vt:lpstr>구분자3</vt:lpstr>
      <vt:lpstr>담보코드</vt:lpstr>
      <vt:lpstr>물건급수</vt:lpstr>
      <vt:lpstr>변호사급수</vt:lpstr>
      <vt:lpstr>상해급수</vt:lpstr>
      <vt:lpstr>운전자급수</vt:lpstr>
      <vt:lpstr>종</vt:lpstr>
      <vt:lpstr>최초가입연령</vt:lpstr>
      <vt:lpstr>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2022-02-15T11:14:16Z</dcterms:created>
  <dcterms:modified xsi:type="dcterms:W3CDTF">2022-02-20T10:27:19Z</dcterms:modified>
</cp:coreProperties>
</file>