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N\Desktop\"/>
    </mc:Choice>
  </mc:AlternateContent>
  <xr:revisionPtr revIDLastSave="0" documentId="13_ncr:1_{1109427D-3DC6-4640-BCBF-4BED8A90235A}" xr6:coauthVersionLast="47" xr6:coauthVersionMax="47" xr10:uidLastSave="{00000000-0000-0000-0000-000000000000}"/>
  <bookViews>
    <workbookView xWindow="-108" yWindow="-108" windowWidth="23256" windowHeight="12576" activeTab="2" xr2:uid="{FB80E560-E763-4E4E-8BF3-85E1111E64AB}"/>
  </bookViews>
  <sheets>
    <sheet name="Qx" sheetId="2" r:id="rId1"/>
    <sheet name="Cov" sheetId="3" r:id="rId2"/>
    <sheet name="CombQx" sheetId="5" r:id="rId3"/>
    <sheet name="Expense" sheetId="6" r:id="rId4"/>
    <sheet name="Srate" sheetId="10" r:id="rId5"/>
    <sheet name="Sample" sheetId="8" r:id="rId6"/>
    <sheet name="Remark" sheetId="4" r:id="rId7"/>
  </sheets>
  <functionGroups builtInGroupCount="19"/>
  <definedNames>
    <definedName name="_xlnm.Print_Area" localSheetId="2">CombQx!$B$2:$W$9</definedName>
    <definedName name="_xlnm.Print_Area" localSheetId="1">Cov!$A$2:$W$33</definedName>
    <definedName name="_xlnm.Print_Area" localSheetId="0">Qx!$B$2:$EB$29</definedName>
    <definedName name="_xlnm.Print_Area" localSheetId="5">Sample!$A$1:$AL$14</definedName>
    <definedName name="_xlnm.Print_Area" localSheetId="4">Srate!$A$1:$AD$13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6" i="10" l="1"/>
  <c r="AC7" i="10"/>
  <c r="AC8" i="10"/>
  <c r="AC9" i="10"/>
  <c r="AC10" i="10"/>
  <c r="AC11" i="10"/>
  <c r="AC12" i="10"/>
  <c r="H7" i="10"/>
  <c r="H8" i="10"/>
  <c r="H9" i="10"/>
  <c r="H10" i="10"/>
  <c r="H11" i="10"/>
  <c r="H12" i="10"/>
  <c r="D1" i="10"/>
  <c r="E1" i="10" s="1"/>
  <c r="F1" i="10" s="1"/>
  <c r="G1" i="10" s="1"/>
  <c r="H1" i="10" s="1"/>
  <c r="I1" i="10" s="1"/>
  <c r="J1" i="10" s="1"/>
  <c r="K1" i="10" s="1"/>
  <c r="L1" i="10" s="1"/>
  <c r="M1" i="10" s="1"/>
  <c r="N1" i="10" s="1"/>
  <c r="O1" i="10" s="1"/>
  <c r="P1" i="10" s="1"/>
  <c r="Q1" i="10" s="1"/>
  <c r="R1" i="10" s="1"/>
  <c r="S1" i="10" s="1"/>
  <c r="T1" i="10" s="1"/>
  <c r="U1" i="10" s="1"/>
  <c r="V1" i="10" s="1"/>
  <c r="W1" i="10" s="1"/>
  <c r="X1" i="10" s="1"/>
  <c r="Y1" i="10" s="1"/>
  <c r="Z1" i="10" s="1"/>
  <c r="AA1" i="10" s="1"/>
  <c r="AB1" i="10" s="1"/>
  <c r="AC1" i="10" s="1"/>
  <c r="C1" i="10"/>
  <c r="H6" i="10"/>
  <c r="G9" i="3" l="1"/>
  <c r="G8" i="3"/>
  <c r="G7" i="3"/>
  <c r="G6" i="3"/>
  <c r="C1" i="6"/>
  <c r="D1" i="6" s="1"/>
  <c r="E1" i="6" s="1"/>
  <c r="F1" i="6" s="1"/>
  <c r="G1" i="6" s="1"/>
  <c r="H1" i="6" s="1"/>
  <c r="I1" i="6" s="1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B1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D1" i="5" l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C1" i="5"/>
  <c r="E6" i="5"/>
  <c r="E7" i="5"/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BF1" i="2" s="1"/>
  <c r="BG1" i="2" s="1"/>
  <c r="BH1" i="2" s="1"/>
  <c r="BI1" i="2" s="1"/>
  <c r="BJ1" i="2" s="1"/>
  <c r="BK1" i="2" s="1"/>
  <c r="BL1" i="2" s="1"/>
  <c r="BM1" i="2" s="1"/>
  <c r="BN1" i="2" s="1"/>
  <c r="BO1" i="2" s="1"/>
  <c r="BP1" i="2" s="1"/>
  <c r="BQ1" i="2" s="1"/>
  <c r="BR1" i="2" s="1"/>
  <c r="BS1" i="2" s="1"/>
  <c r="BT1" i="2" s="1"/>
  <c r="BU1" i="2" s="1"/>
  <c r="BV1" i="2" s="1"/>
  <c r="BW1" i="2" s="1"/>
  <c r="BX1" i="2" s="1"/>
  <c r="BY1" i="2" s="1"/>
  <c r="BZ1" i="2" s="1"/>
  <c r="CA1" i="2" s="1"/>
  <c r="CB1" i="2" s="1"/>
  <c r="CC1" i="2" s="1"/>
  <c r="CD1" i="2" s="1"/>
  <c r="CE1" i="2" s="1"/>
  <c r="CF1" i="2" s="1"/>
  <c r="CG1" i="2" s="1"/>
  <c r="CH1" i="2" s="1"/>
  <c r="CI1" i="2" s="1"/>
  <c r="CJ1" i="2" s="1"/>
  <c r="CK1" i="2" s="1"/>
  <c r="CL1" i="2" s="1"/>
  <c r="CM1" i="2" s="1"/>
  <c r="CN1" i="2" s="1"/>
  <c r="CO1" i="2" s="1"/>
  <c r="CP1" i="2" s="1"/>
  <c r="CQ1" i="2" s="1"/>
  <c r="CR1" i="2" s="1"/>
  <c r="CS1" i="2" s="1"/>
  <c r="CT1" i="2" s="1"/>
  <c r="CU1" i="2" s="1"/>
  <c r="CV1" i="2" s="1"/>
  <c r="CW1" i="2" s="1"/>
  <c r="CX1" i="2" s="1"/>
  <c r="CY1" i="2" s="1"/>
  <c r="CZ1" i="2" s="1"/>
  <c r="DA1" i="2" s="1"/>
  <c r="DB1" i="2" s="1"/>
  <c r="DC1" i="2" s="1"/>
  <c r="DD1" i="2" s="1"/>
  <c r="DE1" i="2" s="1"/>
  <c r="DF1" i="2" s="1"/>
  <c r="DG1" i="2" s="1"/>
  <c r="DH1" i="2" s="1"/>
  <c r="DI1" i="2" s="1"/>
  <c r="DJ1" i="2" s="1"/>
  <c r="DK1" i="2" s="1"/>
  <c r="DL1" i="2" s="1"/>
  <c r="DM1" i="2" s="1"/>
  <c r="DN1" i="2" s="1"/>
  <c r="DO1" i="2" s="1"/>
  <c r="DP1" i="2" s="1"/>
  <c r="DQ1" i="2" s="1"/>
  <c r="DR1" i="2" s="1"/>
  <c r="DS1" i="2" s="1"/>
  <c r="DT1" i="2" s="1"/>
  <c r="DU1" i="2" s="1"/>
  <c r="DV1" i="2" s="1"/>
  <c r="DW1" i="2" s="1"/>
  <c r="DX1" i="2" s="1"/>
  <c r="DY1" i="2" s="1"/>
  <c r="DZ1" i="2" s="1"/>
  <c r="EA1" i="2" s="1"/>
  <c r="B1" i="3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</calcChain>
</file>

<file path=xl/sharedStrings.xml><?xml version="1.0" encoding="utf-8"?>
<sst xmlns="http://schemas.openxmlformats.org/spreadsheetml/2006/main" count="448" uniqueCount="273">
  <si>
    <t>담보번호</t>
    <phoneticPr fontId="1" type="noConversion"/>
  </si>
  <si>
    <t>담보명</t>
    <phoneticPr fontId="1" type="noConversion"/>
  </si>
  <si>
    <t>종</t>
    <phoneticPr fontId="1" type="noConversion"/>
  </si>
  <si>
    <t>형</t>
    <phoneticPr fontId="1" type="noConversion"/>
  </si>
  <si>
    <t>급수</t>
    <phoneticPr fontId="1" type="noConversion"/>
  </si>
  <si>
    <t>성별</t>
    <phoneticPr fontId="1" type="noConversion"/>
  </si>
  <si>
    <t>담보키</t>
    <phoneticPr fontId="1" type="noConversion"/>
  </si>
  <si>
    <t>갱신구분자</t>
    <phoneticPr fontId="1" type="noConversion"/>
  </si>
  <si>
    <t>qx(1)</t>
  </si>
  <si>
    <t>qx(2)</t>
  </si>
  <si>
    <t>qx(3)</t>
  </si>
  <si>
    <t>qx(4)</t>
  </si>
  <si>
    <t>qx(5)</t>
  </si>
  <si>
    <t>qx(6)</t>
  </si>
  <si>
    <t>qx(7)</t>
  </si>
  <si>
    <t>qx(8)</t>
  </si>
  <si>
    <t>qx(9)</t>
  </si>
  <si>
    <t>qx(10)</t>
  </si>
  <si>
    <t>qx(11)</t>
  </si>
  <si>
    <t>qx(12)</t>
  </si>
  <si>
    <t>qx(13)</t>
  </si>
  <si>
    <t>qx(14)</t>
  </si>
  <si>
    <t>qx(15)</t>
  </si>
  <si>
    <t>qx(16)</t>
  </si>
  <si>
    <t>qx(17)</t>
  </si>
  <si>
    <t>qx(18)</t>
  </si>
  <si>
    <t>qx(19)</t>
  </si>
  <si>
    <t>qx(20)</t>
  </si>
  <si>
    <t>qx(21)</t>
  </si>
  <si>
    <t>qx(22)</t>
  </si>
  <si>
    <t>qx(23)</t>
  </si>
  <si>
    <t>qx(24)</t>
  </si>
  <si>
    <t>qx(25)</t>
  </si>
  <si>
    <t>qx(26)</t>
  </si>
  <si>
    <t>qx(27)</t>
  </si>
  <si>
    <t>qx(28)</t>
  </si>
  <si>
    <t>qx(29)</t>
  </si>
  <si>
    <t>qx(30)</t>
  </si>
  <si>
    <t>qx(31)</t>
  </si>
  <si>
    <t>qx(32)</t>
  </si>
  <si>
    <t>qx(33)</t>
  </si>
  <si>
    <t>qx(34)</t>
  </si>
  <si>
    <t>qx(35)</t>
  </si>
  <si>
    <t>qx(36)</t>
  </si>
  <si>
    <t>qx(37)</t>
  </si>
  <si>
    <t>qx(38)</t>
  </si>
  <si>
    <t>qx(39)</t>
  </si>
  <si>
    <t>qx(40)</t>
  </si>
  <si>
    <t>qx(41)</t>
  </si>
  <si>
    <t>qx(42)</t>
  </si>
  <si>
    <t>qx(43)</t>
  </si>
  <si>
    <t>qx(44)</t>
  </si>
  <si>
    <t>qx(45)</t>
  </si>
  <si>
    <t>qx(46)</t>
  </si>
  <si>
    <t>qx(47)</t>
  </si>
  <si>
    <t>qx(48)</t>
  </si>
  <si>
    <t>qx(49)</t>
  </si>
  <si>
    <t>qx(50)</t>
  </si>
  <si>
    <t>qx(51)</t>
  </si>
  <si>
    <t>qx(52)</t>
  </si>
  <si>
    <t>qx(53)</t>
  </si>
  <si>
    <t>qx(54)</t>
  </si>
  <si>
    <t>qx(55)</t>
  </si>
  <si>
    <t>qx(56)</t>
  </si>
  <si>
    <t>qx(57)</t>
  </si>
  <si>
    <t>qx(58)</t>
  </si>
  <si>
    <t>qx(59)</t>
  </si>
  <si>
    <t>qx(60)</t>
  </si>
  <si>
    <t>qx(61)</t>
  </si>
  <si>
    <t>qx(62)</t>
  </si>
  <si>
    <t>qx(63)</t>
  </si>
  <si>
    <t>qx(64)</t>
  </si>
  <si>
    <t>qx(65)</t>
  </si>
  <si>
    <t>qx(66)</t>
  </si>
  <si>
    <t>qx(67)</t>
  </si>
  <si>
    <t>qx(68)</t>
  </si>
  <si>
    <t>qx(69)</t>
  </si>
  <si>
    <t>qx(70)</t>
  </si>
  <si>
    <t>qx(71)</t>
  </si>
  <si>
    <t>qx(72)</t>
  </si>
  <si>
    <t>qx(73)</t>
  </si>
  <si>
    <t>qx(74)</t>
  </si>
  <si>
    <t>qx(75)</t>
  </si>
  <si>
    <t>qx(76)</t>
  </si>
  <si>
    <t>qx(77)</t>
  </si>
  <si>
    <t>qx(78)</t>
  </si>
  <si>
    <t>qx(79)</t>
  </si>
  <si>
    <t>qx(80)</t>
  </si>
  <si>
    <t>qx(81)</t>
  </si>
  <si>
    <t>qx(82)</t>
  </si>
  <si>
    <t>qx(83)</t>
  </si>
  <si>
    <t>qx(84)</t>
  </si>
  <si>
    <t>qx(85)</t>
  </si>
  <si>
    <t>qx(86)</t>
  </si>
  <si>
    <t>qx(87)</t>
  </si>
  <si>
    <t>qx(88)</t>
  </si>
  <si>
    <t>qx(89)</t>
  </si>
  <si>
    <t>qx(90)</t>
  </si>
  <si>
    <t>qx(91)</t>
  </si>
  <si>
    <t>qx(92)</t>
  </si>
  <si>
    <t>qx(93)</t>
  </si>
  <si>
    <t>qx(94)</t>
  </si>
  <si>
    <t>qx(95)</t>
  </si>
  <si>
    <t>qx(96)</t>
  </si>
  <si>
    <t>qx(97)</t>
  </si>
  <si>
    <t>qx(98)</t>
  </si>
  <si>
    <t>qx(99)</t>
  </si>
  <si>
    <t>qx(100)</t>
  </si>
  <si>
    <t>qx(101)</t>
  </si>
  <si>
    <t>qx(102)</t>
  </si>
  <si>
    <t>qx(103)</t>
  </si>
  <si>
    <t>qx(104)</t>
  </si>
  <si>
    <t>qx(105)</t>
  </si>
  <si>
    <t>qx(106)</t>
  </si>
  <si>
    <t>qx(107)</t>
  </si>
  <si>
    <t>qx(108)</t>
  </si>
  <si>
    <t>qx(109)</t>
  </si>
  <si>
    <t>qx(110)</t>
  </si>
  <si>
    <t>qx(111)</t>
  </si>
  <si>
    <t>qx(112)</t>
  </si>
  <si>
    <t>qx(113)</t>
  </si>
  <si>
    <t>qx(114)</t>
  </si>
  <si>
    <t>qx(115)</t>
  </si>
  <si>
    <t>qx(116)</t>
  </si>
  <si>
    <t>qx(117)</t>
  </si>
  <si>
    <t>qx(118)</t>
  </si>
  <si>
    <t>qx(119)</t>
  </si>
  <si>
    <t>qx(120)</t>
  </si>
  <si>
    <t/>
  </si>
  <si>
    <t>HKFQPR</t>
  </si>
  <si>
    <t>위험률코드</t>
    <phoneticPr fontId="1" type="noConversion"/>
  </si>
  <si>
    <t>위험률명</t>
    <phoneticPr fontId="1" type="noConversion"/>
  </si>
  <si>
    <t>qx(0)</t>
    <phoneticPr fontId="1" type="noConversion"/>
  </si>
  <si>
    <t>LB5488</t>
  </si>
  <si>
    <t>질병후유장해(80%미만)(감액없음)(갱신형_5년)</t>
  </si>
  <si>
    <t>LB0918</t>
  </si>
  <si>
    <t>뇌졸중진단비(갱신형_5년)</t>
  </si>
  <si>
    <t>LB7098</t>
  </si>
  <si>
    <t>3대질병진단비(갱신형_5년)</t>
  </si>
  <si>
    <t>LC0738</t>
  </si>
  <si>
    <t>응급실내원비(갱신형_5년)</t>
  </si>
  <si>
    <t>C1</t>
  </si>
  <si>
    <t>LA1568</t>
  </si>
  <si>
    <t>대중교통이용중교통상해사망(갱신형_5년)</t>
  </si>
  <si>
    <t>LB7068</t>
  </si>
  <si>
    <t>암진단비(유사암제외)(갱신형_5년)</t>
  </si>
  <si>
    <t>LB4648</t>
  </si>
  <si>
    <t>유사암진단비(갱신형_5년)</t>
  </si>
  <si>
    <t>LBQPR</t>
  </si>
  <si>
    <t>정기보험산출용</t>
  </si>
  <si>
    <t>담보코드</t>
    <phoneticPr fontId="1" type="noConversion"/>
  </si>
  <si>
    <t>sub1</t>
    <phoneticPr fontId="1" type="noConversion"/>
  </si>
  <si>
    <t>sub2</t>
    <phoneticPr fontId="1" type="noConversion"/>
  </si>
  <si>
    <t>sub3</t>
    <phoneticPr fontId="1" type="noConversion"/>
  </si>
  <si>
    <t>급부번호</t>
    <phoneticPr fontId="1" type="noConversion"/>
  </si>
  <si>
    <t>탈퇴위험률코드</t>
    <phoneticPr fontId="1" type="noConversion"/>
  </si>
  <si>
    <t>탈퇴위험률명</t>
    <phoneticPr fontId="1" type="noConversion"/>
  </si>
  <si>
    <t>급부위험률코드</t>
    <phoneticPr fontId="1" type="noConversion"/>
  </si>
  <si>
    <t>급부위험률명</t>
    <phoneticPr fontId="1" type="noConversion"/>
  </si>
  <si>
    <t>지급률</t>
    <phoneticPr fontId="1" type="noConversion"/>
  </si>
  <si>
    <t>감액률</t>
    <phoneticPr fontId="1" type="noConversion"/>
  </si>
  <si>
    <t>감액기간</t>
    <phoneticPr fontId="1" type="noConversion"/>
  </si>
  <si>
    <t>납면위험률코드</t>
    <phoneticPr fontId="1" type="noConversion"/>
  </si>
  <si>
    <t>C2</t>
    <phoneticPr fontId="1" type="noConversion"/>
  </si>
  <si>
    <t>TAB_INFO_COV</t>
    <phoneticPr fontId="1" type="noConversion"/>
  </si>
  <si>
    <t>결합위험률코드</t>
    <phoneticPr fontId="1" type="noConversion"/>
  </si>
  <si>
    <t>연산방법</t>
    <phoneticPr fontId="1" type="noConversion"/>
  </si>
  <si>
    <t>위험률개수</t>
    <phoneticPr fontId="1" type="noConversion"/>
  </si>
  <si>
    <t>k(1)</t>
    <phoneticPr fontId="1" type="noConversion"/>
  </si>
  <si>
    <t>k(2)</t>
  </si>
  <si>
    <t>k(3)</t>
  </si>
  <si>
    <t>k(4)</t>
  </si>
  <si>
    <t>k(5)</t>
    <phoneticPr fontId="1" type="noConversion"/>
  </si>
  <si>
    <t>구분자1</t>
    <phoneticPr fontId="1" type="noConversion"/>
  </si>
  <si>
    <t>구분자2</t>
    <phoneticPr fontId="1" type="noConversion"/>
  </si>
  <si>
    <t>구분자3</t>
    <phoneticPr fontId="1" type="noConversion"/>
  </si>
  <si>
    <t>구분자4</t>
    <phoneticPr fontId="1" type="noConversion"/>
  </si>
  <si>
    <t>상해급수
1~3</t>
    <phoneticPr fontId="1" type="noConversion"/>
  </si>
  <si>
    <t>위험률유형</t>
    <phoneticPr fontId="1" type="noConversion"/>
  </si>
  <si>
    <t>TAB_Qx</t>
    <phoneticPr fontId="1" type="noConversion"/>
  </si>
  <si>
    <t>TAB_Cov</t>
    <phoneticPr fontId="1" type="noConversion"/>
  </si>
  <si>
    <t>TAB_Comb</t>
    <phoneticPr fontId="1" type="noConversion"/>
  </si>
  <si>
    <t>위험률명(2)</t>
  </si>
  <si>
    <t>Qx(2)</t>
  </si>
  <si>
    <t>Qx(3)</t>
  </si>
  <si>
    <t>위험률명(3)</t>
  </si>
  <si>
    <t>Qx(4)</t>
  </si>
  <si>
    <t>위험률명(4)</t>
  </si>
  <si>
    <t>Qx(1)</t>
    <phoneticPr fontId="1" type="noConversion"/>
  </si>
  <si>
    <t>위험률명(1)</t>
    <phoneticPr fontId="1" type="noConversion"/>
  </si>
  <si>
    <t>Qx(5)</t>
    <phoneticPr fontId="1" type="noConversion"/>
  </si>
  <si>
    <t>위험률명(5)</t>
    <phoneticPr fontId="1" type="noConversion"/>
  </si>
  <si>
    <t>보조키</t>
    <phoneticPr fontId="1" type="noConversion"/>
  </si>
  <si>
    <t>1 : sum
2 : product</t>
    <phoneticPr fontId="1" type="noConversion"/>
  </si>
  <si>
    <t>결합위험률명</t>
    <phoneticPr fontId="1" type="noConversion"/>
  </si>
  <si>
    <t>C1</t>
    <phoneticPr fontId="1" type="noConversion"/>
  </si>
  <si>
    <t>부담보기간</t>
    <phoneticPr fontId="1" type="noConversion"/>
  </si>
  <si>
    <t>무효해지기간</t>
    <phoneticPr fontId="1" type="noConversion"/>
  </si>
  <si>
    <t>TAB_Expense</t>
    <phoneticPr fontId="1" type="noConversion"/>
  </si>
  <si>
    <t>가입금액</t>
    <phoneticPr fontId="1" type="noConversion"/>
  </si>
  <si>
    <t>보험기간</t>
    <phoneticPr fontId="1" type="noConversion"/>
  </si>
  <si>
    <t>α1</t>
    <phoneticPr fontId="1" type="noConversion"/>
  </si>
  <si>
    <t>α2</t>
    <phoneticPr fontId="1" type="noConversion"/>
  </si>
  <si>
    <t>α3</t>
    <phoneticPr fontId="1" type="noConversion"/>
  </si>
  <si>
    <t>α4</t>
    <phoneticPr fontId="1" type="noConversion"/>
  </si>
  <si>
    <t>β1</t>
    <phoneticPr fontId="1" type="noConversion"/>
  </si>
  <si>
    <t>β2</t>
    <phoneticPr fontId="1" type="noConversion"/>
  </si>
  <si>
    <t>β3</t>
    <phoneticPr fontId="1" type="noConversion"/>
  </si>
  <si>
    <t>γ</t>
    <phoneticPr fontId="1" type="noConversion"/>
  </si>
  <si>
    <t>ce1</t>
    <phoneticPr fontId="1" type="noConversion"/>
  </si>
  <si>
    <t>ce2</t>
    <phoneticPr fontId="1" type="noConversion"/>
  </si>
  <si>
    <t>담보번호</t>
    <phoneticPr fontId="1" type="noConversion"/>
  </si>
  <si>
    <t>sub</t>
    <phoneticPr fontId="1" type="noConversion"/>
  </si>
  <si>
    <t>sub3</t>
    <phoneticPr fontId="1" type="noConversion"/>
  </si>
  <si>
    <t>INPUT</t>
    <phoneticPr fontId="1" type="noConversion"/>
  </si>
  <si>
    <t>Coveragekey</t>
    <phoneticPr fontId="1" type="noConversion"/>
  </si>
  <si>
    <t>상해급수</t>
    <phoneticPr fontId="1" type="noConversion"/>
  </si>
  <si>
    <t>x</t>
    <phoneticPr fontId="1" type="noConversion"/>
  </si>
  <si>
    <t>n</t>
    <phoneticPr fontId="1" type="noConversion"/>
  </si>
  <si>
    <t>m</t>
    <phoneticPr fontId="1" type="noConversion"/>
  </si>
  <si>
    <t>sex</t>
    <phoneticPr fontId="1" type="noConversion"/>
  </si>
  <si>
    <t>가입연령</t>
    <phoneticPr fontId="1" type="noConversion"/>
  </si>
  <si>
    <t>납입기간</t>
    <phoneticPr fontId="1" type="noConversion"/>
  </si>
  <si>
    <t>성별</t>
  </si>
  <si>
    <t>상해급수</t>
  </si>
  <si>
    <t>l'x 기수를 탈퇴시키눈 위험률</t>
    <phoneticPr fontId="1" type="noConversion"/>
  </si>
  <si>
    <t xml:space="preserve">0 : 단일률
1 : 성별 | 연령
2 : 성별 | 상해급수 | 연령 </t>
    <phoneticPr fontId="1" type="noConversion"/>
  </si>
  <si>
    <t>injure</t>
    <phoneticPr fontId="1" type="noConversion"/>
  </si>
  <si>
    <t>담보명</t>
  </si>
  <si>
    <t>신규/갱신</t>
  </si>
  <si>
    <t>sub1</t>
  </si>
  <si>
    <t>sub2</t>
  </si>
  <si>
    <t>sub3</t>
  </si>
  <si>
    <t>최초나이</t>
  </si>
  <si>
    <t>최종나이</t>
  </si>
  <si>
    <t>중간연령</t>
  </si>
  <si>
    <t>m</t>
  </si>
  <si>
    <t>TAB_Srate</t>
    <phoneticPr fontId="1" type="noConversion"/>
  </si>
  <si>
    <t>조건</t>
    <phoneticPr fontId="1" type="noConversion"/>
  </si>
  <si>
    <t>S rate 계산시 적용할 조건 수기로 박아넣기</t>
    <phoneticPr fontId="1" type="noConversion"/>
  </si>
  <si>
    <t>담보키</t>
    <phoneticPr fontId="13" type="noConversion"/>
  </si>
  <si>
    <t>세만기</t>
    <phoneticPr fontId="13" type="noConversion"/>
  </si>
  <si>
    <t>x</t>
    <phoneticPr fontId="13" type="noConversion"/>
  </si>
  <si>
    <t>n</t>
    <phoneticPr fontId="13" type="noConversion"/>
  </si>
  <si>
    <t>납방계수</t>
    <phoneticPr fontId="13" type="noConversion"/>
  </si>
  <si>
    <t>위험보험료</t>
    <phoneticPr fontId="13" type="noConversion"/>
  </si>
  <si>
    <t>정기보험순보</t>
    <phoneticPr fontId="13" type="noConversion"/>
  </si>
  <si>
    <t>위험보험료/정기보험순보</t>
    <phoneticPr fontId="13" type="noConversion"/>
  </si>
  <si>
    <t>S rate</t>
    <phoneticPr fontId="13" type="noConversion"/>
  </si>
  <si>
    <t>실제 사용할 S</t>
    <phoneticPr fontId="1" type="noConversion"/>
  </si>
  <si>
    <t>구분단위1</t>
    <phoneticPr fontId="1" type="noConversion"/>
  </si>
  <si>
    <t>구분단위2</t>
    <phoneticPr fontId="1" type="noConversion"/>
  </si>
  <si>
    <t>구분단위3</t>
    <phoneticPr fontId="1" type="noConversion"/>
  </si>
  <si>
    <t>구분단위4</t>
    <phoneticPr fontId="1" type="noConversion"/>
  </si>
  <si>
    <t>비고</t>
    <phoneticPr fontId="1" type="noConversion"/>
  </si>
  <si>
    <t>급부탈퇴 x</t>
    <phoneticPr fontId="1" type="noConversion"/>
  </si>
  <si>
    <t>위험률끼리 곱해서 씀</t>
    <phoneticPr fontId="1" type="noConversion"/>
  </si>
  <si>
    <t>위험률끼리 더해서 슴</t>
    <phoneticPr fontId="1" type="noConversion"/>
  </si>
  <si>
    <t>단일률</t>
    <phoneticPr fontId="1" type="noConversion"/>
  </si>
  <si>
    <t>암담보</t>
    <phoneticPr fontId="1" type="noConversion"/>
  </si>
  <si>
    <t>급부 여러 개</t>
    <phoneticPr fontId="1" type="noConversion"/>
  </si>
  <si>
    <t>KARMA339</t>
  </si>
  <si>
    <t>KARMA340</t>
  </si>
  <si>
    <t>KARMA187</t>
  </si>
  <si>
    <t>KARMA194</t>
  </si>
  <si>
    <t>KARMA192</t>
  </si>
  <si>
    <t>KARMA256</t>
  </si>
  <si>
    <t>KARMA111</t>
  </si>
  <si>
    <t>KARMA266</t>
  </si>
  <si>
    <t>KARMA267</t>
  </si>
  <si>
    <t>KARMA269</t>
  </si>
  <si>
    <t>KARMA229</t>
  </si>
  <si>
    <t>열1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</si>
</sst>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Calibri"/>
      <family val="3"/>
      <charset val="161"/>
    </font>
    <font>
      <b/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</font>
    <font>
      <sz val="8"/>
      <name val="맑은 고딕"/>
      <family val="2"/>
      <charset val="129"/>
    </font>
  </fonts>
  <fills count="1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/>
      <diagonal/>
    </border>
  </borders>
  <cellStyleXfs count="2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0" xfId="0" applyAlignment="1">
      <alignment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8" xfId="1" applyFont="1" applyBorder="1">
      <alignment vertical="center"/>
    </xf>
    <xf numFmtId="0" fontId="8" fillId="11" borderId="0" xfId="0" applyFont="1" applyFill="1">
      <alignment vertical="center"/>
    </xf>
    <xf numFmtId="0" fontId="9" fillId="11" borderId="0" xfId="0" applyFont="1" applyFill="1">
      <alignment vertical="center"/>
    </xf>
    <xf numFmtId="0" fontId="9" fillId="11" borderId="1" xfId="0" applyFont="1" applyFill="1" applyBorder="1">
      <alignment vertical="center"/>
    </xf>
    <xf numFmtId="0" fontId="8" fillId="11" borderId="1" xfId="0" applyFont="1" applyFill="1" applyBorder="1">
      <alignment vertical="center"/>
    </xf>
    <xf numFmtId="0" fontId="8" fillId="11" borderId="10" xfId="0" applyFont="1" applyFill="1" applyBorder="1">
      <alignment vertical="center"/>
    </xf>
    <xf numFmtId="0" fontId="8" fillId="0" borderId="0" xfId="0" applyFont="1" applyFill="1">
      <alignment vertical="center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Fill="1">
      <alignment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12" fillId="12" borderId="16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12" fillId="6" borderId="17" xfId="0" applyFont="1" applyFill="1" applyBorder="1" applyAlignment="1">
      <alignment horizontal="center" vertical="center"/>
    </xf>
    <xf numFmtId="0" fontId="12" fillId="14" borderId="17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15" borderId="17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12" fillId="0" borderId="20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250">
    <dxf>
      <numFmt numFmtId="0" formatCode="General"/>
      <border diagonalUp="0" diagonalDown="0">
        <left style="thin">
          <color theme="6"/>
        </left>
        <right/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/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diagonalUp="0" diagonalDown="0">
        <left/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outline="0">
        <top style="thin">
          <color theme="6"/>
        </top>
      </border>
    </dxf>
    <dxf>
      <border outline="0">
        <bottom style="thin">
          <color theme="6"/>
        </bottom>
      </border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3"/>
        <charset val="161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strike/>
        <color rgb="FFFF0000"/>
      </font>
      <fill>
        <patternFill>
          <bgColor theme="0" tint="-0.499984740745262"/>
        </patternFill>
      </fill>
    </dxf>
    <dxf>
      <font>
        <strike/>
        <color rgb="FFFF0000"/>
      </font>
      <fill>
        <patternFill>
          <bgColor theme="1" tint="0.499984740745262"/>
        </patternFill>
      </fill>
    </dxf>
    <dxf>
      <font>
        <strike/>
        <color rgb="FFFF0000"/>
      </font>
      <fill>
        <patternFill>
          <bgColor theme="0" tint="-0.499984740745262"/>
        </patternFill>
      </fill>
    </dxf>
    <dxf>
      <font>
        <strike/>
        <color rgb="FFFF0000"/>
      </font>
      <fill>
        <patternFill>
          <bgColor theme="0" tint="-0.499984740745262"/>
        </patternFill>
      </fill>
    </dxf>
    <dxf>
      <font>
        <strike/>
        <color rgb="FFFF0000"/>
      </font>
      <fill>
        <patternFill>
          <bgColor theme="1" tint="0.499984740745262"/>
        </patternFill>
      </fill>
    </dxf>
    <dxf>
      <font>
        <strike/>
        <color rgb="FFFF0000"/>
      </font>
      <fill>
        <patternFill>
          <bgColor theme="0" tint="-0.499984740745262"/>
        </patternFill>
      </fill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220980</xdr:colOff>
          <xdr:row>1</xdr:row>
          <xdr:rowOff>144780</xdr:rowOff>
        </xdr:from>
        <xdr:to>
          <xdr:col>27</xdr:col>
          <xdr:colOff>1508760</xdr:colOff>
          <xdr:row>3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0</xdr:row>
          <xdr:rowOff>38100</xdr:rowOff>
        </xdr:from>
        <xdr:to>
          <xdr:col>2</xdr:col>
          <xdr:colOff>647700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0</xdr:row>
          <xdr:rowOff>38100</xdr:rowOff>
        </xdr:from>
        <xdr:to>
          <xdr:col>4</xdr:col>
          <xdr:colOff>7620</xdr:colOff>
          <xdr:row>1</xdr:row>
          <xdr:rowOff>144780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2</xdr:row>
          <xdr:rowOff>76200</xdr:rowOff>
        </xdr:from>
        <xdr:to>
          <xdr:col>3</xdr:col>
          <xdr:colOff>647700</xdr:colOff>
          <xdr:row>3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Erase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222D09-118F-4172-951E-FED5851B275B}" name="TAB_Qx" displayName="TAB_Qx" ref="B5:EA28" totalsRowShown="0" headerRowDxfId="249" headerRowBorderDxfId="248" tableBorderDxfId="247" totalsRowBorderDxfId="246">
  <autoFilter ref="B5:EA28" xr:uid="{46222D09-118F-4172-951E-FED5851B275B}"/>
  <tableColumns count="130">
    <tableColumn id="1" xr3:uid="{991F9819-9636-45FC-B0F1-547598F1C2D8}" name="위험률코드" dataDxfId="245"/>
    <tableColumn id="2" xr3:uid="{842614F9-35FF-4C9A-B359-4C74DEA634EE}" name="위험률명" dataDxfId="244"/>
    <tableColumn id="3" xr3:uid="{58077D33-D03B-4026-87CC-2C93E50F00F0}" name="성별" dataDxfId="243"/>
    <tableColumn id="4" xr3:uid="{4FF5D4CD-7C1A-4A5D-82D1-A55CBFEBA7AA}" name="급수" dataDxfId="242"/>
    <tableColumn id="5" xr3:uid="{DF27EA24-E4B0-4563-B6A7-1BF0496F04C9}" name="구분자1" dataDxfId="241"/>
    <tableColumn id="6" xr3:uid="{9D4607B6-7841-49E3-8EB8-58615BF98AD6}" name="구분자2" dataDxfId="240"/>
    <tableColumn id="7" xr3:uid="{F160E603-46C8-4B66-8D5E-E7D7FFD00A98}" name="구분자3" dataDxfId="239"/>
    <tableColumn id="8" xr3:uid="{24E44CAC-3D51-424B-A31E-6E978574DB52}" name="구분자4" dataDxfId="238"/>
    <tableColumn id="9" xr3:uid="{FCD600E6-C432-4BBC-8A6C-F29036597EB7}" name="위험률유형" dataDxfId="237"/>
    <tableColumn id="10" xr3:uid="{6EC8E6CB-A17D-4984-8773-5B41A3D1AA8C}" name="qx(0)" dataDxfId="236"/>
    <tableColumn id="11" xr3:uid="{4A199643-0363-490E-81A4-1F02A7F9F615}" name="qx(1)" dataDxfId="235"/>
    <tableColumn id="12" xr3:uid="{EF04949F-313B-40C5-9E3A-2FAC9BA3A996}" name="qx(2)" dataDxfId="234"/>
    <tableColumn id="13" xr3:uid="{0D86A4F4-6AF7-418B-999F-4EAC15CB1793}" name="qx(3)" dataDxfId="233"/>
    <tableColumn id="14" xr3:uid="{D4F394A6-439E-4AFE-B835-CD8845758AC8}" name="qx(4)" dataDxfId="232"/>
    <tableColumn id="15" xr3:uid="{1C65DC98-4303-4DE4-B93C-115E55212984}" name="qx(5)" dataDxfId="231"/>
    <tableColumn id="16" xr3:uid="{8274BD47-AF0F-4939-B30C-0143FDF21593}" name="qx(6)" dataDxfId="230"/>
    <tableColumn id="17" xr3:uid="{901BCF0A-87D0-4979-8915-C91D278D750D}" name="qx(7)" dataDxfId="229"/>
    <tableColumn id="18" xr3:uid="{8FA3F22B-73BC-4E19-8501-347AB11B76E5}" name="qx(8)" dataDxfId="228"/>
    <tableColumn id="19" xr3:uid="{60691D27-BBE3-4B22-ACC8-CA9153099103}" name="qx(9)" dataDxfId="227"/>
    <tableColumn id="20" xr3:uid="{730ABF43-372F-4AA8-88C2-5998C8FCD9C7}" name="qx(10)" dataDxfId="226"/>
    <tableColumn id="21" xr3:uid="{632EA5F8-5196-4364-AA84-8B08DFB9FB5E}" name="qx(11)" dataDxfId="225"/>
    <tableColumn id="22" xr3:uid="{6A0DB610-6C47-4BC2-8426-EFA2F76D71E0}" name="qx(12)" dataDxfId="224"/>
    <tableColumn id="23" xr3:uid="{76523B2D-0B38-41BC-B3D2-0325B7A22159}" name="qx(13)" dataDxfId="223"/>
    <tableColumn id="24" xr3:uid="{A551A46B-AFB7-4DA7-8061-019D45BEB903}" name="qx(14)" dataDxfId="222"/>
    <tableColumn id="25" xr3:uid="{0EA99ABE-CAC5-402F-A15A-37D30258092D}" name="qx(15)" dataDxfId="221"/>
    <tableColumn id="26" xr3:uid="{4D3AA2FB-2555-47D6-A45F-50B4625AAC51}" name="qx(16)" dataDxfId="220"/>
    <tableColumn id="27" xr3:uid="{9927905A-1449-4042-9020-4CE3A44AE544}" name="qx(17)" dataDxfId="219"/>
    <tableColumn id="28" xr3:uid="{109B4382-37D9-4A15-AE83-12B32CD9EF7D}" name="qx(18)" dataDxfId="218"/>
    <tableColumn id="29" xr3:uid="{546875CA-0EBD-4D51-9846-8CD22F0389D5}" name="qx(19)" dataDxfId="217"/>
    <tableColumn id="30" xr3:uid="{1F4AB1FA-4599-4F99-B18F-F66B89D9A713}" name="qx(20)" dataDxfId="216"/>
    <tableColumn id="31" xr3:uid="{287988DE-33C9-4DE6-9292-250D7B3C55B7}" name="qx(21)" dataDxfId="215"/>
    <tableColumn id="32" xr3:uid="{F74920A6-B72A-4B9B-AD15-705646FD00C8}" name="qx(22)" dataDxfId="214"/>
    <tableColumn id="33" xr3:uid="{86CCC773-4D03-4919-9A88-7520A2CF9453}" name="qx(23)" dataDxfId="213"/>
    <tableColumn id="34" xr3:uid="{6E1DCA1D-8DD0-4506-8F3B-E67724C73A1A}" name="qx(24)" dataDxfId="212"/>
    <tableColumn id="35" xr3:uid="{9F4D0205-70F8-4E4E-96A6-557C1F1193D5}" name="qx(25)" dataDxfId="211"/>
    <tableColumn id="36" xr3:uid="{44B45B1C-AD66-47F6-BD86-55DA0C5EB1DF}" name="qx(26)" dataDxfId="210"/>
    <tableColumn id="37" xr3:uid="{FBD51484-C547-42A8-AFA3-78DC7A6B5EBE}" name="qx(27)" dataDxfId="209"/>
    <tableColumn id="38" xr3:uid="{1FFFC710-B53D-42E3-B19C-9056FA2B1D6A}" name="qx(28)" dataDxfId="208"/>
    <tableColumn id="39" xr3:uid="{930EBA87-2E10-419B-8F1B-DE5E382D30C1}" name="qx(29)" dataDxfId="207"/>
    <tableColumn id="40" xr3:uid="{20596F77-A579-412C-9848-82D8DE3D5592}" name="qx(30)" dataDxfId="206"/>
    <tableColumn id="41" xr3:uid="{683AEABE-0973-469F-A34E-E117AB4820AF}" name="qx(31)" dataDxfId="205"/>
    <tableColumn id="42" xr3:uid="{F0603A9E-A0E7-4B1A-8BE2-4888D792BF02}" name="qx(32)" dataDxfId="204"/>
    <tableColumn id="43" xr3:uid="{82949C5A-6835-4A4B-A435-AD00C71F486F}" name="qx(33)" dataDxfId="203"/>
    <tableColumn id="44" xr3:uid="{9CFF2CD1-E69E-4113-B6E1-16410652BCDB}" name="qx(34)" dataDxfId="202"/>
    <tableColumn id="45" xr3:uid="{CE6FCA39-8CEB-4D73-A6E4-185F9A54CE51}" name="qx(35)" dataDxfId="201"/>
    <tableColumn id="46" xr3:uid="{BABF8ED6-16DF-4C0B-9DBF-2F39573660FF}" name="qx(36)" dataDxfId="200"/>
    <tableColumn id="47" xr3:uid="{27A85869-7368-4232-865B-766CF043D9B0}" name="qx(37)" dataDxfId="199"/>
    <tableColumn id="48" xr3:uid="{B4657452-C54A-4988-908E-1A56DD402CA8}" name="qx(38)" dataDxfId="198"/>
    <tableColumn id="49" xr3:uid="{2FAB7A80-EDAC-404D-89B0-C77B0CEDC8BC}" name="qx(39)" dataDxfId="197"/>
    <tableColumn id="50" xr3:uid="{6DDB3474-229B-451A-8E85-07A2641157CA}" name="qx(40)" dataDxfId="196"/>
    <tableColumn id="51" xr3:uid="{E221E0AB-4348-4215-8628-505486C75B42}" name="qx(41)" dataDxfId="195"/>
    <tableColumn id="52" xr3:uid="{D658E4DA-1EFA-4E42-B283-9700971C1720}" name="qx(42)" dataDxfId="194"/>
    <tableColumn id="53" xr3:uid="{FBC32B53-0937-49DA-9A30-36ACB7B656F6}" name="qx(43)" dataDxfId="193"/>
    <tableColumn id="54" xr3:uid="{F4059C46-3EFE-4DF1-96B8-FD070578581C}" name="qx(44)" dataDxfId="192"/>
    <tableColumn id="55" xr3:uid="{925C1A64-506F-454A-86D1-D98775C9EF21}" name="qx(45)" dataDxfId="191"/>
    <tableColumn id="56" xr3:uid="{4FA691DE-8381-4562-8B1D-8148E4AF12B4}" name="qx(46)" dataDxfId="190"/>
    <tableColumn id="57" xr3:uid="{43CA62BC-EBA3-4470-8B59-E205104AA2D2}" name="qx(47)" dataDxfId="189"/>
    <tableColumn id="58" xr3:uid="{CA4EC19F-53D1-4685-8FD5-5FF6E7180489}" name="qx(48)" dataDxfId="188"/>
    <tableColumn id="59" xr3:uid="{FB9625C3-3444-4363-9F6A-2C2C40DBF2EB}" name="qx(49)" dataDxfId="187"/>
    <tableColumn id="60" xr3:uid="{588F2975-64D4-4CC3-B482-0C1209EBA9CC}" name="qx(50)" dataDxfId="186"/>
    <tableColumn id="61" xr3:uid="{D9C34373-A77D-4183-BD71-A34EFA501CA9}" name="qx(51)" dataDxfId="185"/>
    <tableColumn id="62" xr3:uid="{F8CD9B7F-DB08-4F6A-A7D7-A97D1E858FF1}" name="qx(52)" dataDxfId="184"/>
    <tableColumn id="63" xr3:uid="{319F16B8-5016-4B84-8582-2F6E812FD893}" name="qx(53)" dataDxfId="183"/>
    <tableColumn id="64" xr3:uid="{E71F697A-BAB1-48C9-BDFF-FAB58EEC9C6C}" name="qx(54)" dataDxfId="182"/>
    <tableColumn id="65" xr3:uid="{795FCCE7-4E52-40F4-AED0-B7A8A34E9177}" name="qx(55)" dataDxfId="181"/>
    <tableColumn id="66" xr3:uid="{7576A665-38A4-45A4-A773-E43F64A34E06}" name="qx(56)" dataDxfId="180"/>
    <tableColumn id="67" xr3:uid="{B0782986-EA4C-4418-9A35-63C16182CD87}" name="qx(57)" dataDxfId="179"/>
    <tableColumn id="68" xr3:uid="{F6BE667E-D086-42B6-90D2-90EB42B9DB00}" name="qx(58)" dataDxfId="178"/>
    <tableColumn id="69" xr3:uid="{96CAC0B1-0B68-45BA-9D93-024B8C39D6DF}" name="qx(59)" dataDxfId="177"/>
    <tableColumn id="70" xr3:uid="{B7914003-0C60-47C9-B384-47ADC3B53930}" name="qx(60)" dataDxfId="176"/>
    <tableColumn id="71" xr3:uid="{13DD152A-F472-45EF-A21B-EA0FF7DE178B}" name="qx(61)" dataDxfId="175"/>
    <tableColumn id="72" xr3:uid="{005BF540-9D2B-4911-A586-020BF363ED52}" name="qx(62)" dataDxfId="174"/>
    <tableColumn id="73" xr3:uid="{B3951BFF-6EAA-4C2A-903C-EF8D9D39C98E}" name="qx(63)" dataDxfId="173"/>
    <tableColumn id="74" xr3:uid="{08618903-5A51-4D50-AD6C-C1AC294A46FE}" name="qx(64)" dataDxfId="172"/>
    <tableColumn id="75" xr3:uid="{EB2B55AB-1744-4F18-8EBB-1BA4337A9B87}" name="qx(65)" dataDxfId="171"/>
    <tableColumn id="76" xr3:uid="{A083E16B-BEB9-4313-AAB4-EFA36DBBDE7B}" name="qx(66)" dataDxfId="170"/>
    <tableColumn id="77" xr3:uid="{F003FA52-0C07-40C8-9C3F-8A439CA822E5}" name="qx(67)" dataDxfId="169"/>
    <tableColumn id="78" xr3:uid="{C19FABB6-5599-4C84-83F1-001CD2837B87}" name="qx(68)" dataDxfId="168"/>
    <tableColumn id="79" xr3:uid="{01968EC2-318A-48AA-BA3A-350F2560434D}" name="qx(69)" dataDxfId="167"/>
    <tableColumn id="80" xr3:uid="{280EBDFA-EB49-4CC5-A322-549C67274631}" name="qx(70)" dataDxfId="166"/>
    <tableColumn id="81" xr3:uid="{4C6E2A88-7D3E-4D4E-80C0-4FC5BD3CBF2E}" name="qx(71)" dataDxfId="165"/>
    <tableColumn id="82" xr3:uid="{B24331F6-C5A2-4F37-8700-7E1426A560AA}" name="qx(72)" dataDxfId="164"/>
    <tableColumn id="83" xr3:uid="{CE8E86F3-1996-4234-B4F0-6FB1F54400FF}" name="qx(73)" dataDxfId="163"/>
    <tableColumn id="84" xr3:uid="{FECD0369-5D86-45AC-86A2-1025889C2DDA}" name="qx(74)" dataDxfId="162"/>
    <tableColumn id="85" xr3:uid="{EC98CD4B-D4FA-4CF0-8BEA-D6CB358344F0}" name="qx(75)" dataDxfId="161"/>
    <tableColumn id="86" xr3:uid="{83C9F7CD-CF58-4B77-94E8-AC4FC5675C26}" name="qx(76)" dataDxfId="160"/>
    <tableColumn id="87" xr3:uid="{A26FED34-71AF-494C-81BC-24098F5C222F}" name="qx(77)" dataDxfId="159"/>
    <tableColumn id="88" xr3:uid="{C14B7880-1E0D-4011-8DAB-A1BAD1665C4D}" name="qx(78)" dataDxfId="158"/>
    <tableColumn id="89" xr3:uid="{48960093-5D70-4697-A70D-924D56F87618}" name="qx(79)" dataDxfId="157"/>
    <tableColumn id="90" xr3:uid="{19AAC167-D7E2-4877-8092-5712CB027B7A}" name="qx(80)" dataDxfId="156"/>
    <tableColumn id="91" xr3:uid="{DA428AFF-7EB2-4001-B3CA-07894D5CB922}" name="qx(81)" dataDxfId="155"/>
    <tableColumn id="92" xr3:uid="{A36B59A1-C029-4E9D-BA57-438E7FF37146}" name="qx(82)" dataDxfId="154"/>
    <tableColumn id="93" xr3:uid="{92610713-A40C-4A2E-B283-E6B20CB087B8}" name="qx(83)" dataDxfId="153"/>
    <tableColumn id="94" xr3:uid="{D257EFD1-EA66-4758-B1E5-55A35C652443}" name="qx(84)" dataDxfId="152"/>
    <tableColumn id="95" xr3:uid="{67D38712-AAA5-4935-B318-2837F5796C8E}" name="qx(85)" dataDxfId="151"/>
    <tableColumn id="96" xr3:uid="{13D96E38-2D3B-4500-A8CC-A090551711C0}" name="qx(86)" dataDxfId="150"/>
    <tableColumn id="97" xr3:uid="{003A8B01-F683-4DDC-A8B2-5D6BF819847F}" name="qx(87)" dataDxfId="149"/>
    <tableColumn id="98" xr3:uid="{1EF00A4F-4C6A-4658-A158-C2FB6EDAFE4E}" name="qx(88)" dataDxfId="148"/>
    <tableColumn id="99" xr3:uid="{82B70269-9DE7-4CC5-A88D-B3CA1142826D}" name="qx(89)" dataDxfId="147"/>
    <tableColumn id="100" xr3:uid="{48E14BD9-4530-4D7F-8BC9-8EE90A4B40C3}" name="qx(90)" dataDxfId="146"/>
    <tableColumn id="101" xr3:uid="{89D8B6D3-93A5-48FA-8B0D-C3C1CFC3DF09}" name="qx(91)" dataDxfId="145"/>
    <tableColumn id="102" xr3:uid="{40B2CD7D-C3D9-4EE4-B707-1D5B844AFDAA}" name="qx(92)" dataDxfId="144"/>
    <tableColumn id="103" xr3:uid="{94174A05-F583-476C-B165-302C248E24F5}" name="qx(93)" dataDxfId="143"/>
    <tableColumn id="104" xr3:uid="{D5D80E0C-DD08-48C6-BEF3-FB84614DE063}" name="qx(94)" dataDxfId="142"/>
    <tableColumn id="105" xr3:uid="{06B0E947-EA78-4453-8E32-584F2A05A9B5}" name="qx(95)" dataDxfId="141"/>
    <tableColumn id="106" xr3:uid="{A8521C99-5C3B-451A-9D83-EFB94B03D99B}" name="qx(96)" dataDxfId="140"/>
    <tableColumn id="107" xr3:uid="{AD03425E-7BCA-4CA0-8C71-52D2040CFBCB}" name="qx(97)" dataDxfId="139"/>
    <tableColumn id="108" xr3:uid="{EFAE7C6E-DC59-47C5-B8E9-AD63FE5599C8}" name="qx(98)" dataDxfId="138"/>
    <tableColumn id="109" xr3:uid="{36870EFB-836E-4EB8-B23B-A92858A8E761}" name="qx(99)" dataDxfId="137"/>
    <tableColumn id="110" xr3:uid="{02D669A5-CFA3-44A5-B4ED-795760934C78}" name="qx(100)" dataDxfId="136"/>
    <tableColumn id="111" xr3:uid="{EC44AA36-5AF3-41BB-ABD8-E44FDCCEACD0}" name="qx(101)" dataDxfId="135"/>
    <tableColumn id="112" xr3:uid="{CB21C800-F725-496A-A0E4-DFD0993DFF8E}" name="qx(102)" dataDxfId="134"/>
    <tableColumn id="113" xr3:uid="{C5AFAC0B-C1DC-472D-AE51-EA4BA7731FAF}" name="qx(103)" dataDxfId="133"/>
    <tableColumn id="114" xr3:uid="{E09DA8CF-2571-4E93-84BE-A97D83F41D70}" name="qx(104)" dataDxfId="132"/>
    <tableColumn id="115" xr3:uid="{F57DDB59-BA84-47E1-A5C7-327B31AE82C5}" name="qx(105)" dataDxfId="131"/>
    <tableColumn id="116" xr3:uid="{5C0CC497-E61C-404B-988F-978B69BC5FAF}" name="qx(106)" dataDxfId="130"/>
    <tableColumn id="117" xr3:uid="{84FF1CA8-95D8-43DB-BE6A-67F0D4E6330D}" name="qx(107)" dataDxfId="129"/>
    <tableColumn id="118" xr3:uid="{4397B6F2-4003-4F7F-91C2-B57FDE51A865}" name="qx(108)" dataDxfId="128"/>
    <tableColumn id="119" xr3:uid="{8A677993-220F-48DF-B53F-26C45E98B4E2}" name="qx(109)" dataDxfId="127"/>
    <tableColumn id="120" xr3:uid="{C1C17521-45E4-4142-858F-89484C8DCB8E}" name="qx(110)" dataDxfId="126"/>
    <tableColumn id="121" xr3:uid="{34D9B40A-364A-482F-AE38-D2D7852AC0CC}" name="qx(111)" dataDxfId="125"/>
    <tableColumn id="122" xr3:uid="{54D87650-EAEC-49BB-80B0-631DF0603A31}" name="qx(112)" dataDxfId="124"/>
    <tableColumn id="123" xr3:uid="{00A02EA0-822E-4133-B64C-BE325F65D27C}" name="qx(113)" dataDxfId="123"/>
    <tableColumn id="124" xr3:uid="{62E87625-486F-43A5-BFD3-B7EF243710B4}" name="qx(114)" dataDxfId="122"/>
    <tableColumn id="125" xr3:uid="{2A27B1D3-9809-4256-A0D5-69248461E508}" name="qx(115)" dataDxfId="121"/>
    <tableColumn id="126" xr3:uid="{FD0A1596-D934-4FDD-93EB-61BADDE33FF0}" name="qx(116)" dataDxfId="120"/>
    <tableColumn id="127" xr3:uid="{65164949-1D72-4439-B84D-5AFA85E73576}" name="qx(117)" dataDxfId="119"/>
    <tableColumn id="128" xr3:uid="{EFE47B4D-6735-4E30-A444-B5AE615A4D47}" name="qx(118)" dataDxfId="118"/>
    <tableColumn id="129" xr3:uid="{83657131-B974-480A-8D3A-DA542579293F}" name="qx(119)" dataDxfId="117"/>
    <tableColumn id="130" xr3:uid="{5997EBDB-321A-47C5-AA44-7FC36FCCB5F9}" name="qx(120)" dataDxfId="11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EEC9FC-B048-403F-9319-1D5EE0EAE788}" name="TAB_Cov" displayName="TAB_Cov" ref="A5:V32" totalsRowShown="0" headerRowDxfId="109" dataDxfId="107" headerRowBorderDxfId="108" tableBorderDxfId="106" totalsRowBorderDxfId="105">
  <autoFilter ref="A5:V32" xr:uid="{E9EEC9FC-B048-403F-9319-1D5EE0EAE788}"/>
  <tableColumns count="22">
    <tableColumn id="1" xr3:uid="{E6EC99FD-733F-40AF-B3A4-0D4661E79A83}" name="담보번호" dataDxfId="104"/>
    <tableColumn id="2" xr3:uid="{6613DFA7-7D28-4C4A-9F3B-F6DD72EA47B4}" name="담보코드" dataDxfId="103"/>
    <tableColumn id="3" xr3:uid="{4180C83B-0603-4E18-A1F2-C99FE92D4E82}" name="담보명" dataDxfId="102"/>
    <tableColumn id="4" xr3:uid="{64984DAB-9387-4A29-AD09-576C914AC1FB}" name="종" dataDxfId="101"/>
    <tableColumn id="5" xr3:uid="{7BDAFA81-BBF9-418A-A91E-2947025A304A}" name="형" dataDxfId="100"/>
    <tableColumn id="6" xr3:uid="{ADA5392D-8A0C-4643-B50D-B22DC9623154}" name="갱신구분자" dataDxfId="99"/>
    <tableColumn id="7" xr3:uid="{28138A1B-11D1-4C33-B9AE-46A70A9D7C7F}" name="담보키" dataDxfId="98">
      <calculatedColumnFormula>VALUE(TAB_Cov[[#This Row],[담보번호]])&amp;VALUE(TAB_Cov[[#This Row],[종]])&amp;VALUE(TAB_Cov[[#This Row],[형]])&amp;VALUE(TAB_Cov[[#This Row],[갱신구분자]])</calculatedColumnFormula>
    </tableColumn>
    <tableColumn id="8" xr3:uid="{5E9F06B1-529D-4176-9ADA-39C587826421}" name="sub1" dataDxfId="97"/>
    <tableColumn id="9" xr3:uid="{B3B53A9A-9CF4-497B-A6B6-CEAE38CE2857}" name="sub2" dataDxfId="96"/>
    <tableColumn id="10" xr3:uid="{72C09B91-67AC-49B9-9395-29C02ED2B86C}" name="sub3" dataDxfId="95"/>
    <tableColumn id="11" xr3:uid="{9D203879-94EC-4315-9AB8-5B5A9DED8B84}" name="급부번호" dataDxfId="94"/>
    <tableColumn id="12" xr3:uid="{47C41B52-69D4-4624-A6B4-AF75A237CC4F}" name="탈퇴위험률코드" dataDxfId="93"/>
    <tableColumn id="13" xr3:uid="{0F8DB776-1CB9-4CC3-9569-ED73ECCC039F}" name="탈퇴위험률명" dataDxfId="92"/>
    <tableColumn id="14" xr3:uid="{AC562484-439A-49C9-A491-215EF14E5573}" name="부담보기간" dataDxfId="91"/>
    <tableColumn id="15" xr3:uid="{F2DF4CF8-8E4B-4910-808E-C54CDBF32956}" name="급부위험률코드" dataDxfId="90"/>
    <tableColumn id="16" xr3:uid="{A1D7D707-709A-439D-9411-1EC4448605C4}" name="급부위험률명" dataDxfId="89"/>
    <tableColumn id="17" xr3:uid="{7739FA72-927F-4FB5-A110-E5178E707DFE}" name="지급률" dataDxfId="88"/>
    <tableColumn id="18" xr3:uid="{12739737-E73A-489A-81AD-22FF04B5403A}" name="감액률" dataDxfId="87"/>
    <tableColumn id="19" xr3:uid="{8B2146D6-9689-44FB-BE39-15865F50315B}" name="감액기간" dataDxfId="86"/>
    <tableColumn id="20" xr3:uid="{5BF17942-C703-4705-930B-F72316449E5E}" name="납면위험률코드" dataDxfId="85"/>
    <tableColumn id="21" xr3:uid="{4E9A9CD0-0320-48D1-BDC5-C43BB18BAA24}" name="열1" dataDxfId="84"/>
    <tableColumn id="22" xr3:uid="{E8414CD1-3502-417C-889A-905B79F9899D}" name="무효해지기간" dataDxfId="8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AA023C-6774-49C2-8B25-3524EACE0C6E}" name="TAB_Comb" displayName="TAB_Comb" ref="B5:V7" totalsRowShown="0" headerRowDxfId="82" headerRowBorderDxfId="81" tableBorderDxfId="80" totalsRowBorderDxfId="79">
  <autoFilter ref="B5:V7" xr:uid="{1AAA023C-6774-49C2-8B25-3524EACE0C6E}"/>
  <tableColumns count="21">
    <tableColumn id="1" xr3:uid="{85548C04-DEC6-48D9-B87B-DA81D9BCFACC}" name="결합위험률코드" dataDxfId="78"/>
    <tableColumn id="21" xr3:uid="{61EB0E9E-77CB-45A9-9E9A-C6C67F349A93}" name="결합위험률명" dataDxfId="77"/>
    <tableColumn id="2" xr3:uid="{4354DCEF-D59D-4F1C-B629-8150F639FA3F}" name="연산방법" dataDxfId="76"/>
    <tableColumn id="3" xr3:uid="{971BC6BE-97B0-4141-87E6-975B06CFA690}" name="위험률개수" dataDxfId="75">
      <calculatedColumnFormula>COUNTA(TAB_Comb[[#This Row],[Qx(1)]],TAB_Comb[[#This Row],[Qx(2)]],TAB_Comb[[#This Row],[Qx(3)]],TAB_Comb[[#This Row],[Qx(4)]],TAB_Comb[[#This Row],[Qx(5)]])</calculatedColumnFormula>
    </tableColumn>
    <tableColumn id="19" xr3:uid="{7DFC452B-7479-4D92-A59C-197E8E0EA0A5}" name="위험률유형" dataDxfId="74"/>
    <tableColumn id="20" xr3:uid="{F25FF00E-E2FD-4DFB-B5A5-EB979D2B0342}" name="보조키" dataDxfId="73"/>
    <tableColumn id="4" xr3:uid="{FB496ECF-3FEA-4706-B7CB-7E012C1FB5B9}" name="Qx(1)" dataDxfId="72"/>
    <tableColumn id="16" xr3:uid="{2862682B-5FA4-4793-B1DC-62A72F7FAB8C}" name="위험률명(1)" dataDxfId="71"/>
    <tableColumn id="5" xr3:uid="{4CC0EE31-5497-484B-B5A4-540C402264F7}" name="k(1)" dataDxfId="70"/>
    <tableColumn id="6" xr3:uid="{23A4CA75-F960-4608-9457-9BBC71751384}" name="Qx(2)" dataDxfId="69"/>
    <tableColumn id="17" xr3:uid="{C1661D24-132C-45E0-A82F-CAB94C492E21}" name="위험률명(2)" dataDxfId="68"/>
    <tableColumn id="7" xr3:uid="{68F076B9-51A4-425D-8962-FC7DCA55D1FD}" name="k(2)" dataDxfId="67"/>
    <tableColumn id="8" xr3:uid="{FF1B6EF5-9BB3-4C13-A9B0-6E6AFC9AE3CD}" name="Qx(3)" dataDxfId="66"/>
    <tableColumn id="9" xr3:uid="{2F89D349-3A31-4119-9D91-EC4E4BBA781F}" name="위험률명(3)" dataDxfId="65"/>
    <tableColumn id="10" xr3:uid="{C02F3805-37CB-4AE9-BD43-DE0B1B981BC5}" name="k(3)" dataDxfId="64"/>
    <tableColumn id="11" xr3:uid="{117AF97A-00FC-435C-9E88-BCDE6637A11B}" name="Qx(4)" dataDxfId="63"/>
    <tableColumn id="12" xr3:uid="{FE83D4F1-B759-45E6-8A2A-830F3065C2FF}" name="위험률명(4)" dataDxfId="62"/>
    <tableColumn id="13" xr3:uid="{9C6474D1-A033-44DD-8DA9-82751E47D4D2}" name="k(4)" dataDxfId="61"/>
    <tableColumn id="14" xr3:uid="{BD1409C0-A1FC-4359-BEFA-C8D3C76763FB}" name="Qx(5)" dataDxfId="60"/>
    <tableColumn id="15" xr3:uid="{224BF67E-0912-4389-9E4F-D2F37FCE592A}" name="위험률명(5)" dataDxfId="59"/>
    <tableColumn id="18" xr3:uid="{04C91D08-4B20-4AFB-B57C-BD68FE3DB88A}" name="k(5)" dataDxfId="5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DD697B-9FE2-4EFD-BBA2-84C3F37896B4}" name="Tab_Expense" displayName="Tab_Expense" ref="A5:V40" totalsRowShown="0" headerRowDxfId="57" headerRowBorderDxfId="56" tableBorderDxfId="55" totalsRowBorderDxfId="54">
  <autoFilter ref="A5:V40" xr:uid="{50DD697B-9FE2-4EFD-BBA2-84C3F37896B4}"/>
  <tableColumns count="22">
    <tableColumn id="1" xr3:uid="{6A5BC514-40DC-40BC-A01B-33D41CA29DE4}" name="담보번호" dataDxfId="53"/>
    <tableColumn id="22" xr3:uid="{4CD91067-C0AA-4F43-8D61-03A91F010353}" name="담보코드" dataDxfId="52"/>
    <tableColumn id="2" xr3:uid="{25CDDAE0-F16E-4076-8BD5-1E2798738021}" name="담보명" dataDxfId="51"/>
    <tableColumn id="3" xr3:uid="{62F5DF92-6E79-48C9-9D7E-61AB9FF0991C}" name="종" dataDxfId="50"/>
    <tableColumn id="4" xr3:uid="{AD16568A-E441-4391-A030-8A14DED20A8E}" name="형" dataDxfId="49"/>
    <tableColumn id="5" xr3:uid="{FB73C12B-2186-4E6A-AD2E-FF33A886037E}" name="갱신구분자" dataDxfId="48"/>
    <tableColumn id="6" xr3:uid="{191493D9-FB83-41D5-906E-4D535C9C59EB}" name="담보키" dataDxfId="47">
      <calculatedColumnFormula>VALUE(Tab_Expense[[#This Row],[담보번호]])&amp;VALUE(Tab_Expense[[#This Row],[종]])&amp;VALUE(Tab_Expense[[#This Row],[형]])&amp;VALUE(Tab_Expense[[#This Row],[갱신구분자]])</calculatedColumnFormula>
    </tableColumn>
    <tableColumn id="7" xr3:uid="{7615B67D-150D-4419-A909-7AC50E96EC18}" name="sub1" dataDxfId="46"/>
    <tableColumn id="8" xr3:uid="{C6ED5BA8-912C-4F2F-BA26-47C2736193A3}" name="sub" dataDxfId="45"/>
    <tableColumn id="9" xr3:uid="{0437FF82-ED13-4219-B67D-40254891D7E8}" name="sub3" dataDxfId="44"/>
    <tableColumn id="10" xr3:uid="{D2FBBD63-0E46-4A80-B00A-F99E23575104}" name="가입금액" dataDxfId="43" dataCellStyle="쉼표 [0]"/>
    <tableColumn id="11" xr3:uid="{2B923ED5-A38A-449A-BE46-7E2EF08B0D99}" name="보험기간" dataDxfId="42"/>
    <tableColumn id="12" xr3:uid="{1A28A8A6-5D65-45A6-8B7B-937D7FB1042D}" name="α1" dataDxfId="41"/>
    <tableColumn id="13" xr3:uid="{F6375C2E-8C78-4EB7-9ED8-ADE4F09345DF}" name="α2" dataDxfId="40"/>
    <tableColumn id="14" xr3:uid="{C3CD2163-F165-49C9-8D88-87A848C9125F}" name="α3" dataDxfId="39"/>
    <tableColumn id="15" xr3:uid="{6C524EB7-E4E9-4CFD-BA1C-AD63185B8028}" name="α4" dataDxfId="38"/>
    <tableColumn id="16" xr3:uid="{8FFB304B-65F8-4C22-9B21-7424BE7700F7}" name="β1" dataDxfId="37"/>
    <tableColumn id="17" xr3:uid="{63AD76DE-B6EF-4A4E-9E68-B217D32C9647}" name="β2" dataDxfId="36"/>
    <tableColumn id="18" xr3:uid="{B1F980AA-C43E-4046-AB1F-605E29545C5F}" name="β3" dataDxfId="35"/>
    <tableColumn id="19" xr3:uid="{26220B67-628F-41E4-B21E-C67F1121CEC0}" name="γ" dataDxfId="34"/>
    <tableColumn id="20" xr3:uid="{512BC47F-0956-45B5-B963-FA7056E8C598}" name="ce1" dataDxfId="33"/>
    <tableColumn id="21" xr3:uid="{BA974E95-1F64-453B-9461-F03E72EB33AC}" name="ce2" dataDxfId="3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3D3087-324B-4FAE-9AF4-C754348B9F1B}" name="TAB_Srate" displayName="TAB_Srate" ref="B5:AC12" totalsRowShown="0" headerRowDxfId="31" headerRowBorderDxfId="30" tableBorderDxfId="29" totalsRowBorderDxfId="28">
  <autoFilter ref="B5:AC12" xr:uid="{313D3087-324B-4FAE-9AF4-C754348B9F1B}"/>
  <tableColumns count="28">
    <tableColumn id="1" xr3:uid="{20D9928B-D4A1-4510-8253-BCC52150C829}" name="담보번호" dataDxfId="27"/>
    <tableColumn id="28" xr3:uid="{C91AE93A-DC6D-4796-AA87-ECA8AA6FCE9E}" name="담보코드" dataDxfId="26"/>
    <tableColumn id="2" xr3:uid="{F5D4AD62-2EEB-4662-9F00-0ABC1B0CCB98}" name="담보명" dataDxfId="25"/>
    <tableColumn id="3" xr3:uid="{BBDF409E-0759-4E08-8DBB-335FE8460461}" name="종" dataDxfId="24"/>
    <tableColumn id="4" xr3:uid="{B5B13347-ABA4-4151-923D-F9BEC3669404}" name="형" dataDxfId="23"/>
    <tableColumn id="5" xr3:uid="{FB4D9258-44C8-4AF2-A362-E69B39A3A958}" name="신규/갱신" dataDxfId="22"/>
    <tableColumn id="29" xr3:uid="{297DF842-1C32-4976-AD34-735EBA482D13}" name="담보키" dataDxfId="21">
      <calculatedColumnFormula>VALUE(TAB_Srate[[#This Row],[담보번호]])&amp;VALUE(TAB_Srate[[#This Row],[종]])&amp;VALUE(TAB_Srate[[#This Row],[형]])&amp;VALUE(TAB_Srate[[#This Row],[신규/갱신]])</calculatedColumnFormula>
    </tableColumn>
    <tableColumn id="6" xr3:uid="{393FF4E1-C1D2-47FA-AC93-430383982A22}" name="sub1" dataDxfId="20"/>
    <tableColumn id="7" xr3:uid="{644D0957-0279-4EC7-A3C2-A8CDADACA812}" name="sub2" dataDxfId="19"/>
    <tableColumn id="8" xr3:uid="{1FA6DA6C-2747-4C4A-9D16-EAA37BFA2686}" name="sub3" dataDxfId="18"/>
    <tableColumn id="10" xr3:uid="{33494A3F-FCFA-4BC8-8880-CC27DD5A054E}" name="세만기" dataDxfId="17"/>
    <tableColumn id="11" xr3:uid="{9D702290-7462-467E-9354-BE27D6BAF825}" name="최초나이" dataDxfId="16"/>
    <tableColumn id="12" xr3:uid="{9008D68F-53BD-496F-BBCE-766BC8039554}" name="최종나이" dataDxfId="15"/>
    <tableColumn id="13" xr3:uid="{BD1E82EE-30FB-4006-8271-8F055AF340DD}" name="중간연령" dataDxfId="14"/>
    <tableColumn id="14" xr3:uid="{3C038015-C468-4143-AF11-DAB40A557DBF}" name="x" dataDxfId="13"/>
    <tableColumn id="15" xr3:uid="{70F7EB13-2457-4F6A-B160-5FD9FD7069B8}" name="n" dataDxfId="12"/>
    <tableColumn id="16" xr3:uid="{17E9B8E7-55C5-4C4C-A8A2-C4F8F3FBA174}" name="m" dataDxfId="11"/>
    <tableColumn id="17" xr3:uid="{EC301E66-F7F0-4A50-8B78-D686FD36AEBB}" name="성별" dataDxfId="10"/>
    <tableColumn id="18" xr3:uid="{F8C64E95-ECD4-4056-BF40-C59FB7C4D7BB}" name="상해급수" dataDxfId="9"/>
    <tableColumn id="19" xr3:uid="{3DC1F7A3-E00F-4715-84B9-596E148EA1E6}" name="구분단위1" dataDxfId="8"/>
    <tableColumn id="20" xr3:uid="{D71E5196-D388-4C17-A54F-9DCD591696DB}" name="구분단위2" dataDxfId="7"/>
    <tableColumn id="21" xr3:uid="{2527FB8F-035B-4E62-AD5F-586C6E6F70CF}" name="구분단위3" dataDxfId="6"/>
    <tableColumn id="22" xr3:uid="{1612B834-D737-49EC-82D2-99F3312B16DA}" name="구분단위4" dataDxfId="5"/>
    <tableColumn id="23" xr3:uid="{5D95786E-A0E3-4663-AF83-EDD561B6120B}" name="납방계수" dataDxfId="4"/>
    <tableColumn id="24" xr3:uid="{7C09392E-163A-4602-8D38-B79F8E0DE966}" name="위험보험료" dataDxfId="3"/>
    <tableColumn id="25" xr3:uid="{87159FAB-EE39-407B-90EA-5F3976937893}" name="정기보험순보" dataDxfId="2"/>
    <tableColumn id="26" xr3:uid="{AEA4DF46-5A27-433E-BC45-6699D0CBE8FA}" name="위험보험료/정기보험순보" dataDxfId="1"/>
    <tableColumn id="27" xr3:uid="{3BB0E0BF-7C5A-40BD-A5C3-D987347ADCD6}" name="S rate" dataDxfId="0">
      <calculatedColumnFormula>_xlfn.MINIFS(TAB_Srate[위험보험료/정기보험순보], TAB_Srate[담보키], TAB_Srate[[#This Row],[담보키]])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7F917-6C40-4FB4-AA28-356116CEE1FC}">
  <sheetPr codeName="Sheet2">
    <pageSetUpPr fitToPage="1"/>
  </sheetPr>
  <dimension ref="B1:EB28"/>
  <sheetViews>
    <sheetView showGridLines="0" view="pageBreakPreview" zoomScale="60" zoomScaleNormal="100" workbookViewId="0">
      <pane xSplit="10" ySplit="5" topLeftCell="K6" activePane="bottomRight" state="frozen"/>
      <selection pane="topRight" activeCell="K1" sqref="K1"/>
      <selection pane="bottomLeft" activeCell="A6" sqref="A6"/>
      <selection pane="bottomRight" activeCell="C6" sqref="C6:C28"/>
    </sheetView>
  </sheetViews>
  <sheetFormatPr defaultRowHeight="17.399999999999999" outlineLevelCol="1" x14ac:dyDescent="0.4"/>
  <cols>
    <col min="1" max="1" width="2.296875" customWidth="1"/>
    <col min="2" max="2" width="11.59765625" customWidth="1"/>
    <col min="3" max="3" width="30.19921875" bestFit="1" customWidth="1"/>
    <col min="4" max="5" width="8.8984375" bestFit="1" customWidth="1"/>
    <col min="6" max="6" width="11.5" customWidth="1"/>
    <col min="7" max="9" width="9" hidden="1" customWidth="1"/>
    <col min="10" max="10" width="22.69921875" bestFit="1" customWidth="1"/>
    <col min="11" max="16" width="9.8984375" bestFit="1" customWidth="1"/>
    <col min="17" max="110" width="0" hidden="1" customWidth="1" outlineLevel="1"/>
    <col min="111" max="131" width="8.8984375" hidden="1" customWidth="1" outlineLevel="1"/>
    <col min="132" max="132" width="8.796875" collapsed="1"/>
  </cols>
  <sheetData>
    <row r="1" spans="2:131" x14ac:dyDescent="0.4">
      <c r="B1" s="20">
        <v>1</v>
      </c>
      <c r="C1" s="20">
        <f>B1+1</f>
        <v>2</v>
      </c>
      <c r="D1" s="20">
        <f t="shared" ref="D1:BO1" si="0">C1+1</f>
        <v>3</v>
      </c>
      <c r="E1" s="20">
        <f t="shared" si="0"/>
        <v>4</v>
      </c>
      <c r="F1" s="20">
        <f t="shared" si="0"/>
        <v>5</v>
      </c>
      <c r="G1" s="20">
        <f t="shared" si="0"/>
        <v>6</v>
      </c>
      <c r="H1" s="20">
        <f t="shared" si="0"/>
        <v>7</v>
      </c>
      <c r="I1" s="20">
        <f t="shared" si="0"/>
        <v>8</v>
      </c>
      <c r="J1" s="20">
        <f t="shared" si="0"/>
        <v>9</v>
      </c>
      <c r="K1" s="20">
        <f t="shared" si="0"/>
        <v>10</v>
      </c>
      <c r="L1" s="20">
        <f t="shared" si="0"/>
        <v>11</v>
      </c>
      <c r="M1" s="20">
        <f t="shared" si="0"/>
        <v>12</v>
      </c>
      <c r="N1" s="20">
        <f t="shared" si="0"/>
        <v>13</v>
      </c>
      <c r="O1" s="20">
        <f t="shared" si="0"/>
        <v>14</v>
      </c>
      <c r="P1" s="20">
        <f t="shared" si="0"/>
        <v>15</v>
      </c>
      <c r="Q1" s="20">
        <f t="shared" si="0"/>
        <v>16</v>
      </c>
      <c r="R1" s="20">
        <f t="shared" si="0"/>
        <v>17</v>
      </c>
      <c r="S1" s="20">
        <f t="shared" si="0"/>
        <v>18</v>
      </c>
      <c r="T1" s="20">
        <f t="shared" si="0"/>
        <v>19</v>
      </c>
      <c r="U1" s="20">
        <f t="shared" si="0"/>
        <v>20</v>
      </c>
      <c r="V1" s="20">
        <f t="shared" si="0"/>
        <v>21</v>
      </c>
      <c r="W1" s="20">
        <f t="shared" si="0"/>
        <v>22</v>
      </c>
      <c r="X1" s="20">
        <f t="shared" si="0"/>
        <v>23</v>
      </c>
      <c r="Y1" s="20">
        <f t="shared" si="0"/>
        <v>24</v>
      </c>
      <c r="Z1" s="20">
        <f t="shared" si="0"/>
        <v>25</v>
      </c>
      <c r="AA1" s="20">
        <f t="shared" si="0"/>
        <v>26</v>
      </c>
      <c r="AB1" s="20">
        <f t="shared" si="0"/>
        <v>27</v>
      </c>
      <c r="AC1" s="20">
        <f t="shared" si="0"/>
        <v>28</v>
      </c>
      <c r="AD1" s="20">
        <f t="shared" si="0"/>
        <v>29</v>
      </c>
      <c r="AE1" s="20">
        <f t="shared" si="0"/>
        <v>30</v>
      </c>
      <c r="AF1" s="20">
        <f t="shared" si="0"/>
        <v>31</v>
      </c>
      <c r="AG1" s="20">
        <f t="shared" si="0"/>
        <v>32</v>
      </c>
      <c r="AH1" s="20">
        <f t="shared" si="0"/>
        <v>33</v>
      </c>
      <c r="AI1" s="20">
        <f t="shared" si="0"/>
        <v>34</v>
      </c>
      <c r="AJ1" s="20">
        <f t="shared" si="0"/>
        <v>35</v>
      </c>
      <c r="AK1" s="20">
        <f t="shared" si="0"/>
        <v>36</v>
      </c>
      <c r="AL1" s="20">
        <f t="shared" si="0"/>
        <v>37</v>
      </c>
      <c r="AM1" s="20">
        <f t="shared" si="0"/>
        <v>38</v>
      </c>
      <c r="AN1" s="20">
        <f t="shared" si="0"/>
        <v>39</v>
      </c>
      <c r="AO1" s="20">
        <f t="shared" si="0"/>
        <v>40</v>
      </c>
      <c r="AP1" s="20">
        <f t="shared" si="0"/>
        <v>41</v>
      </c>
      <c r="AQ1" s="20">
        <f t="shared" si="0"/>
        <v>42</v>
      </c>
      <c r="AR1" s="20">
        <f t="shared" si="0"/>
        <v>43</v>
      </c>
      <c r="AS1" s="20">
        <f t="shared" si="0"/>
        <v>44</v>
      </c>
      <c r="AT1" s="20">
        <f t="shared" si="0"/>
        <v>45</v>
      </c>
      <c r="AU1" s="20">
        <f t="shared" si="0"/>
        <v>46</v>
      </c>
      <c r="AV1" s="20">
        <f t="shared" si="0"/>
        <v>47</v>
      </c>
      <c r="AW1" s="20">
        <f t="shared" si="0"/>
        <v>48</v>
      </c>
      <c r="AX1" s="20">
        <f t="shared" si="0"/>
        <v>49</v>
      </c>
      <c r="AY1" s="20">
        <f t="shared" si="0"/>
        <v>50</v>
      </c>
      <c r="AZ1" s="20">
        <f t="shared" si="0"/>
        <v>51</v>
      </c>
      <c r="BA1" s="20">
        <f t="shared" si="0"/>
        <v>52</v>
      </c>
      <c r="BB1" s="20">
        <f t="shared" si="0"/>
        <v>53</v>
      </c>
      <c r="BC1" s="20">
        <f t="shared" si="0"/>
        <v>54</v>
      </c>
      <c r="BD1" s="20">
        <f t="shared" si="0"/>
        <v>55</v>
      </c>
      <c r="BE1" s="20">
        <f t="shared" si="0"/>
        <v>56</v>
      </c>
      <c r="BF1" s="20">
        <f t="shared" si="0"/>
        <v>57</v>
      </c>
      <c r="BG1" s="20">
        <f t="shared" si="0"/>
        <v>58</v>
      </c>
      <c r="BH1" s="20">
        <f t="shared" si="0"/>
        <v>59</v>
      </c>
      <c r="BI1" s="20">
        <f t="shared" si="0"/>
        <v>60</v>
      </c>
      <c r="BJ1" s="20">
        <f t="shared" si="0"/>
        <v>61</v>
      </c>
      <c r="BK1" s="20">
        <f t="shared" si="0"/>
        <v>62</v>
      </c>
      <c r="BL1" s="20">
        <f t="shared" si="0"/>
        <v>63</v>
      </c>
      <c r="BM1" s="20">
        <f t="shared" si="0"/>
        <v>64</v>
      </c>
      <c r="BN1" s="20">
        <f t="shared" si="0"/>
        <v>65</v>
      </c>
      <c r="BO1" s="20">
        <f t="shared" si="0"/>
        <v>66</v>
      </c>
      <c r="BP1" s="20">
        <f t="shared" ref="BP1:EA1" si="1">BO1+1</f>
        <v>67</v>
      </c>
      <c r="BQ1" s="20">
        <f t="shared" si="1"/>
        <v>68</v>
      </c>
      <c r="BR1" s="20">
        <f t="shared" si="1"/>
        <v>69</v>
      </c>
      <c r="BS1" s="20">
        <f t="shared" si="1"/>
        <v>70</v>
      </c>
      <c r="BT1" s="20">
        <f t="shared" si="1"/>
        <v>71</v>
      </c>
      <c r="BU1" s="20">
        <f t="shared" si="1"/>
        <v>72</v>
      </c>
      <c r="BV1" s="20">
        <f t="shared" si="1"/>
        <v>73</v>
      </c>
      <c r="BW1" s="20">
        <f t="shared" si="1"/>
        <v>74</v>
      </c>
      <c r="BX1" s="20">
        <f t="shared" si="1"/>
        <v>75</v>
      </c>
      <c r="BY1" s="20">
        <f t="shared" si="1"/>
        <v>76</v>
      </c>
      <c r="BZ1" s="20">
        <f t="shared" si="1"/>
        <v>77</v>
      </c>
      <c r="CA1" s="20">
        <f t="shared" si="1"/>
        <v>78</v>
      </c>
      <c r="CB1" s="20">
        <f t="shared" si="1"/>
        <v>79</v>
      </c>
      <c r="CC1" s="20">
        <f t="shared" si="1"/>
        <v>80</v>
      </c>
      <c r="CD1" s="20">
        <f t="shared" si="1"/>
        <v>81</v>
      </c>
      <c r="CE1" s="20">
        <f t="shared" si="1"/>
        <v>82</v>
      </c>
      <c r="CF1" s="20">
        <f t="shared" si="1"/>
        <v>83</v>
      </c>
      <c r="CG1" s="20">
        <f t="shared" si="1"/>
        <v>84</v>
      </c>
      <c r="CH1" s="20">
        <f t="shared" si="1"/>
        <v>85</v>
      </c>
      <c r="CI1" s="20">
        <f t="shared" si="1"/>
        <v>86</v>
      </c>
      <c r="CJ1" s="20">
        <f t="shared" si="1"/>
        <v>87</v>
      </c>
      <c r="CK1" s="20">
        <f t="shared" si="1"/>
        <v>88</v>
      </c>
      <c r="CL1" s="20">
        <f t="shared" si="1"/>
        <v>89</v>
      </c>
      <c r="CM1" s="20">
        <f t="shared" si="1"/>
        <v>90</v>
      </c>
      <c r="CN1" s="20">
        <f t="shared" si="1"/>
        <v>91</v>
      </c>
      <c r="CO1" s="20">
        <f t="shared" si="1"/>
        <v>92</v>
      </c>
      <c r="CP1" s="20">
        <f t="shared" si="1"/>
        <v>93</v>
      </c>
      <c r="CQ1" s="20">
        <f t="shared" si="1"/>
        <v>94</v>
      </c>
      <c r="CR1" s="20">
        <f t="shared" si="1"/>
        <v>95</v>
      </c>
      <c r="CS1" s="20">
        <f t="shared" si="1"/>
        <v>96</v>
      </c>
      <c r="CT1" s="20">
        <f t="shared" si="1"/>
        <v>97</v>
      </c>
      <c r="CU1" s="20">
        <f t="shared" si="1"/>
        <v>98</v>
      </c>
      <c r="CV1" s="20">
        <f t="shared" si="1"/>
        <v>99</v>
      </c>
      <c r="CW1" s="20">
        <f t="shared" si="1"/>
        <v>100</v>
      </c>
      <c r="CX1" s="20">
        <f t="shared" si="1"/>
        <v>101</v>
      </c>
      <c r="CY1" s="20">
        <f t="shared" si="1"/>
        <v>102</v>
      </c>
      <c r="CZ1" s="20">
        <f t="shared" si="1"/>
        <v>103</v>
      </c>
      <c r="DA1" s="20">
        <f t="shared" si="1"/>
        <v>104</v>
      </c>
      <c r="DB1" s="20">
        <f t="shared" si="1"/>
        <v>105</v>
      </c>
      <c r="DC1" s="20">
        <f t="shared" si="1"/>
        <v>106</v>
      </c>
      <c r="DD1" s="20">
        <f t="shared" si="1"/>
        <v>107</v>
      </c>
      <c r="DE1" s="20">
        <f t="shared" si="1"/>
        <v>108</v>
      </c>
      <c r="DF1" s="20">
        <f t="shared" si="1"/>
        <v>109</v>
      </c>
      <c r="DG1" s="20">
        <f t="shared" si="1"/>
        <v>110</v>
      </c>
      <c r="DH1" s="20">
        <f t="shared" si="1"/>
        <v>111</v>
      </c>
      <c r="DI1" s="20">
        <f t="shared" si="1"/>
        <v>112</v>
      </c>
      <c r="DJ1" s="20">
        <f t="shared" si="1"/>
        <v>113</v>
      </c>
      <c r="DK1" s="20">
        <f t="shared" si="1"/>
        <v>114</v>
      </c>
      <c r="DL1" s="20">
        <f t="shared" si="1"/>
        <v>115</v>
      </c>
      <c r="DM1" s="20">
        <f t="shared" si="1"/>
        <v>116</v>
      </c>
      <c r="DN1" s="20">
        <f t="shared" si="1"/>
        <v>117</v>
      </c>
      <c r="DO1" s="20">
        <f t="shared" si="1"/>
        <v>118</v>
      </c>
      <c r="DP1" s="20">
        <f t="shared" si="1"/>
        <v>119</v>
      </c>
      <c r="DQ1" s="20">
        <f t="shared" si="1"/>
        <v>120</v>
      </c>
      <c r="DR1" s="20">
        <f t="shared" si="1"/>
        <v>121</v>
      </c>
      <c r="DS1" s="20">
        <f t="shared" si="1"/>
        <v>122</v>
      </c>
      <c r="DT1" s="20">
        <f t="shared" si="1"/>
        <v>123</v>
      </c>
      <c r="DU1" s="20">
        <f t="shared" si="1"/>
        <v>124</v>
      </c>
      <c r="DV1" s="20">
        <f t="shared" si="1"/>
        <v>125</v>
      </c>
      <c r="DW1" s="20">
        <f t="shared" si="1"/>
        <v>126</v>
      </c>
      <c r="DX1" s="20">
        <f t="shared" si="1"/>
        <v>127</v>
      </c>
      <c r="DY1" s="20">
        <f t="shared" si="1"/>
        <v>128</v>
      </c>
      <c r="DZ1" s="20">
        <f t="shared" si="1"/>
        <v>129</v>
      </c>
      <c r="EA1" s="20">
        <f t="shared" si="1"/>
        <v>130</v>
      </c>
    </row>
    <row r="3" spans="2:131" x14ac:dyDescent="0.4">
      <c r="B3" s="1" t="s">
        <v>179</v>
      </c>
    </row>
    <row r="4" spans="2:131" ht="52.2" x14ac:dyDescent="0.4">
      <c r="E4" s="8" t="s">
        <v>177</v>
      </c>
      <c r="F4" s="8"/>
      <c r="J4" s="8" t="s">
        <v>226</v>
      </c>
    </row>
    <row r="5" spans="2:131" x14ac:dyDescent="0.4">
      <c r="B5" s="9" t="s">
        <v>130</v>
      </c>
      <c r="C5" s="10" t="s">
        <v>131</v>
      </c>
      <c r="D5" s="11" t="s">
        <v>5</v>
      </c>
      <c r="E5" s="11" t="s">
        <v>4</v>
      </c>
      <c r="F5" s="11" t="s">
        <v>173</v>
      </c>
      <c r="G5" s="11" t="s">
        <v>174</v>
      </c>
      <c r="H5" s="11" t="s">
        <v>175</v>
      </c>
      <c r="I5" s="11" t="s">
        <v>176</v>
      </c>
      <c r="J5" s="12" t="s">
        <v>178</v>
      </c>
      <c r="K5" s="13" t="s">
        <v>132</v>
      </c>
      <c r="L5" s="13" t="s">
        <v>8</v>
      </c>
      <c r="M5" s="13" t="s">
        <v>9</v>
      </c>
      <c r="N5" s="13" t="s">
        <v>10</v>
      </c>
      <c r="O5" s="13" t="s">
        <v>11</v>
      </c>
      <c r="P5" s="13" t="s">
        <v>12</v>
      </c>
      <c r="Q5" s="13" t="s">
        <v>13</v>
      </c>
      <c r="R5" s="13" t="s">
        <v>14</v>
      </c>
      <c r="S5" s="13" t="s">
        <v>15</v>
      </c>
      <c r="T5" s="13" t="s">
        <v>16</v>
      </c>
      <c r="U5" s="13" t="s">
        <v>17</v>
      </c>
      <c r="V5" s="13" t="s">
        <v>18</v>
      </c>
      <c r="W5" s="13" t="s">
        <v>19</v>
      </c>
      <c r="X5" s="13" t="s">
        <v>20</v>
      </c>
      <c r="Y5" s="13" t="s">
        <v>21</v>
      </c>
      <c r="Z5" s="13" t="s">
        <v>22</v>
      </c>
      <c r="AA5" s="13" t="s">
        <v>23</v>
      </c>
      <c r="AB5" s="13" t="s">
        <v>24</v>
      </c>
      <c r="AC5" s="13" t="s">
        <v>25</v>
      </c>
      <c r="AD5" s="13" t="s">
        <v>26</v>
      </c>
      <c r="AE5" s="13" t="s">
        <v>27</v>
      </c>
      <c r="AF5" s="13" t="s">
        <v>28</v>
      </c>
      <c r="AG5" s="13" t="s">
        <v>29</v>
      </c>
      <c r="AH5" s="13" t="s">
        <v>30</v>
      </c>
      <c r="AI5" s="13" t="s">
        <v>31</v>
      </c>
      <c r="AJ5" s="13" t="s">
        <v>32</v>
      </c>
      <c r="AK5" s="13" t="s">
        <v>33</v>
      </c>
      <c r="AL5" s="13" t="s">
        <v>34</v>
      </c>
      <c r="AM5" s="13" t="s">
        <v>35</v>
      </c>
      <c r="AN5" s="13" t="s">
        <v>36</v>
      </c>
      <c r="AO5" s="13" t="s">
        <v>37</v>
      </c>
      <c r="AP5" s="13" t="s">
        <v>38</v>
      </c>
      <c r="AQ5" s="13" t="s">
        <v>39</v>
      </c>
      <c r="AR5" s="13" t="s">
        <v>40</v>
      </c>
      <c r="AS5" s="13" t="s">
        <v>41</v>
      </c>
      <c r="AT5" s="13" t="s">
        <v>42</v>
      </c>
      <c r="AU5" s="13" t="s">
        <v>43</v>
      </c>
      <c r="AV5" s="13" t="s">
        <v>44</v>
      </c>
      <c r="AW5" s="13" t="s">
        <v>45</v>
      </c>
      <c r="AX5" s="13" t="s">
        <v>46</v>
      </c>
      <c r="AY5" s="13" t="s">
        <v>47</v>
      </c>
      <c r="AZ5" s="13" t="s">
        <v>48</v>
      </c>
      <c r="BA5" s="13" t="s">
        <v>49</v>
      </c>
      <c r="BB5" s="13" t="s">
        <v>50</v>
      </c>
      <c r="BC5" s="13" t="s">
        <v>51</v>
      </c>
      <c r="BD5" s="13" t="s">
        <v>52</v>
      </c>
      <c r="BE5" s="13" t="s">
        <v>53</v>
      </c>
      <c r="BF5" s="13" t="s">
        <v>54</v>
      </c>
      <c r="BG5" s="13" t="s">
        <v>55</v>
      </c>
      <c r="BH5" s="13" t="s">
        <v>56</v>
      </c>
      <c r="BI5" s="13" t="s">
        <v>57</v>
      </c>
      <c r="BJ5" s="13" t="s">
        <v>58</v>
      </c>
      <c r="BK5" s="13" t="s">
        <v>59</v>
      </c>
      <c r="BL5" s="13" t="s">
        <v>60</v>
      </c>
      <c r="BM5" s="13" t="s">
        <v>61</v>
      </c>
      <c r="BN5" s="13" t="s">
        <v>62</v>
      </c>
      <c r="BO5" s="13" t="s">
        <v>63</v>
      </c>
      <c r="BP5" s="13" t="s">
        <v>64</v>
      </c>
      <c r="BQ5" s="13" t="s">
        <v>65</v>
      </c>
      <c r="BR5" s="13" t="s">
        <v>66</v>
      </c>
      <c r="BS5" s="13" t="s">
        <v>67</v>
      </c>
      <c r="BT5" s="13" t="s">
        <v>68</v>
      </c>
      <c r="BU5" s="13" t="s">
        <v>69</v>
      </c>
      <c r="BV5" s="13" t="s">
        <v>70</v>
      </c>
      <c r="BW5" s="13" t="s">
        <v>71</v>
      </c>
      <c r="BX5" s="13" t="s">
        <v>72</v>
      </c>
      <c r="BY5" s="13" t="s">
        <v>73</v>
      </c>
      <c r="BZ5" s="13" t="s">
        <v>74</v>
      </c>
      <c r="CA5" s="13" t="s">
        <v>75</v>
      </c>
      <c r="CB5" s="13" t="s">
        <v>76</v>
      </c>
      <c r="CC5" s="13" t="s">
        <v>77</v>
      </c>
      <c r="CD5" s="13" t="s">
        <v>78</v>
      </c>
      <c r="CE5" s="13" t="s">
        <v>79</v>
      </c>
      <c r="CF5" s="13" t="s">
        <v>80</v>
      </c>
      <c r="CG5" s="13" t="s">
        <v>81</v>
      </c>
      <c r="CH5" s="13" t="s">
        <v>82</v>
      </c>
      <c r="CI5" s="13" t="s">
        <v>83</v>
      </c>
      <c r="CJ5" s="13" t="s">
        <v>84</v>
      </c>
      <c r="CK5" s="13" t="s">
        <v>85</v>
      </c>
      <c r="CL5" s="13" t="s">
        <v>86</v>
      </c>
      <c r="CM5" s="13" t="s">
        <v>87</v>
      </c>
      <c r="CN5" s="13" t="s">
        <v>88</v>
      </c>
      <c r="CO5" s="13" t="s">
        <v>89</v>
      </c>
      <c r="CP5" s="13" t="s">
        <v>90</v>
      </c>
      <c r="CQ5" s="13" t="s">
        <v>91</v>
      </c>
      <c r="CR5" s="13" t="s">
        <v>92</v>
      </c>
      <c r="CS5" s="13" t="s">
        <v>93</v>
      </c>
      <c r="CT5" s="13" t="s">
        <v>94</v>
      </c>
      <c r="CU5" s="13" t="s">
        <v>95</v>
      </c>
      <c r="CV5" s="13" t="s">
        <v>96</v>
      </c>
      <c r="CW5" s="13" t="s">
        <v>97</v>
      </c>
      <c r="CX5" s="13" t="s">
        <v>98</v>
      </c>
      <c r="CY5" s="13" t="s">
        <v>99</v>
      </c>
      <c r="CZ5" s="13" t="s">
        <v>100</v>
      </c>
      <c r="DA5" s="13" t="s">
        <v>101</v>
      </c>
      <c r="DB5" s="13" t="s">
        <v>102</v>
      </c>
      <c r="DC5" s="13" t="s">
        <v>103</v>
      </c>
      <c r="DD5" s="13" t="s">
        <v>104</v>
      </c>
      <c r="DE5" s="13" t="s">
        <v>105</v>
      </c>
      <c r="DF5" s="13" t="s">
        <v>106</v>
      </c>
      <c r="DG5" s="13" t="s">
        <v>107</v>
      </c>
      <c r="DH5" s="13" t="s">
        <v>108</v>
      </c>
      <c r="DI5" s="13" t="s">
        <v>109</v>
      </c>
      <c r="DJ5" s="13" t="s">
        <v>110</v>
      </c>
      <c r="DK5" s="13" t="s">
        <v>111</v>
      </c>
      <c r="DL5" s="13" t="s">
        <v>112</v>
      </c>
      <c r="DM5" s="13" t="s">
        <v>113</v>
      </c>
      <c r="DN5" s="13" t="s">
        <v>114</v>
      </c>
      <c r="DO5" s="13" t="s">
        <v>115</v>
      </c>
      <c r="DP5" s="13" t="s">
        <v>116</v>
      </c>
      <c r="DQ5" s="13" t="s">
        <v>117</v>
      </c>
      <c r="DR5" s="13" t="s">
        <v>118</v>
      </c>
      <c r="DS5" s="13" t="s">
        <v>119</v>
      </c>
      <c r="DT5" s="13" t="s">
        <v>120</v>
      </c>
      <c r="DU5" s="13" t="s">
        <v>121</v>
      </c>
      <c r="DV5" s="13" t="s">
        <v>122</v>
      </c>
      <c r="DW5" s="13" t="s">
        <v>123</v>
      </c>
      <c r="DX5" s="13" t="s">
        <v>124</v>
      </c>
      <c r="DY5" s="13" t="s">
        <v>125</v>
      </c>
      <c r="DZ5" s="13" t="s">
        <v>126</v>
      </c>
      <c r="EA5" s="14" t="s">
        <v>127</v>
      </c>
    </row>
    <row r="6" spans="2:131" x14ac:dyDescent="0.4">
      <c r="B6" s="2" t="s">
        <v>266</v>
      </c>
      <c r="C6" s="3"/>
      <c r="D6" s="3">
        <v>1</v>
      </c>
      <c r="E6" s="3"/>
      <c r="F6" s="3"/>
      <c r="G6" s="3"/>
      <c r="H6" s="3"/>
      <c r="I6" s="3"/>
      <c r="J6" s="15">
        <v>1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4"/>
    </row>
    <row r="7" spans="2:131" x14ac:dyDescent="0.4">
      <c r="B7" s="2" t="s">
        <v>266</v>
      </c>
      <c r="C7" s="3"/>
      <c r="D7" s="3">
        <v>2</v>
      </c>
      <c r="E7" s="3"/>
      <c r="F7" s="3"/>
      <c r="G7" s="3"/>
      <c r="H7" s="3"/>
      <c r="I7" s="3"/>
      <c r="J7" s="15">
        <v>1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4"/>
    </row>
    <row r="8" spans="2:131" x14ac:dyDescent="0.4">
      <c r="B8" s="2" t="s">
        <v>264</v>
      </c>
      <c r="C8" s="3"/>
      <c r="D8" s="3">
        <v>1</v>
      </c>
      <c r="E8" s="3"/>
      <c r="F8" s="3"/>
      <c r="G8" s="3"/>
      <c r="H8" s="3"/>
      <c r="I8" s="3"/>
      <c r="J8" s="15">
        <v>1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4"/>
    </row>
    <row r="9" spans="2:131" x14ac:dyDescent="0.4">
      <c r="B9" s="2" t="s">
        <v>264</v>
      </c>
      <c r="C9" s="3"/>
      <c r="D9" s="3">
        <v>2</v>
      </c>
      <c r="E9" s="3"/>
      <c r="F9" s="3"/>
      <c r="G9" s="3"/>
      <c r="H9" s="3"/>
      <c r="I9" s="3"/>
      <c r="J9" s="15">
        <v>1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4"/>
    </row>
    <row r="10" spans="2:131" x14ac:dyDescent="0.4">
      <c r="B10" s="2" t="s">
        <v>267</v>
      </c>
      <c r="C10" s="3"/>
      <c r="D10" s="3">
        <v>0</v>
      </c>
      <c r="E10" s="3"/>
      <c r="F10" s="3"/>
      <c r="G10" s="3"/>
      <c r="H10" s="3"/>
      <c r="I10" s="3"/>
      <c r="J10" s="15">
        <v>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4"/>
    </row>
    <row r="11" spans="2:131" x14ac:dyDescent="0.4">
      <c r="B11" s="2" t="s">
        <v>263</v>
      </c>
      <c r="C11" s="3"/>
      <c r="D11" s="3">
        <v>1</v>
      </c>
      <c r="E11" s="3"/>
      <c r="F11" s="3"/>
      <c r="G11" s="3"/>
      <c r="H11" s="3"/>
      <c r="I11" s="3"/>
      <c r="J11" s="15">
        <v>1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4"/>
    </row>
    <row r="12" spans="2:131" x14ac:dyDescent="0.4">
      <c r="B12" s="2" t="s">
        <v>263</v>
      </c>
      <c r="C12" s="3"/>
      <c r="D12" s="3">
        <v>2</v>
      </c>
      <c r="E12" s="3"/>
      <c r="F12" s="3"/>
      <c r="G12" s="3"/>
      <c r="H12" s="3"/>
      <c r="I12" s="3"/>
      <c r="J12" s="15">
        <v>1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4"/>
    </row>
    <row r="13" spans="2:131" x14ac:dyDescent="0.4">
      <c r="B13" s="2" t="s">
        <v>268</v>
      </c>
      <c r="C13" s="3"/>
      <c r="D13" s="3">
        <v>1</v>
      </c>
      <c r="E13" s="3"/>
      <c r="F13" s="3"/>
      <c r="G13" s="3"/>
      <c r="H13" s="3"/>
      <c r="I13" s="3"/>
      <c r="J13" s="15">
        <v>1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4"/>
    </row>
    <row r="14" spans="2:131" x14ac:dyDescent="0.4">
      <c r="B14" s="2" t="s">
        <v>268</v>
      </c>
      <c r="C14" s="3"/>
      <c r="D14" s="3">
        <v>2</v>
      </c>
      <c r="E14" s="3"/>
      <c r="F14" s="3"/>
      <c r="G14" s="3"/>
      <c r="H14" s="3"/>
      <c r="I14" s="3"/>
      <c r="J14" s="15">
        <v>1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4"/>
    </row>
    <row r="15" spans="2:131" x14ac:dyDescent="0.4">
      <c r="B15" s="2" t="s">
        <v>269</v>
      </c>
      <c r="C15" s="3"/>
      <c r="D15" s="3">
        <v>1</v>
      </c>
      <c r="E15" s="3"/>
      <c r="F15" s="3"/>
      <c r="G15" s="3"/>
      <c r="H15" s="3"/>
      <c r="I15" s="3"/>
      <c r="J15" s="15">
        <v>1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4"/>
    </row>
    <row r="16" spans="2:131" x14ac:dyDescent="0.4">
      <c r="B16" s="2" t="s">
        <v>269</v>
      </c>
      <c r="C16" s="3"/>
      <c r="D16" s="3">
        <v>2</v>
      </c>
      <c r="E16" s="3"/>
      <c r="F16" s="3"/>
      <c r="G16" s="3"/>
      <c r="H16" s="3"/>
      <c r="I16" s="3"/>
      <c r="J16" s="15">
        <v>1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4"/>
    </row>
    <row r="17" spans="2:131" x14ac:dyDescent="0.4">
      <c r="B17" s="2" t="s">
        <v>270</v>
      </c>
      <c r="C17" s="3"/>
      <c r="D17" s="3">
        <v>1</v>
      </c>
      <c r="E17" s="3"/>
      <c r="F17" s="3"/>
      <c r="G17" s="3"/>
      <c r="H17" s="3"/>
      <c r="I17" s="3"/>
      <c r="J17" s="15">
        <v>1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4"/>
    </row>
    <row r="18" spans="2:131" x14ac:dyDescent="0.4">
      <c r="B18" s="2" t="s">
        <v>270</v>
      </c>
      <c r="C18" s="3"/>
      <c r="D18" s="3">
        <v>2</v>
      </c>
      <c r="E18" s="3"/>
      <c r="F18" s="3"/>
      <c r="G18" s="3"/>
      <c r="H18" s="3"/>
      <c r="I18" s="3"/>
      <c r="J18" s="15">
        <v>1</v>
      </c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4"/>
    </row>
    <row r="19" spans="2:131" x14ac:dyDescent="0.4">
      <c r="B19" s="2" t="s">
        <v>271</v>
      </c>
      <c r="C19" s="3"/>
      <c r="D19" s="3">
        <v>1</v>
      </c>
      <c r="E19" s="3"/>
      <c r="F19" s="3"/>
      <c r="G19" s="3"/>
      <c r="H19" s="3"/>
      <c r="I19" s="3"/>
      <c r="J19" s="15">
        <v>1</v>
      </c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4"/>
    </row>
    <row r="20" spans="2:131" x14ac:dyDescent="0.4">
      <c r="B20" s="2" t="s">
        <v>271</v>
      </c>
      <c r="C20" s="3"/>
      <c r="D20" s="3">
        <v>2</v>
      </c>
      <c r="E20" s="3"/>
      <c r="F20" s="3"/>
      <c r="G20" s="3"/>
      <c r="H20" s="3"/>
      <c r="I20" s="3"/>
      <c r="J20" s="15">
        <v>1</v>
      </c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4"/>
    </row>
    <row r="21" spans="2:131" x14ac:dyDescent="0.4">
      <c r="B21" s="2" t="s">
        <v>261</v>
      </c>
      <c r="C21" s="3"/>
      <c r="D21" s="3">
        <v>1</v>
      </c>
      <c r="E21" s="3"/>
      <c r="F21" s="3"/>
      <c r="G21" s="3"/>
      <c r="H21" s="3"/>
      <c r="I21" s="3"/>
      <c r="J21" s="15">
        <v>1</v>
      </c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4"/>
    </row>
    <row r="22" spans="2:131" x14ac:dyDescent="0.4">
      <c r="B22" s="2" t="s">
        <v>261</v>
      </c>
      <c r="C22" s="3"/>
      <c r="D22" s="3">
        <v>2</v>
      </c>
      <c r="E22" s="3"/>
      <c r="F22" s="3"/>
      <c r="G22" s="3"/>
      <c r="H22" s="3"/>
      <c r="I22" s="3"/>
      <c r="J22" s="15">
        <v>1</v>
      </c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4"/>
    </row>
    <row r="23" spans="2:131" x14ac:dyDescent="0.4">
      <c r="B23" s="2" t="s">
        <v>262</v>
      </c>
      <c r="C23" s="3"/>
      <c r="D23" s="3">
        <v>1</v>
      </c>
      <c r="E23" s="3"/>
      <c r="F23" s="3"/>
      <c r="G23" s="3"/>
      <c r="H23" s="3"/>
      <c r="I23" s="3"/>
      <c r="J23" s="15">
        <v>1</v>
      </c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4"/>
    </row>
    <row r="24" spans="2:131" x14ac:dyDescent="0.4">
      <c r="B24" s="2" t="s">
        <v>262</v>
      </c>
      <c r="C24" s="3"/>
      <c r="D24" s="3">
        <v>2</v>
      </c>
      <c r="E24" s="3"/>
      <c r="F24" s="3"/>
      <c r="G24" s="3"/>
      <c r="H24" s="3"/>
      <c r="I24" s="3"/>
      <c r="J24" s="15">
        <v>1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4"/>
    </row>
    <row r="25" spans="2:131" x14ac:dyDescent="0.4">
      <c r="B25" s="2" t="s">
        <v>265</v>
      </c>
      <c r="C25" s="3"/>
      <c r="D25" s="3">
        <v>1</v>
      </c>
      <c r="E25" s="3"/>
      <c r="F25" s="3"/>
      <c r="G25" s="3"/>
      <c r="H25" s="3"/>
      <c r="I25" s="3"/>
      <c r="J25" s="15">
        <v>1</v>
      </c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4"/>
    </row>
    <row r="26" spans="2:131" x14ac:dyDescent="0.4">
      <c r="B26" s="2" t="s">
        <v>265</v>
      </c>
      <c r="C26" s="3"/>
      <c r="D26" s="3">
        <v>2</v>
      </c>
      <c r="E26" s="3"/>
      <c r="F26" s="3"/>
      <c r="G26" s="3"/>
      <c r="H26" s="3"/>
      <c r="I26" s="3"/>
      <c r="J26" s="15">
        <v>1</v>
      </c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4"/>
    </row>
    <row r="27" spans="2:131" x14ac:dyDescent="0.4">
      <c r="B27" s="2" t="s">
        <v>129</v>
      </c>
      <c r="C27" s="3"/>
      <c r="D27" s="3">
        <v>1</v>
      </c>
      <c r="E27" s="3"/>
      <c r="F27" s="3"/>
      <c r="G27" s="3"/>
      <c r="H27" s="3"/>
      <c r="I27" s="3"/>
      <c r="J27" s="15">
        <v>1</v>
      </c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4"/>
    </row>
    <row r="28" spans="2:131" x14ac:dyDescent="0.4">
      <c r="B28" s="5" t="s">
        <v>129</v>
      </c>
      <c r="C28" s="6"/>
      <c r="D28" s="6">
        <v>2</v>
      </c>
      <c r="E28" s="6"/>
      <c r="F28" s="6"/>
      <c r="G28" s="6"/>
      <c r="H28" s="6"/>
      <c r="I28" s="6"/>
      <c r="J28" s="16">
        <v>1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7"/>
    </row>
  </sheetData>
  <phoneticPr fontId="1" type="noConversion"/>
  <pageMargins left="0.7" right="0.7" top="0.75" bottom="0.75" header="0.3" footer="0.3"/>
  <pageSetup paperSize="9" scale="5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F461F-5FCA-43EC-A4F5-ED7CEC712B26}">
  <sheetPr codeName="Sheet3">
    <pageSetUpPr fitToPage="1"/>
  </sheetPr>
  <dimension ref="A1:V32"/>
  <sheetViews>
    <sheetView showGridLines="0" view="pageBreakPreview" zoomScaleNormal="100" zoomScaleSheetLayoutView="100" workbookViewId="0">
      <pane xSplit="11" ySplit="5" topLeftCell="O6" activePane="bottomRight" state="frozen"/>
      <selection pane="topRight" activeCell="L1" sqref="L1"/>
      <selection pane="bottomLeft" activeCell="A6" sqref="A6"/>
      <selection pane="bottomRight" activeCell="T3" sqref="T3"/>
    </sheetView>
  </sheetViews>
  <sheetFormatPr defaultRowHeight="17.399999999999999" x14ac:dyDescent="0.4"/>
  <cols>
    <col min="1" max="2" width="9.796875" style="50" customWidth="1"/>
    <col min="3" max="3" width="23.69921875" style="50" customWidth="1"/>
    <col min="4" max="5" width="8.796875" style="50" hidden="1" customWidth="1"/>
    <col min="6" max="6" width="11.59765625" style="50" customWidth="1"/>
    <col min="7" max="7" width="10.796875" style="50" bestFit="1" customWidth="1"/>
    <col min="8" max="10" width="8.796875" style="50" hidden="1" customWidth="1"/>
    <col min="11" max="11" width="9.796875" style="50" customWidth="1"/>
    <col min="12" max="12" width="15.19921875" style="50" customWidth="1"/>
    <col min="13" max="13" width="26.09765625" style="50" bestFit="1" customWidth="1"/>
    <col min="14" max="14" width="11.59765625" style="50" customWidth="1"/>
    <col min="15" max="15" width="15.19921875" style="50" customWidth="1"/>
    <col min="16" max="16" width="13.3984375" style="50" customWidth="1"/>
    <col min="17" max="18" width="8.796875" style="50"/>
    <col min="19" max="19" width="9.796875" style="50" customWidth="1"/>
    <col min="20" max="20" width="15.19921875" style="50" customWidth="1"/>
    <col min="21" max="22" width="13.3984375" style="50" customWidth="1"/>
    <col min="23" max="16384" width="8.796875" style="50"/>
  </cols>
  <sheetData>
    <row r="1" spans="1:22" x14ac:dyDescent="0.4">
      <c r="A1" s="49">
        <v>1</v>
      </c>
      <c r="B1" s="49">
        <f>A1+1</f>
        <v>2</v>
      </c>
      <c r="C1" s="49">
        <f t="shared" ref="C1:V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  <c r="O1" s="49">
        <f t="shared" si="0"/>
        <v>15</v>
      </c>
      <c r="P1" s="49">
        <f t="shared" si="0"/>
        <v>16</v>
      </c>
      <c r="Q1" s="49">
        <f t="shared" si="0"/>
        <v>17</v>
      </c>
      <c r="R1" s="49">
        <f t="shared" si="0"/>
        <v>18</v>
      </c>
      <c r="S1" s="49">
        <f t="shared" si="0"/>
        <v>19</v>
      </c>
      <c r="T1" s="49">
        <f t="shared" si="0"/>
        <v>20</v>
      </c>
      <c r="U1" s="49">
        <f t="shared" si="0"/>
        <v>21</v>
      </c>
      <c r="V1" s="49">
        <f t="shared" si="0"/>
        <v>22</v>
      </c>
    </row>
    <row r="2" spans="1:22" x14ac:dyDescent="0.4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</row>
    <row r="3" spans="1:22" x14ac:dyDescent="0.4">
      <c r="A3" s="21" t="s">
        <v>180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x14ac:dyDescent="0.4">
      <c r="T4" s="50" t="s">
        <v>225</v>
      </c>
    </row>
    <row r="5" spans="1:22" x14ac:dyDescent="0.4">
      <c r="A5" s="51" t="s">
        <v>0</v>
      </c>
      <c r="B5" s="52" t="s">
        <v>150</v>
      </c>
      <c r="C5" s="52" t="s">
        <v>1</v>
      </c>
      <c r="D5" s="52" t="s">
        <v>2</v>
      </c>
      <c r="E5" s="52" t="s">
        <v>3</v>
      </c>
      <c r="F5" s="52" t="s">
        <v>7</v>
      </c>
      <c r="G5" s="53" t="s">
        <v>6</v>
      </c>
      <c r="H5" s="52" t="s">
        <v>151</v>
      </c>
      <c r="I5" s="52" t="s">
        <v>152</v>
      </c>
      <c r="J5" s="52" t="s">
        <v>153</v>
      </c>
      <c r="K5" s="56" t="s">
        <v>154</v>
      </c>
      <c r="L5" s="57" t="s">
        <v>155</v>
      </c>
      <c r="M5" s="57" t="s">
        <v>156</v>
      </c>
      <c r="N5" s="57" t="s">
        <v>196</v>
      </c>
      <c r="O5" s="58" t="s">
        <v>157</v>
      </c>
      <c r="P5" s="58" t="s">
        <v>158</v>
      </c>
      <c r="Q5" s="58" t="s">
        <v>159</v>
      </c>
      <c r="R5" s="58" t="s">
        <v>160</v>
      </c>
      <c r="S5" s="58" t="s">
        <v>161</v>
      </c>
      <c r="T5" s="59" t="s">
        <v>162</v>
      </c>
      <c r="U5" s="59" t="s">
        <v>272</v>
      </c>
      <c r="V5" s="59" t="s">
        <v>197</v>
      </c>
    </row>
    <row r="6" spans="1:22" x14ac:dyDescent="0.4">
      <c r="A6" s="54">
        <v>0</v>
      </c>
      <c r="B6" s="55" t="s">
        <v>148</v>
      </c>
      <c r="C6" s="55"/>
      <c r="D6" s="55"/>
      <c r="E6" s="55"/>
      <c r="F6" s="55">
        <v>0</v>
      </c>
      <c r="G6" s="55" t="str">
        <f>VALUE(TAB_Cov[[#This Row],[담보번호]])&amp;VALUE(TAB_Cov[[#This Row],[종]])&amp;VALUE(TAB_Cov[[#This Row],[형]])&amp;VALUE(TAB_Cov[[#This Row],[갱신구분자]])</f>
        <v>0000</v>
      </c>
      <c r="H6" s="55"/>
      <c r="I6" s="55"/>
      <c r="J6" s="55"/>
      <c r="K6" s="55">
        <v>0</v>
      </c>
      <c r="L6" s="55" t="s">
        <v>129</v>
      </c>
      <c r="M6" s="55"/>
      <c r="N6" s="55"/>
      <c r="O6" s="55"/>
      <c r="P6" s="55"/>
      <c r="Q6" s="55"/>
      <c r="R6" s="55"/>
      <c r="S6" s="55"/>
      <c r="T6" s="55"/>
      <c r="U6" s="55"/>
      <c r="V6" s="55"/>
    </row>
    <row r="7" spans="1:22" x14ac:dyDescent="0.4">
      <c r="A7" s="54">
        <v>0</v>
      </c>
      <c r="B7" s="55" t="s">
        <v>148</v>
      </c>
      <c r="C7" s="55"/>
      <c r="D7" s="55"/>
      <c r="E7" s="55"/>
      <c r="F7" s="55">
        <v>0</v>
      </c>
      <c r="G7" s="55" t="str">
        <f>VALUE(TAB_Cov[[#This Row],[담보번호]])&amp;VALUE(TAB_Cov[[#This Row],[종]])&amp;VALUE(TAB_Cov[[#This Row],[형]])&amp;VALUE(TAB_Cov[[#This Row],[갱신구분자]])</f>
        <v>0000</v>
      </c>
      <c r="H7" s="55"/>
      <c r="I7" s="55"/>
      <c r="J7" s="55"/>
      <c r="K7" s="55">
        <v>1</v>
      </c>
      <c r="L7" s="55" t="s">
        <v>129</v>
      </c>
      <c r="M7" s="55"/>
      <c r="N7" s="55"/>
      <c r="O7" s="55" t="s">
        <v>129</v>
      </c>
      <c r="P7" s="55"/>
      <c r="Q7" s="55">
        <v>1</v>
      </c>
      <c r="R7" s="55"/>
      <c r="S7" s="55"/>
      <c r="T7" s="55"/>
      <c r="U7" s="55"/>
      <c r="V7" s="55"/>
    </row>
    <row r="8" spans="1:22" x14ac:dyDescent="0.4">
      <c r="A8" s="54">
        <v>0</v>
      </c>
      <c r="B8" s="55" t="s">
        <v>148</v>
      </c>
      <c r="C8" s="55"/>
      <c r="D8" s="55"/>
      <c r="E8" s="55"/>
      <c r="F8" s="55">
        <v>0</v>
      </c>
      <c r="G8" s="55" t="str">
        <f>VALUE(TAB_Cov[[#This Row],[담보번호]])&amp;VALUE(TAB_Cov[[#This Row],[종]])&amp;VALUE(TAB_Cov[[#This Row],[형]])&amp;VALUE(TAB_Cov[[#This Row],[갱신구분자]])</f>
        <v>0000</v>
      </c>
      <c r="H8" s="55"/>
      <c r="I8" s="55"/>
      <c r="J8" s="55"/>
      <c r="K8" s="55">
        <v>99</v>
      </c>
      <c r="L8" s="55"/>
      <c r="M8" s="55"/>
      <c r="N8" s="55"/>
      <c r="O8" s="55"/>
      <c r="P8" s="55"/>
      <c r="Q8" s="55"/>
      <c r="R8" s="55"/>
      <c r="S8" s="55"/>
      <c r="T8" s="55" t="s">
        <v>129</v>
      </c>
      <c r="U8" s="55"/>
      <c r="V8" s="55"/>
    </row>
    <row r="9" spans="1:22" x14ac:dyDescent="0.4">
      <c r="A9" s="54">
        <v>1</v>
      </c>
      <c r="B9" s="55" t="s">
        <v>133</v>
      </c>
      <c r="C9" s="55"/>
      <c r="D9" s="55"/>
      <c r="E9" s="55"/>
      <c r="F9" s="55">
        <v>2</v>
      </c>
      <c r="G9" s="55" t="str">
        <f>VALUE(TAB_Cov[[#This Row],[담보번호]])&amp;VALUE(TAB_Cov[[#This Row],[종]])&amp;VALUE(TAB_Cov[[#This Row],[형]])&amp;VALUE(TAB_Cov[[#This Row],[갱신구분자]])</f>
        <v>1002</v>
      </c>
      <c r="H9" s="55"/>
      <c r="I9" s="55"/>
      <c r="J9" s="55"/>
      <c r="K9" s="55">
        <v>0</v>
      </c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</row>
    <row r="10" spans="1:22" x14ac:dyDescent="0.4">
      <c r="A10" s="54">
        <v>1</v>
      </c>
      <c r="B10" s="55" t="s">
        <v>133</v>
      </c>
      <c r="C10" s="55"/>
      <c r="D10" s="55"/>
      <c r="E10" s="55"/>
      <c r="F10" s="55">
        <v>2</v>
      </c>
      <c r="G10" s="55" t="str">
        <f>VALUE(TAB_Cov[[#This Row],[담보번호]])&amp;VALUE(TAB_Cov[[#This Row],[종]])&amp;VALUE(TAB_Cov[[#This Row],[형]])&amp;VALUE(TAB_Cov[[#This Row],[갱신구분자]])</f>
        <v>1002</v>
      </c>
      <c r="H10" s="55"/>
      <c r="I10" s="55"/>
      <c r="J10" s="55"/>
      <c r="K10" s="55">
        <v>1</v>
      </c>
      <c r="L10" s="55"/>
      <c r="M10" s="55"/>
      <c r="N10" s="55"/>
      <c r="O10" s="55" t="s">
        <v>266</v>
      </c>
      <c r="P10" s="55"/>
      <c r="Q10" s="55">
        <v>1</v>
      </c>
      <c r="R10" s="55"/>
      <c r="S10" s="55"/>
      <c r="T10" s="55"/>
      <c r="U10" s="55"/>
      <c r="V10" s="55"/>
    </row>
    <row r="11" spans="1:22" x14ac:dyDescent="0.4">
      <c r="A11" s="54">
        <v>1</v>
      </c>
      <c r="B11" s="55" t="s">
        <v>133</v>
      </c>
      <c r="C11" s="55"/>
      <c r="D11" s="55"/>
      <c r="E11" s="55"/>
      <c r="F11" s="55">
        <v>2</v>
      </c>
      <c r="G11" s="55" t="str">
        <f>VALUE(TAB_Cov[[#This Row],[담보번호]])&amp;VALUE(TAB_Cov[[#This Row],[종]])&amp;VALUE(TAB_Cov[[#This Row],[형]])&amp;VALUE(TAB_Cov[[#This Row],[갱신구분자]])</f>
        <v>1002</v>
      </c>
      <c r="H11" s="55"/>
      <c r="I11" s="55"/>
      <c r="J11" s="55"/>
      <c r="K11" s="55">
        <v>99</v>
      </c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</row>
    <row r="12" spans="1:22" x14ac:dyDescent="0.4">
      <c r="A12" s="54">
        <v>2</v>
      </c>
      <c r="B12" s="55" t="s">
        <v>135</v>
      </c>
      <c r="C12" s="55"/>
      <c r="D12" s="55"/>
      <c r="E12" s="55"/>
      <c r="F12" s="55">
        <v>2</v>
      </c>
      <c r="G12" s="55" t="str">
        <f>VALUE(TAB_Cov[[#This Row],[담보번호]])&amp;VALUE(TAB_Cov[[#This Row],[종]])&amp;VALUE(TAB_Cov[[#This Row],[형]])&amp;VALUE(TAB_Cov[[#This Row],[갱신구분자]])</f>
        <v>2002</v>
      </c>
      <c r="H12" s="55"/>
      <c r="I12" s="55"/>
      <c r="J12" s="55"/>
      <c r="K12" s="55">
        <v>0</v>
      </c>
      <c r="L12" s="55" t="s">
        <v>264</v>
      </c>
      <c r="M12" s="55"/>
      <c r="N12" s="55"/>
      <c r="O12" s="55"/>
      <c r="P12" s="55"/>
      <c r="Q12" s="55"/>
      <c r="R12" s="55"/>
      <c r="S12" s="55"/>
      <c r="T12" s="55"/>
      <c r="U12" s="55"/>
      <c r="V12" s="55"/>
    </row>
    <row r="13" spans="1:22" x14ac:dyDescent="0.4">
      <c r="A13" s="54">
        <v>2</v>
      </c>
      <c r="B13" s="55" t="s">
        <v>135</v>
      </c>
      <c r="C13" s="55"/>
      <c r="D13" s="55"/>
      <c r="E13" s="55"/>
      <c r="F13" s="55">
        <v>2</v>
      </c>
      <c r="G13" s="55" t="str">
        <f>VALUE(TAB_Cov[[#This Row],[담보번호]])&amp;VALUE(TAB_Cov[[#This Row],[종]])&amp;VALUE(TAB_Cov[[#This Row],[형]])&amp;VALUE(TAB_Cov[[#This Row],[갱신구분자]])</f>
        <v>2002</v>
      </c>
      <c r="H13" s="55"/>
      <c r="I13" s="55"/>
      <c r="J13" s="55"/>
      <c r="K13" s="55">
        <v>1</v>
      </c>
      <c r="L13" s="55" t="s">
        <v>264</v>
      </c>
      <c r="M13" s="55"/>
      <c r="N13" s="55"/>
      <c r="O13" s="55" t="s">
        <v>264</v>
      </c>
      <c r="P13" s="55"/>
      <c r="Q13" s="55">
        <v>1</v>
      </c>
      <c r="R13" s="55"/>
      <c r="S13" s="55"/>
      <c r="T13" s="55"/>
      <c r="U13" s="55"/>
      <c r="V13" s="55"/>
    </row>
    <row r="14" spans="1:22" x14ac:dyDescent="0.4">
      <c r="A14" s="54">
        <v>2</v>
      </c>
      <c r="B14" s="55" t="s">
        <v>135</v>
      </c>
      <c r="C14" s="55"/>
      <c r="D14" s="55"/>
      <c r="E14" s="55"/>
      <c r="F14" s="55">
        <v>2</v>
      </c>
      <c r="G14" s="55" t="str">
        <f>VALUE(TAB_Cov[[#This Row],[담보번호]])&amp;VALUE(TAB_Cov[[#This Row],[종]])&amp;VALUE(TAB_Cov[[#This Row],[형]])&amp;VALUE(TAB_Cov[[#This Row],[갱신구분자]])</f>
        <v>2002</v>
      </c>
      <c r="H14" s="55"/>
      <c r="I14" s="55"/>
      <c r="J14" s="55"/>
      <c r="K14" s="55">
        <v>99</v>
      </c>
      <c r="L14" s="55"/>
      <c r="M14" s="55"/>
      <c r="N14" s="55"/>
      <c r="O14" s="55"/>
      <c r="P14" s="55"/>
      <c r="Q14" s="55"/>
      <c r="R14" s="55"/>
      <c r="S14" s="55"/>
      <c r="T14" s="55" t="s">
        <v>264</v>
      </c>
      <c r="U14" s="55"/>
      <c r="V14" s="55"/>
    </row>
    <row r="15" spans="1:22" x14ac:dyDescent="0.4">
      <c r="A15" s="54">
        <v>3</v>
      </c>
      <c r="B15" s="55" t="s">
        <v>137</v>
      </c>
      <c r="C15" s="55"/>
      <c r="D15" s="55"/>
      <c r="E15" s="55"/>
      <c r="F15" s="55">
        <v>2</v>
      </c>
      <c r="G15" s="55" t="str">
        <f>VALUE(TAB_Cov[[#This Row],[담보번호]])&amp;VALUE(TAB_Cov[[#This Row],[종]])&amp;VALUE(TAB_Cov[[#This Row],[형]])&amp;VALUE(TAB_Cov[[#This Row],[갱신구분자]])</f>
        <v>3002</v>
      </c>
      <c r="H15" s="55"/>
      <c r="I15" s="55"/>
      <c r="J15" s="55"/>
      <c r="K15" s="55">
        <v>0</v>
      </c>
      <c r="L15" s="55" t="s">
        <v>163</v>
      </c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spans="1:22" x14ac:dyDescent="0.4">
      <c r="A16" s="54">
        <v>3</v>
      </c>
      <c r="B16" s="55" t="s">
        <v>137</v>
      </c>
      <c r="C16" s="55"/>
      <c r="D16" s="55"/>
      <c r="E16" s="55"/>
      <c r="F16" s="55">
        <v>2</v>
      </c>
      <c r="G16" s="55" t="str">
        <f>VALUE(TAB_Cov[[#This Row],[담보번호]])&amp;VALUE(TAB_Cov[[#This Row],[종]])&amp;VALUE(TAB_Cov[[#This Row],[형]])&amp;VALUE(TAB_Cov[[#This Row],[갱신구분자]])</f>
        <v>3002</v>
      </c>
      <c r="H16" s="55"/>
      <c r="I16" s="55"/>
      <c r="J16" s="55"/>
      <c r="K16" s="55">
        <v>1</v>
      </c>
      <c r="L16" s="55" t="s">
        <v>163</v>
      </c>
      <c r="M16" s="55"/>
      <c r="N16" s="55"/>
      <c r="O16" s="55" t="s">
        <v>163</v>
      </c>
      <c r="P16" s="55"/>
      <c r="Q16" s="55">
        <v>1</v>
      </c>
      <c r="R16" s="55"/>
      <c r="S16" s="55"/>
      <c r="T16" s="55"/>
      <c r="U16" s="55"/>
      <c r="V16" s="55"/>
    </row>
    <row r="17" spans="1:22" x14ac:dyDescent="0.4">
      <c r="A17" s="54">
        <v>3</v>
      </c>
      <c r="B17" s="55" t="s">
        <v>137</v>
      </c>
      <c r="C17" s="55"/>
      <c r="D17" s="55"/>
      <c r="E17" s="55"/>
      <c r="F17" s="55">
        <v>2</v>
      </c>
      <c r="G17" s="55" t="str">
        <f>VALUE(TAB_Cov[[#This Row],[담보번호]])&amp;VALUE(TAB_Cov[[#This Row],[종]])&amp;VALUE(TAB_Cov[[#This Row],[형]])&amp;VALUE(TAB_Cov[[#This Row],[갱신구분자]])</f>
        <v>3002</v>
      </c>
      <c r="H17" s="55"/>
      <c r="I17" s="55"/>
      <c r="J17" s="55"/>
      <c r="K17" s="55">
        <v>99</v>
      </c>
      <c r="L17" s="55"/>
      <c r="M17" s="55"/>
      <c r="N17" s="55"/>
      <c r="O17" s="55"/>
      <c r="P17" s="55"/>
      <c r="Q17" s="55"/>
      <c r="R17" s="55"/>
      <c r="S17" s="55"/>
      <c r="T17" s="55" t="s">
        <v>163</v>
      </c>
      <c r="U17" s="55"/>
      <c r="V17" s="55"/>
    </row>
    <row r="18" spans="1:22" x14ac:dyDescent="0.4">
      <c r="A18" s="54">
        <v>4</v>
      </c>
      <c r="B18" s="55" t="s">
        <v>139</v>
      </c>
      <c r="C18" s="55"/>
      <c r="D18" s="55"/>
      <c r="E18" s="55"/>
      <c r="F18" s="55">
        <v>2</v>
      </c>
      <c r="G18" s="55" t="str">
        <f>VALUE(TAB_Cov[[#This Row],[담보번호]])&amp;VALUE(TAB_Cov[[#This Row],[종]])&amp;VALUE(TAB_Cov[[#This Row],[형]])&amp;VALUE(TAB_Cov[[#This Row],[갱신구분자]])</f>
        <v>4002</v>
      </c>
      <c r="H18" s="55"/>
      <c r="I18" s="55"/>
      <c r="J18" s="55"/>
      <c r="K18" s="55">
        <v>0</v>
      </c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</row>
    <row r="19" spans="1:22" x14ac:dyDescent="0.4">
      <c r="A19" s="54">
        <v>4</v>
      </c>
      <c r="B19" s="55" t="s">
        <v>139</v>
      </c>
      <c r="C19" s="55"/>
      <c r="D19" s="55"/>
      <c r="E19" s="55"/>
      <c r="F19" s="55">
        <v>2</v>
      </c>
      <c r="G19" s="55" t="str">
        <f>VALUE(TAB_Cov[[#This Row],[담보번호]])&amp;VALUE(TAB_Cov[[#This Row],[종]])&amp;VALUE(TAB_Cov[[#This Row],[형]])&amp;VALUE(TAB_Cov[[#This Row],[갱신구분자]])</f>
        <v>4002</v>
      </c>
      <c r="H19" s="55"/>
      <c r="I19" s="55"/>
      <c r="J19" s="55"/>
      <c r="K19" s="55">
        <v>1</v>
      </c>
      <c r="L19" s="55"/>
      <c r="M19" s="55"/>
      <c r="N19" s="55"/>
      <c r="O19" s="55" t="s">
        <v>141</v>
      </c>
      <c r="P19" s="55"/>
      <c r="Q19" s="55">
        <v>1</v>
      </c>
      <c r="R19" s="55"/>
      <c r="S19" s="55"/>
      <c r="T19" s="55"/>
      <c r="U19" s="55"/>
      <c r="V19" s="55"/>
    </row>
    <row r="20" spans="1:22" x14ac:dyDescent="0.4">
      <c r="A20" s="54">
        <v>4</v>
      </c>
      <c r="B20" s="55" t="s">
        <v>139</v>
      </c>
      <c r="C20" s="55"/>
      <c r="D20" s="55"/>
      <c r="E20" s="55"/>
      <c r="F20" s="55">
        <v>2</v>
      </c>
      <c r="G20" s="55" t="str">
        <f>VALUE(TAB_Cov[[#This Row],[담보번호]])&amp;VALUE(TAB_Cov[[#This Row],[종]])&amp;VALUE(TAB_Cov[[#This Row],[형]])&amp;VALUE(TAB_Cov[[#This Row],[갱신구분자]])</f>
        <v>4002</v>
      </c>
      <c r="H20" s="55"/>
      <c r="I20" s="55"/>
      <c r="J20" s="55"/>
      <c r="K20" s="55">
        <v>99</v>
      </c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</row>
    <row r="21" spans="1:22" x14ac:dyDescent="0.4">
      <c r="A21" s="54">
        <v>5</v>
      </c>
      <c r="B21" s="55" t="s">
        <v>142</v>
      </c>
      <c r="C21" s="55"/>
      <c r="D21" s="55"/>
      <c r="E21" s="55"/>
      <c r="F21" s="55">
        <v>2</v>
      </c>
      <c r="G21" s="55" t="str">
        <f>VALUE(TAB_Cov[[#This Row],[담보번호]])&amp;VALUE(TAB_Cov[[#This Row],[종]])&amp;VALUE(TAB_Cov[[#This Row],[형]])&amp;VALUE(TAB_Cov[[#This Row],[갱신구분자]])</f>
        <v>5002</v>
      </c>
      <c r="H21" s="55"/>
      <c r="I21" s="55"/>
      <c r="J21" s="55"/>
      <c r="K21" s="55">
        <v>0</v>
      </c>
      <c r="L21" s="55" t="s">
        <v>267</v>
      </c>
      <c r="M21" s="55"/>
      <c r="N21" s="55"/>
      <c r="O21" s="55"/>
      <c r="P21" s="55"/>
      <c r="Q21" s="55"/>
      <c r="R21" s="55"/>
      <c r="S21" s="55"/>
      <c r="T21" s="55"/>
      <c r="U21" s="55"/>
      <c r="V21" s="55"/>
    </row>
    <row r="22" spans="1:22" x14ac:dyDescent="0.4">
      <c r="A22" s="54">
        <v>5</v>
      </c>
      <c r="B22" s="55" t="s">
        <v>142</v>
      </c>
      <c r="C22" s="55"/>
      <c r="D22" s="55"/>
      <c r="E22" s="55"/>
      <c r="F22" s="55">
        <v>2</v>
      </c>
      <c r="G22" s="55" t="str">
        <f>VALUE(TAB_Cov[[#This Row],[담보번호]])&amp;VALUE(TAB_Cov[[#This Row],[종]])&amp;VALUE(TAB_Cov[[#This Row],[형]])&amp;VALUE(TAB_Cov[[#This Row],[갱신구분자]])</f>
        <v>5002</v>
      </c>
      <c r="H22" s="55"/>
      <c r="I22" s="55"/>
      <c r="J22" s="55"/>
      <c r="K22" s="55">
        <v>1</v>
      </c>
      <c r="L22" s="55" t="s">
        <v>267</v>
      </c>
      <c r="M22" s="55"/>
      <c r="N22" s="55"/>
      <c r="O22" s="55" t="s">
        <v>267</v>
      </c>
      <c r="P22" s="55"/>
      <c r="Q22" s="55">
        <v>1</v>
      </c>
      <c r="R22" s="55"/>
      <c r="S22" s="55"/>
      <c r="T22" s="55"/>
      <c r="U22" s="55"/>
      <c r="V22" s="55"/>
    </row>
    <row r="23" spans="1:22" x14ac:dyDescent="0.4">
      <c r="A23" s="54">
        <v>5</v>
      </c>
      <c r="B23" s="55" t="s">
        <v>142</v>
      </c>
      <c r="C23" s="55"/>
      <c r="D23" s="55"/>
      <c r="E23" s="55"/>
      <c r="F23" s="55">
        <v>2</v>
      </c>
      <c r="G23" s="55" t="str">
        <f>VALUE(TAB_Cov[[#This Row],[담보번호]])&amp;VALUE(TAB_Cov[[#This Row],[종]])&amp;VALUE(TAB_Cov[[#This Row],[형]])&amp;VALUE(TAB_Cov[[#This Row],[갱신구분자]])</f>
        <v>5002</v>
      </c>
      <c r="H23" s="55"/>
      <c r="I23" s="55"/>
      <c r="J23" s="55"/>
      <c r="K23" s="55">
        <v>99</v>
      </c>
      <c r="L23" s="55"/>
      <c r="M23" s="55"/>
      <c r="N23" s="55"/>
      <c r="O23" s="55"/>
      <c r="P23" s="55"/>
      <c r="Q23" s="55"/>
      <c r="R23" s="55"/>
      <c r="S23" s="55"/>
      <c r="T23" s="55" t="s">
        <v>267</v>
      </c>
      <c r="U23" s="55"/>
      <c r="V23" s="55"/>
    </row>
    <row r="24" spans="1:22" x14ac:dyDescent="0.4">
      <c r="A24" s="54">
        <v>6</v>
      </c>
      <c r="B24" s="55" t="s">
        <v>144</v>
      </c>
      <c r="C24" s="55"/>
      <c r="D24" s="55"/>
      <c r="E24" s="55"/>
      <c r="F24" s="55">
        <v>2</v>
      </c>
      <c r="G24" s="55" t="str">
        <f>VALUE(TAB_Cov[[#This Row],[담보번호]])&amp;VALUE(TAB_Cov[[#This Row],[종]])&amp;VALUE(TAB_Cov[[#This Row],[형]])&amp;VALUE(TAB_Cov[[#This Row],[갱신구분자]])</f>
        <v>6002</v>
      </c>
      <c r="H24" s="55"/>
      <c r="I24" s="55"/>
      <c r="J24" s="55"/>
      <c r="K24" s="55">
        <v>0</v>
      </c>
      <c r="L24" s="55" t="s">
        <v>263</v>
      </c>
      <c r="M24" s="55"/>
      <c r="N24" s="55"/>
      <c r="O24" s="55"/>
      <c r="P24" s="55"/>
      <c r="Q24" s="55"/>
      <c r="R24" s="55"/>
      <c r="S24" s="55"/>
      <c r="T24" s="55"/>
      <c r="U24" s="55"/>
      <c r="V24" s="55"/>
    </row>
    <row r="25" spans="1:22" x14ac:dyDescent="0.4">
      <c r="A25" s="54">
        <v>6</v>
      </c>
      <c r="B25" s="55" t="s">
        <v>144</v>
      </c>
      <c r="C25" s="55"/>
      <c r="D25" s="55"/>
      <c r="E25" s="55"/>
      <c r="F25" s="55">
        <v>2</v>
      </c>
      <c r="G25" s="55" t="str">
        <f>VALUE(TAB_Cov[[#This Row],[담보번호]])&amp;VALUE(TAB_Cov[[#This Row],[종]])&amp;VALUE(TAB_Cov[[#This Row],[형]])&amp;VALUE(TAB_Cov[[#This Row],[갱신구분자]])</f>
        <v>6002</v>
      </c>
      <c r="H25" s="55"/>
      <c r="I25" s="55"/>
      <c r="J25" s="55"/>
      <c r="K25" s="55">
        <v>1</v>
      </c>
      <c r="L25" s="55" t="s">
        <v>263</v>
      </c>
      <c r="M25" s="55"/>
      <c r="N25" s="55"/>
      <c r="O25" s="55" t="s">
        <v>263</v>
      </c>
      <c r="P25" s="55"/>
      <c r="Q25" s="55">
        <v>1</v>
      </c>
      <c r="R25" s="55"/>
      <c r="S25" s="55"/>
      <c r="T25" s="55"/>
      <c r="U25" s="55"/>
      <c r="V25" s="55"/>
    </row>
    <row r="26" spans="1:22" x14ac:dyDescent="0.4">
      <c r="A26" s="54">
        <v>6</v>
      </c>
      <c r="B26" s="55" t="s">
        <v>144</v>
      </c>
      <c r="C26" s="55"/>
      <c r="D26" s="55"/>
      <c r="E26" s="55"/>
      <c r="F26" s="55">
        <v>2</v>
      </c>
      <c r="G26" s="55" t="str">
        <f>VALUE(TAB_Cov[[#This Row],[담보번호]])&amp;VALUE(TAB_Cov[[#This Row],[종]])&amp;VALUE(TAB_Cov[[#This Row],[형]])&amp;VALUE(TAB_Cov[[#This Row],[갱신구분자]])</f>
        <v>6002</v>
      </c>
      <c r="H26" s="55"/>
      <c r="I26" s="55"/>
      <c r="J26" s="55"/>
      <c r="K26" s="55">
        <v>99</v>
      </c>
      <c r="L26" s="55"/>
      <c r="M26" s="55"/>
      <c r="N26" s="55"/>
      <c r="O26" s="55"/>
      <c r="P26" s="55"/>
      <c r="Q26" s="55"/>
      <c r="R26" s="55"/>
      <c r="S26" s="55"/>
      <c r="T26" s="55" t="s">
        <v>263</v>
      </c>
      <c r="U26" s="55"/>
      <c r="V26" s="55"/>
    </row>
    <row r="27" spans="1:22" x14ac:dyDescent="0.4">
      <c r="A27" s="54">
        <v>7</v>
      </c>
      <c r="B27" s="55" t="s">
        <v>146</v>
      </c>
      <c r="C27" s="55"/>
      <c r="D27" s="55"/>
      <c r="E27" s="55"/>
      <c r="F27" s="55">
        <v>2</v>
      </c>
      <c r="G27" s="55" t="str">
        <f>VALUE(TAB_Cov[[#This Row],[담보번호]])&amp;VALUE(TAB_Cov[[#This Row],[종]])&amp;VALUE(TAB_Cov[[#This Row],[형]])&amp;VALUE(TAB_Cov[[#This Row],[갱신구분자]])</f>
        <v>7002</v>
      </c>
      <c r="H27" s="55"/>
      <c r="I27" s="55"/>
      <c r="J27" s="55"/>
      <c r="K27" s="55">
        <v>0</v>
      </c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</row>
    <row r="28" spans="1:22" x14ac:dyDescent="0.4">
      <c r="A28" s="54">
        <v>7</v>
      </c>
      <c r="B28" s="55" t="s">
        <v>146</v>
      </c>
      <c r="C28" s="55"/>
      <c r="D28" s="55"/>
      <c r="E28" s="55"/>
      <c r="F28" s="55">
        <v>2</v>
      </c>
      <c r="G28" s="55" t="str">
        <f>VALUE(TAB_Cov[[#This Row],[담보번호]])&amp;VALUE(TAB_Cov[[#This Row],[종]])&amp;VALUE(TAB_Cov[[#This Row],[형]])&amp;VALUE(TAB_Cov[[#This Row],[갱신구분자]])</f>
        <v>7002</v>
      </c>
      <c r="H28" s="55"/>
      <c r="I28" s="55"/>
      <c r="J28" s="55"/>
      <c r="K28" s="55">
        <v>1</v>
      </c>
      <c r="L28" s="55" t="s">
        <v>269</v>
      </c>
      <c r="M28" s="55"/>
      <c r="N28" s="55"/>
      <c r="O28" s="55" t="s">
        <v>269</v>
      </c>
      <c r="P28" s="55"/>
      <c r="Q28" s="55">
        <v>1</v>
      </c>
      <c r="R28" s="55"/>
      <c r="S28" s="55"/>
      <c r="T28" s="55"/>
      <c r="U28" s="55"/>
      <c r="V28" s="55"/>
    </row>
    <row r="29" spans="1:22" x14ac:dyDescent="0.4">
      <c r="A29" s="54">
        <v>7</v>
      </c>
      <c r="B29" s="55" t="s">
        <v>146</v>
      </c>
      <c r="C29" s="55"/>
      <c r="D29" s="55"/>
      <c r="E29" s="55"/>
      <c r="F29" s="55">
        <v>2</v>
      </c>
      <c r="G29" s="55" t="str">
        <f>VALUE(TAB_Cov[[#This Row],[담보번호]])&amp;VALUE(TAB_Cov[[#This Row],[종]])&amp;VALUE(TAB_Cov[[#This Row],[형]])&amp;VALUE(TAB_Cov[[#This Row],[갱신구분자]])</f>
        <v>7002</v>
      </c>
      <c r="H29" s="55"/>
      <c r="I29" s="55"/>
      <c r="J29" s="55"/>
      <c r="K29" s="55">
        <v>2</v>
      </c>
      <c r="L29" s="55" t="s">
        <v>268</v>
      </c>
      <c r="M29" s="55"/>
      <c r="N29" s="55"/>
      <c r="O29" s="55" t="s">
        <v>268</v>
      </c>
      <c r="P29" s="55"/>
      <c r="Q29" s="55">
        <v>1</v>
      </c>
      <c r="R29" s="55"/>
      <c r="S29" s="55"/>
      <c r="T29" s="55"/>
      <c r="U29" s="55"/>
      <c r="V29" s="55"/>
    </row>
    <row r="30" spans="1:22" x14ac:dyDescent="0.4">
      <c r="A30" s="54">
        <v>7</v>
      </c>
      <c r="B30" s="55" t="s">
        <v>146</v>
      </c>
      <c r="C30" s="55"/>
      <c r="D30" s="55"/>
      <c r="E30" s="55"/>
      <c r="F30" s="55">
        <v>2</v>
      </c>
      <c r="G30" s="55" t="str">
        <f>VALUE(TAB_Cov[[#This Row],[담보번호]])&amp;VALUE(TAB_Cov[[#This Row],[종]])&amp;VALUE(TAB_Cov[[#This Row],[형]])&amp;VALUE(TAB_Cov[[#This Row],[갱신구분자]])</f>
        <v>7002</v>
      </c>
      <c r="H30" s="55"/>
      <c r="I30" s="55"/>
      <c r="J30" s="55"/>
      <c r="K30" s="55">
        <v>3</v>
      </c>
      <c r="L30" s="55" t="s">
        <v>270</v>
      </c>
      <c r="M30" s="55"/>
      <c r="N30" s="55"/>
      <c r="O30" s="55" t="s">
        <v>270</v>
      </c>
      <c r="P30" s="55"/>
      <c r="Q30" s="55">
        <v>1</v>
      </c>
      <c r="R30" s="55"/>
      <c r="S30" s="55"/>
      <c r="T30" s="55"/>
      <c r="U30" s="55"/>
      <c r="V30" s="55"/>
    </row>
    <row r="31" spans="1:22" x14ac:dyDescent="0.4">
      <c r="A31" s="54">
        <v>7</v>
      </c>
      <c r="B31" s="55" t="s">
        <v>146</v>
      </c>
      <c r="C31" s="55"/>
      <c r="D31" s="55"/>
      <c r="E31" s="55"/>
      <c r="F31" s="55">
        <v>2</v>
      </c>
      <c r="G31" s="55" t="str">
        <f>VALUE(TAB_Cov[[#This Row],[담보번호]])&amp;VALUE(TAB_Cov[[#This Row],[종]])&amp;VALUE(TAB_Cov[[#This Row],[형]])&amp;VALUE(TAB_Cov[[#This Row],[갱신구분자]])</f>
        <v>7002</v>
      </c>
      <c r="H31" s="55"/>
      <c r="I31" s="55"/>
      <c r="J31" s="55"/>
      <c r="K31" s="55">
        <v>4</v>
      </c>
      <c r="L31" s="55" t="s">
        <v>271</v>
      </c>
      <c r="M31" s="55"/>
      <c r="N31" s="55"/>
      <c r="O31" s="55" t="s">
        <v>271</v>
      </c>
      <c r="P31" s="55"/>
      <c r="Q31" s="55">
        <v>1</v>
      </c>
      <c r="R31" s="55"/>
      <c r="S31" s="55"/>
      <c r="T31" s="55"/>
      <c r="U31" s="55"/>
      <c r="V31" s="55"/>
    </row>
    <row r="32" spans="1:22" x14ac:dyDescent="0.4">
      <c r="A32" s="54">
        <v>7</v>
      </c>
      <c r="B32" s="55" t="s">
        <v>146</v>
      </c>
      <c r="C32" s="55"/>
      <c r="D32" s="55"/>
      <c r="E32" s="55"/>
      <c r="F32" s="55">
        <v>2</v>
      </c>
      <c r="G32" s="55" t="str">
        <f>VALUE(TAB_Cov[[#This Row],[담보번호]])&amp;VALUE(TAB_Cov[[#This Row],[종]])&amp;VALUE(TAB_Cov[[#This Row],[형]])&amp;VALUE(TAB_Cov[[#This Row],[갱신구분자]])</f>
        <v>7002</v>
      </c>
      <c r="H32" s="55"/>
      <c r="I32" s="55"/>
      <c r="J32" s="55"/>
      <c r="K32" s="55">
        <v>99</v>
      </c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</row>
  </sheetData>
  <phoneticPr fontId="1" type="noConversion"/>
  <conditionalFormatting sqref="L9:N32">
    <cfRule type="expression" dxfId="115" priority="6">
      <formula>$K9 = 99</formula>
    </cfRule>
  </conditionalFormatting>
  <conditionalFormatting sqref="O9:S32">
    <cfRule type="expression" dxfId="114" priority="5">
      <formula>OR($K9 = 0, $K9&gt;10)</formula>
    </cfRule>
  </conditionalFormatting>
  <conditionalFormatting sqref="T9:V32">
    <cfRule type="expression" dxfId="113" priority="4">
      <formula>$K9&lt;&gt;99</formula>
    </cfRule>
  </conditionalFormatting>
  <conditionalFormatting sqref="L6:N8">
    <cfRule type="expression" dxfId="112" priority="3">
      <formula>$K6 = 99</formula>
    </cfRule>
  </conditionalFormatting>
  <conditionalFormatting sqref="O6:S8">
    <cfRule type="expression" dxfId="111" priority="2">
      <formula>OR($K6 = 0, $K6&gt;10)</formula>
    </cfRule>
  </conditionalFormatting>
  <conditionalFormatting sqref="T6:V8">
    <cfRule type="expression" dxfId="110" priority="1">
      <formula>$K6&lt;&gt;99</formula>
    </cfRule>
  </conditionalFormatting>
  <pageMargins left="0.7" right="0.7" top="0.75" bottom="0.75" header="0.3" footer="0.3"/>
  <pageSetup paperSize="9" scale="34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8A065-2C51-436A-8005-7FB6C7EDE642}">
  <sheetPr codeName="Sheet4">
    <pageSetUpPr fitToPage="1"/>
  </sheetPr>
  <dimension ref="B1:V7"/>
  <sheetViews>
    <sheetView showGridLines="0" tabSelected="1" view="pageBreakPreview" zoomScale="115" zoomScaleNormal="100" zoomScaleSheetLayoutView="11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7" sqref="A7"/>
    </sheetView>
  </sheetViews>
  <sheetFormatPr defaultRowHeight="17.399999999999999" x14ac:dyDescent="0.4"/>
  <cols>
    <col min="1" max="1" width="1.296875" customWidth="1"/>
    <col min="2" max="2" width="16.3984375" bestFit="1" customWidth="1"/>
    <col min="3" max="3" width="16.3984375" customWidth="1"/>
    <col min="4" max="4" width="12.59765625" bestFit="1" customWidth="1"/>
    <col min="5" max="6" width="11.59765625" customWidth="1"/>
    <col min="7" max="7" width="11.59765625" hidden="1" customWidth="1"/>
    <col min="8" max="8" width="10" bestFit="1" customWidth="1"/>
    <col min="9" max="9" width="17.3984375" bestFit="1" customWidth="1"/>
    <col min="10" max="10" width="8.59765625" bestFit="1" customWidth="1"/>
    <col min="11" max="11" width="10" bestFit="1" customWidth="1"/>
    <col min="12" max="12" width="19.3984375" bestFit="1" customWidth="1"/>
  </cols>
  <sheetData>
    <row r="1" spans="2:22" x14ac:dyDescent="0.4">
      <c r="B1" s="20">
        <v>1</v>
      </c>
      <c r="C1" s="20">
        <f>B1+1</f>
        <v>2</v>
      </c>
      <c r="D1" s="20">
        <f t="shared" ref="D1:V1" si="0">C1+1</f>
        <v>3</v>
      </c>
      <c r="E1" s="20">
        <f t="shared" si="0"/>
        <v>4</v>
      </c>
      <c r="F1" s="20">
        <f t="shared" si="0"/>
        <v>5</v>
      </c>
      <c r="G1" s="20">
        <f t="shared" si="0"/>
        <v>6</v>
      </c>
      <c r="H1" s="20">
        <f t="shared" si="0"/>
        <v>7</v>
      </c>
      <c r="I1" s="20">
        <f t="shared" si="0"/>
        <v>8</v>
      </c>
      <c r="J1" s="20">
        <f t="shared" si="0"/>
        <v>9</v>
      </c>
      <c r="K1" s="20">
        <f t="shared" si="0"/>
        <v>10</v>
      </c>
      <c r="L1" s="20">
        <f t="shared" si="0"/>
        <v>11</v>
      </c>
      <c r="M1" s="20">
        <f t="shared" si="0"/>
        <v>12</v>
      </c>
      <c r="N1" s="20">
        <f t="shared" si="0"/>
        <v>13</v>
      </c>
      <c r="O1" s="20">
        <f t="shared" si="0"/>
        <v>14</v>
      </c>
      <c r="P1" s="20">
        <f t="shared" si="0"/>
        <v>15</v>
      </c>
      <c r="Q1" s="20">
        <f t="shared" si="0"/>
        <v>16</v>
      </c>
      <c r="R1" s="20">
        <f t="shared" si="0"/>
        <v>17</v>
      </c>
      <c r="S1" s="20">
        <f t="shared" si="0"/>
        <v>18</v>
      </c>
      <c r="T1" s="20">
        <f t="shared" si="0"/>
        <v>19</v>
      </c>
      <c r="U1" s="20">
        <f t="shared" si="0"/>
        <v>20</v>
      </c>
      <c r="V1" s="20">
        <f t="shared" si="0"/>
        <v>21</v>
      </c>
    </row>
    <row r="3" spans="2:22" x14ac:dyDescent="0.4">
      <c r="B3" s="1" t="s">
        <v>181</v>
      </c>
      <c r="C3" s="1"/>
    </row>
    <row r="4" spans="2:22" ht="34.799999999999997" x14ac:dyDescent="0.4">
      <c r="D4" s="8" t="s">
        <v>193</v>
      </c>
    </row>
    <row r="5" spans="2:22" x14ac:dyDescent="0.4">
      <c r="B5" s="27" t="s">
        <v>165</v>
      </c>
      <c r="C5" s="26" t="s">
        <v>194</v>
      </c>
      <c r="D5" s="26" t="s">
        <v>166</v>
      </c>
      <c r="E5" s="26" t="s">
        <v>167</v>
      </c>
      <c r="F5" s="26" t="s">
        <v>178</v>
      </c>
      <c r="G5" s="26" t="s">
        <v>192</v>
      </c>
      <c r="H5" s="18" t="s">
        <v>188</v>
      </c>
      <c r="I5" s="18" t="s">
        <v>189</v>
      </c>
      <c r="J5" s="18" t="s">
        <v>168</v>
      </c>
      <c r="K5" s="22" t="s">
        <v>183</v>
      </c>
      <c r="L5" s="22" t="s">
        <v>182</v>
      </c>
      <c r="M5" s="22" t="s">
        <v>169</v>
      </c>
      <c r="N5" s="19" t="s">
        <v>184</v>
      </c>
      <c r="O5" s="19" t="s">
        <v>185</v>
      </c>
      <c r="P5" s="19" t="s">
        <v>170</v>
      </c>
      <c r="Q5" s="23" t="s">
        <v>186</v>
      </c>
      <c r="R5" s="23" t="s">
        <v>187</v>
      </c>
      <c r="S5" s="23" t="s">
        <v>171</v>
      </c>
      <c r="T5" s="24" t="s">
        <v>190</v>
      </c>
      <c r="U5" s="24" t="s">
        <v>191</v>
      </c>
      <c r="V5" s="25" t="s">
        <v>172</v>
      </c>
    </row>
    <row r="6" spans="2:22" x14ac:dyDescent="0.4">
      <c r="B6" s="2" t="s">
        <v>195</v>
      </c>
      <c r="C6" s="2"/>
      <c r="D6" s="3">
        <v>1</v>
      </c>
      <c r="E6" s="3">
        <f>COUNTA(TAB_Comb[[#This Row],[Qx(1)]],TAB_Comb[[#This Row],[Qx(2)]],TAB_Comb[[#This Row],[Qx(3)]],TAB_Comb[[#This Row],[Qx(4)]],TAB_Comb[[#This Row],[Qx(5)]])</f>
        <v>2</v>
      </c>
      <c r="F6" s="3">
        <v>1</v>
      </c>
      <c r="G6" s="3"/>
      <c r="H6" s="3" t="s">
        <v>261</v>
      </c>
      <c r="I6" s="3"/>
      <c r="J6" s="3"/>
      <c r="K6" s="3" t="s">
        <v>262</v>
      </c>
      <c r="L6" s="3"/>
      <c r="M6" s="3"/>
      <c r="N6" s="3"/>
      <c r="O6" s="3" t="s">
        <v>128</v>
      </c>
      <c r="P6" s="3"/>
      <c r="Q6" s="3"/>
      <c r="R6" s="3"/>
      <c r="S6" s="3"/>
      <c r="T6" s="3"/>
      <c r="U6" s="3"/>
      <c r="V6" s="4"/>
    </row>
    <row r="7" spans="2:22" x14ac:dyDescent="0.4">
      <c r="B7" s="2" t="s">
        <v>163</v>
      </c>
      <c r="C7" s="2"/>
      <c r="D7" s="3">
        <v>2</v>
      </c>
      <c r="E7" s="3">
        <f>COUNTA(TAB_Comb[[#This Row],[Qx(1)]],TAB_Comb[[#This Row],[Qx(2)]],TAB_Comb[[#This Row],[Qx(3)]],TAB_Comb[[#This Row],[Qx(4)]],TAB_Comb[[#This Row],[Qx(5)]])</f>
        <v>3</v>
      </c>
      <c r="F7" s="3">
        <v>1</v>
      </c>
      <c r="G7" s="3"/>
      <c r="H7" s="3" t="s">
        <v>263</v>
      </c>
      <c r="I7" s="3"/>
      <c r="J7" s="3">
        <v>3</v>
      </c>
      <c r="K7" s="3" t="s">
        <v>264</v>
      </c>
      <c r="L7" s="3"/>
      <c r="M7" s="3"/>
      <c r="N7" s="3" t="s">
        <v>265</v>
      </c>
      <c r="O7" s="3"/>
      <c r="P7" s="3"/>
      <c r="Q7" s="3"/>
      <c r="R7" s="3"/>
      <c r="S7" s="3"/>
      <c r="T7" s="3"/>
      <c r="U7" s="3"/>
      <c r="V7" s="4"/>
    </row>
  </sheetData>
  <phoneticPr fontId="1" type="noConversion"/>
  <pageMargins left="0.7" right="0.7" top="0.75" bottom="0.75" header="0.3" footer="0.3"/>
  <pageSetup paperSize="9" scale="34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11DC4-1CFF-496D-BDC8-27E0C11FE2AF}">
  <sheetPr codeName="Sheet5"/>
  <dimension ref="A1:V40"/>
  <sheetViews>
    <sheetView workbookViewId="0">
      <pane xSplit="10" ySplit="5" topLeftCell="K6" activePane="bottomRight" state="frozen"/>
      <selection pane="topRight" activeCell="K1" sqref="K1"/>
      <selection pane="bottomLeft" activeCell="A6" sqref="A6"/>
      <selection pane="bottomRight" activeCell="A6" sqref="A6"/>
    </sheetView>
  </sheetViews>
  <sheetFormatPr defaultRowHeight="17.399999999999999" x14ac:dyDescent="0.4"/>
  <cols>
    <col min="1" max="2" width="9.796875" customWidth="1"/>
    <col min="3" max="3" width="41" hidden="1" customWidth="1"/>
    <col min="4" max="5" width="0" hidden="1" customWidth="1"/>
    <col min="6" max="6" width="10.59765625" customWidth="1"/>
    <col min="7" max="7" width="10.796875" bestFit="1" customWidth="1"/>
    <col min="8" max="8" width="9.3984375" hidden="1" customWidth="1"/>
    <col min="9" max="9" width="8.3984375" hidden="1" customWidth="1"/>
    <col min="10" max="10" width="13.796875" hidden="1" customWidth="1"/>
    <col min="11" max="11" width="12.59765625" bestFit="1" customWidth="1"/>
    <col min="12" max="12" width="9.796875" customWidth="1"/>
  </cols>
  <sheetData>
    <row r="1" spans="1:22" x14ac:dyDescent="0.4">
      <c r="A1" s="20">
        <v>1</v>
      </c>
      <c r="B1" s="20">
        <f>A1+1</f>
        <v>2</v>
      </c>
      <c r="C1" s="20">
        <f t="shared" ref="C1:V1" si="0">B1+1</f>
        <v>3</v>
      </c>
      <c r="D1" s="20">
        <f t="shared" si="0"/>
        <v>4</v>
      </c>
      <c r="E1" s="20">
        <f t="shared" si="0"/>
        <v>5</v>
      </c>
      <c r="F1" s="20">
        <f t="shared" si="0"/>
        <v>6</v>
      </c>
      <c r="G1" s="20">
        <f t="shared" si="0"/>
        <v>7</v>
      </c>
      <c r="H1" s="20">
        <f t="shared" si="0"/>
        <v>8</v>
      </c>
      <c r="I1" s="20">
        <f t="shared" si="0"/>
        <v>9</v>
      </c>
      <c r="J1" s="20">
        <f t="shared" si="0"/>
        <v>10</v>
      </c>
      <c r="K1" s="20">
        <f t="shared" si="0"/>
        <v>11</v>
      </c>
      <c r="L1" s="20">
        <f t="shared" si="0"/>
        <v>12</v>
      </c>
      <c r="M1" s="20">
        <f t="shared" si="0"/>
        <v>13</v>
      </c>
      <c r="N1" s="20">
        <f t="shared" si="0"/>
        <v>14</v>
      </c>
      <c r="O1" s="20">
        <f t="shared" si="0"/>
        <v>15</v>
      </c>
      <c r="P1" s="20">
        <f t="shared" si="0"/>
        <v>16</v>
      </c>
      <c r="Q1" s="20">
        <f t="shared" si="0"/>
        <v>17</v>
      </c>
      <c r="R1" s="20">
        <f t="shared" si="0"/>
        <v>18</v>
      </c>
      <c r="S1" s="20">
        <f t="shared" si="0"/>
        <v>19</v>
      </c>
      <c r="T1" s="20">
        <f t="shared" si="0"/>
        <v>20</v>
      </c>
      <c r="U1" s="20">
        <f t="shared" si="0"/>
        <v>21</v>
      </c>
      <c r="V1" s="20">
        <f t="shared" si="0"/>
        <v>22</v>
      </c>
    </row>
    <row r="3" spans="1:22" x14ac:dyDescent="0.4">
      <c r="A3" s="28" t="s">
        <v>198</v>
      </c>
      <c r="B3" s="28"/>
    </row>
    <row r="5" spans="1:22" x14ac:dyDescent="0.4">
      <c r="A5" s="29" t="s">
        <v>211</v>
      </c>
      <c r="B5" s="39" t="s">
        <v>150</v>
      </c>
      <c r="C5" s="39" t="s">
        <v>1</v>
      </c>
      <c r="D5" s="39" t="s">
        <v>2</v>
      </c>
      <c r="E5" s="39" t="s">
        <v>3</v>
      </c>
      <c r="F5" s="39" t="s">
        <v>7</v>
      </c>
      <c r="G5" s="40" t="s">
        <v>6</v>
      </c>
      <c r="H5" s="31" t="s">
        <v>151</v>
      </c>
      <c r="I5" s="30" t="s">
        <v>212</v>
      </c>
      <c r="J5" s="31" t="s">
        <v>213</v>
      </c>
      <c r="K5" s="32" t="s">
        <v>199</v>
      </c>
      <c r="L5" s="33" t="s">
        <v>200</v>
      </c>
      <c r="M5" s="34" t="s">
        <v>201</v>
      </c>
      <c r="N5" s="34" t="s">
        <v>202</v>
      </c>
      <c r="O5" s="34" t="s">
        <v>203</v>
      </c>
      <c r="P5" s="34" t="s">
        <v>204</v>
      </c>
      <c r="Q5" s="35" t="s">
        <v>205</v>
      </c>
      <c r="R5" s="35" t="s">
        <v>206</v>
      </c>
      <c r="S5" s="35" t="s">
        <v>207</v>
      </c>
      <c r="T5" s="36" t="s">
        <v>208</v>
      </c>
      <c r="U5" s="37" t="s">
        <v>209</v>
      </c>
      <c r="V5" s="38" t="s">
        <v>210</v>
      </c>
    </row>
    <row r="6" spans="1:22" x14ac:dyDescent="0.4">
      <c r="A6" s="2">
        <v>1</v>
      </c>
      <c r="B6" s="2" t="s">
        <v>133</v>
      </c>
      <c r="C6" s="3" t="s">
        <v>134</v>
      </c>
      <c r="D6" s="3"/>
      <c r="E6" s="3"/>
      <c r="F6" s="3">
        <v>2</v>
      </c>
      <c r="G6" s="3" t="str">
        <f>VALUE(Tab_Expense[[#This Row],[담보번호]])&amp;VALUE(Tab_Expense[[#This Row],[종]])&amp;VALUE(Tab_Expense[[#This Row],[형]])&amp;VALUE(Tab_Expense[[#This Row],[갱신구분자]])</f>
        <v>1002</v>
      </c>
      <c r="H6" s="3"/>
      <c r="I6" s="3"/>
      <c r="J6" s="3"/>
      <c r="K6" s="41">
        <v>1000000</v>
      </c>
      <c r="L6" s="3">
        <v>1</v>
      </c>
      <c r="M6" s="3"/>
      <c r="N6" s="3"/>
      <c r="O6" s="3"/>
      <c r="P6" s="3"/>
      <c r="Q6" s="3"/>
      <c r="R6" s="3"/>
      <c r="S6" s="3"/>
      <c r="T6" s="3"/>
      <c r="U6" s="3"/>
      <c r="V6" s="4"/>
    </row>
    <row r="7" spans="1:22" x14ac:dyDescent="0.4">
      <c r="A7" s="2">
        <v>1</v>
      </c>
      <c r="B7" s="2" t="s">
        <v>133</v>
      </c>
      <c r="C7" s="3" t="s">
        <v>134</v>
      </c>
      <c r="D7" s="3"/>
      <c r="E7" s="3"/>
      <c r="F7" s="3">
        <v>2</v>
      </c>
      <c r="G7" s="3" t="str">
        <f>VALUE(Tab_Expense[[#This Row],[담보번호]])&amp;VALUE(Tab_Expense[[#This Row],[종]])&amp;VALUE(Tab_Expense[[#This Row],[형]])&amp;VALUE(Tab_Expense[[#This Row],[갱신구분자]])</f>
        <v>1002</v>
      </c>
      <c r="H7" s="3"/>
      <c r="I7" s="3"/>
      <c r="J7" s="3"/>
      <c r="K7" s="41">
        <v>1000000</v>
      </c>
      <c r="L7" s="3">
        <v>2</v>
      </c>
      <c r="M7" s="3"/>
      <c r="N7" s="3"/>
      <c r="O7" s="3"/>
      <c r="P7" s="3"/>
      <c r="Q7" s="3"/>
      <c r="R7" s="3"/>
      <c r="S7" s="3"/>
      <c r="T7" s="3"/>
      <c r="U7" s="3"/>
      <c r="V7" s="4"/>
    </row>
    <row r="8" spans="1:22" x14ac:dyDescent="0.4">
      <c r="A8" s="2">
        <v>1</v>
      </c>
      <c r="B8" s="2" t="s">
        <v>133</v>
      </c>
      <c r="C8" s="3" t="s">
        <v>134</v>
      </c>
      <c r="D8" s="3"/>
      <c r="E8" s="3"/>
      <c r="F8" s="3">
        <v>2</v>
      </c>
      <c r="G8" s="3" t="str">
        <f>VALUE(Tab_Expense[[#This Row],[담보번호]])&amp;VALUE(Tab_Expense[[#This Row],[종]])&amp;VALUE(Tab_Expense[[#This Row],[형]])&amp;VALUE(Tab_Expense[[#This Row],[갱신구분자]])</f>
        <v>1002</v>
      </c>
      <c r="H8" s="3"/>
      <c r="I8" s="3"/>
      <c r="J8" s="3"/>
      <c r="K8" s="41">
        <v>1000000</v>
      </c>
      <c r="L8" s="3">
        <v>3</v>
      </c>
      <c r="M8" s="3"/>
      <c r="N8" s="3"/>
      <c r="O8" s="3"/>
      <c r="P8" s="3"/>
      <c r="Q8" s="3"/>
      <c r="R8" s="3"/>
      <c r="S8" s="3"/>
      <c r="T8" s="3"/>
      <c r="U8" s="3"/>
      <c r="V8" s="4"/>
    </row>
    <row r="9" spans="1:22" x14ac:dyDescent="0.4">
      <c r="A9" s="2">
        <v>1</v>
      </c>
      <c r="B9" s="2" t="s">
        <v>133</v>
      </c>
      <c r="C9" s="3" t="s">
        <v>134</v>
      </c>
      <c r="D9" s="3"/>
      <c r="E9" s="3"/>
      <c r="F9" s="3">
        <v>2</v>
      </c>
      <c r="G9" s="3" t="str">
        <f>VALUE(Tab_Expense[[#This Row],[담보번호]])&amp;VALUE(Tab_Expense[[#This Row],[종]])&amp;VALUE(Tab_Expense[[#This Row],[형]])&amp;VALUE(Tab_Expense[[#This Row],[갱신구분자]])</f>
        <v>1002</v>
      </c>
      <c r="H9" s="3"/>
      <c r="I9" s="3"/>
      <c r="J9" s="3"/>
      <c r="K9" s="41">
        <v>1000000</v>
      </c>
      <c r="L9" s="3">
        <v>4</v>
      </c>
      <c r="M9" s="3"/>
      <c r="N9" s="3"/>
      <c r="O9" s="3"/>
      <c r="P9" s="3"/>
      <c r="Q9" s="3"/>
      <c r="R9" s="3"/>
      <c r="S9" s="3"/>
      <c r="T9" s="3"/>
      <c r="U9" s="3"/>
      <c r="V9" s="4"/>
    </row>
    <row r="10" spans="1:22" x14ac:dyDescent="0.4">
      <c r="A10" s="2">
        <v>1</v>
      </c>
      <c r="B10" s="2" t="s">
        <v>133</v>
      </c>
      <c r="C10" s="3" t="s">
        <v>134</v>
      </c>
      <c r="D10" s="3"/>
      <c r="E10" s="3"/>
      <c r="F10" s="3">
        <v>2</v>
      </c>
      <c r="G10" s="3" t="str">
        <f>VALUE(Tab_Expense[[#This Row],[담보번호]])&amp;VALUE(Tab_Expense[[#This Row],[종]])&amp;VALUE(Tab_Expense[[#This Row],[형]])&amp;VALUE(Tab_Expense[[#This Row],[갱신구분자]])</f>
        <v>1002</v>
      </c>
      <c r="H10" s="3"/>
      <c r="I10" s="3"/>
      <c r="J10" s="3"/>
      <c r="K10" s="41">
        <v>1000000</v>
      </c>
      <c r="L10" s="3">
        <v>5</v>
      </c>
      <c r="M10" s="3"/>
      <c r="N10" s="3"/>
      <c r="O10" s="3"/>
      <c r="P10" s="3"/>
      <c r="Q10" s="3"/>
      <c r="R10" s="3"/>
      <c r="S10" s="3"/>
      <c r="T10" s="3"/>
      <c r="U10" s="3"/>
      <c r="V10" s="4"/>
    </row>
    <row r="11" spans="1:22" x14ac:dyDescent="0.4">
      <c r="A11" s="2">
        <v>2</v>
      </c>
      <c r="B11" s="2" t="s">
        <v>135</v>
      </c>
      <c r="C11" s="3" t="s">
        <v>136</v>
      </c>
      <c r="D11" s="3"/>
      <c r="E11" s="3"/>
      <c r="F11" s="3">
        <v>2</v>
      </c>
      <c r="G11" s="3" t="str">
        <f>VALUE(Tab_Expense[[#This Row],[담보번호]])&amp;VALUE(Tab_Expense[[#This Row],[종]])&amp;VALUE(Tab_Expense[[#This Row],[형]])&amp;VALUE(Tab_Expense[[#This Row],[갱신구분자]])</f>
        <v>2002</v>
      </c>
      <c r="H11" s="3"/>
      <c r="I11" s="3"/>
      <c r="J11" s="3"/>
      <c r="K11" s="41">
        <v>1000000</v>
      </c>
      <c r="L11" s="3">
        <v>1</v>
      </c>
      <c r="M11" s="3"/>
      <c r="N11" s="3"/>
      <c r="O11" s="3"/>
      <c r="P11" s="3"/>
      <c r="Q11" s="3"/>
      <c r="R11" s="3"/>
      <c r="S11" s="3"/>
      <c r="T11" s="3"/>
      <c r="U11" s="3"/>
      <c r="V11" s="4"/>
    </row>
    <row r="12" spans="1:22" x14ac:dyDescent="0.4">
      <c r="A12" s="2">
        <v>2</v>
      </c>
      <c r="B12" s="2" t="s">
        <v>135</v>
      </c>
      <c r="C12" s="3" t="s">
        <v>136</v>
      </c>
      <c r="D12" s="3"/>
      <c r="E12" s="3"/>
      <c r="F12" s="3">
        <v>2</v>
      </c>
      <c r="G12" s="3" t="str">
        <f>VALUE(Tab_Expense[[#This Row],[담보번호]])&amp;VALUE(Tab_Expense[[#This Row],[종]])&amp;VALUE(Tab_Expense[[#This Row],[형]])&amp;VALUE(Tab_Expense[[#This Row],[갱신구분자]])</f>
        <v>2002</v>
      </c>
      <c r="H12" s="3"/>
      <c r="I12" s="3"/>
      <c r="J12" s="3"/>
      <c r="K12" s="41">
        <v>1000000</v>
      </c>
      <c r="L12" s="3">
        <v>2</v>
      </c>
      <c r="M12" s="3"/>
      <c r="N12" s="3"/>
      <c r="O12" s="3"/>
      <c r="P12" s="3"/>
      <c r="Q12" s="3"/>
      <c r="R12" s="3"/>
      <c r="S12" s="3"/>
      <c r="T12" s="3"/>
      <c r="U12" s="3"/>
      <c r="V12" s="4"/>
    </row>
    <row r="13" spans="1:22" x14ac:dyDescent="0.4">
      <c r="A13" s="2">
        <v>2</v>
      </c>
      <c r="B13" s="2" t="s">
        <v>135</v>
      </c>
      <c r="C13" s="3" t="s">
        <v>136</v>
      </c>
      <c r="D13" s="3"/>
      <c r="E13" s="3"/>
      <c r="F13" s="3">
        <v>2</v>
      </c>
      <c r="G13" s="3" t="str">
        <f>VALUE(Tab_Expense[[#This Row],[담보번호]])&amp;VALUE(Tab_Expense[[#This Row],[종]])&amp;VALUE(Tab_Expense[[#This Row],[형]])&amp;VALUE(Tab_Expense[[#This Row],[갱신구분자]])</f>
        <v>2002</v>
      </c>
      <c r="H13" s="3"/>
      <c r="I13" s="3"/>
      <c r="J13" s="3"/>
      <c r="K13" s="41">
        <v>1000000</v>
      </c>
      <c r="L13" s="3">
        <v>3</v>
      </c>
      <c r="M13" s="3"/>
      <c r="N13" s="3"/>
      <c r="O13" s="3"/>
      <c r="P13" s="3"/>
      <c r="Q13" s="3"/>
      <c r="R13" s="3"/>
      <c r="S13" s="3"/>
      <c r="T13" s="3"/>
      <c r="U13" s="3"/>
      <c r="V13" s="4"/>
    </row>
    <row r="14" spans="1:22" x14ac:dyDescent="0.4">
      <c r="A14" s="2">
        <v>2</v>
      </c>
      <c r="B14" s="2" t="s">
        <v>135</v>
      </c>
      <c r="C14" s="3" t="s">
        <v>136</v>
      </c>
      <c r="D14" s="3"/>
      <c r="E14" s="3"/>
      <c r="F14" s="3">
        <v>2</v>
      </c>
      <c r="G14" s="3" t="str">
        <f>VALUE(Tab_Expense[[#This Row],[담보번호]])&amp;VALUE(Tab_Expense[[#This Row],[종]])&amp;VALUE(Tab_Expense[[#This Row],[형]])&amp;VALUE(Tab_Expense[[#This Row],[갱신구분자]])</f>
        <v>2002</v>
      </c>
      <c r="H14" s="3"/>
      <c r="I14" s="3"/>
      <c r="J14" s="3"/>
      <c r="K14" s="41">
        <v>1000000</v>
      </c>
      <c r="L14" s="3">
        <v>4</v>
      </c>
      <c r="M14" s="3"/>
      <c r="N14" s="3"/>
      <c r="O14" s="3"/>
      <c r="P14" s="3"/>
      <c r="Q14" s="3"/>
      <c r="R14" s="3"/>
      <c r="S14" s="3"/>
      <c r="T14" s="3"/>
      <c r="U14" s="3"/>
      <c r="V14" s="4"/>
    </row>
    <row r="15" spans="1:22" x14ac:dyDescent="0.4">
      <c r="A15" s="2">
        <v>2</v>
      </c>
      <c r="B15" s="2" t="s">
        <v>135</v>
      </c>
      <c r="C15" s="3" t="s">
        <v>136</v>
      </c>
      <c r="D15" s="3"/>
      <c r="E15" s="3"/>
      <c r="F15" s="3">
        <v>2</v>
      </c>
      <c r="G15" s="3" t="str">
        <f>VALUE(Tab_Expense[[#This Row],[담보번호]])&amp;VALUE(Tab_Expense[[#This Row],[종]])&amp;VALUE(Tab_Expense[[#This Row],[형]])&amp;VALUE(Tab_Expense[[#This Row],[갱신구분자]])</f>
        <v>2002</v>
      </c>
      <c r="H15" s="3"/>
      <c r="I15" s="3"/>
      <c r="J15" s="3"/>
      <c r="K15" s="41">
        <v>1000000</v>
      </c>
      <c r="L15" s="3">
        <v>5</v>
      </c>
      <c r="M15" s="3"/>
      <c r="N15" s="3"/>
      <c r="O15" s="3"/>
      <c r="P15" s="3"/>
      <c r="Q15" s="3"/>
      <c r="R15" s="3"/>
      <c r="S15" s="3"/>
      <c r="T15" s="3"/>
      <c r="U15" s="3"/>
      <c r="V15" s="4"/>
    </row>
    <row r="16" spans="1:22" x14ac:dyDescent="0.4">
      <c r="A16" s="2">
        <v>3</v>
      </c>
      <c r="B16" s="2" t="s">
        <v>137</v>
      </c>
      <c r="C16" s="3" t="s">
        <v>138</v>
      </c>
      <c r="D16" s="3"/>
      <c r="E16" s="3"/>
      <c r="F16" s="3">
        <v>2</v>
      </c>
      <c r="G16" s="3" t="str">
        <f>VALUE(Tab_Expense[[#This Row],[담보번호]])&amp;VALUE(Tab_Expense[[#This Row],[종]])&amp;VALUE(Tab_Expense[[#This Row],[형]])&amp;VALUE(Tab_Expense[[#This Row],[갱신구분자]])</f>
        <v>3002</v>
      </c>
      <c r="H16" s="3"/>
      <c r="I16" s="3"/>
      <c r="J16" s="3"/>
      <c r="K16" s="41">
        <v>1000000</v>
      </c>
      <c r="L16" s="3">
        <v>1</v>
      </c>
      <c r="M16" s="3"/>
      <c r="N16" s="3"/>
      <c r="O16" s="3"/>
      <c r="P16" s="3"/>
      <c r="Q16" s="3"/>
      <c r="R16" s="3"/>
      <c r="S16" s="3"/>
      <c r="T16" s="3"/>
      <c r="U16" s="3"/>
      <c r="V16" s="4"/>
    </row>
    <row r="17" spans="1:22" x14ac:dyDescent="0.4">
      <c r="A17" s="2">
        <v>3</v>
      </c>
      <c r="B17" s="2" t="s">
        <v>137</v>
      </c>
      <c r="C17" s="3" t="s">
        <v>138</v>
      </c>
      <c r="D17" s="3"/>
      <c r="E17" s="3"/>
      <c r="F17" s="3">
        <v>2</v>
      </c>
      <c r="G17" s="3" t="str">
        <f>VALUE(Tab_Expense[[#This Row],[담보번호]])&amp;VALUE(Tab_Expense[[#This Row],[종]])&amp;VALUE(Tab_Expense[[#This Row],[형]])&amp;VALUE(Tab_Expense[[#This Row],[갱신구분자]])</f>
        <v>3002</v>
      </c>
      <c r="H17" s="3"/>
      <c r="I17" s="3"/>
      <c r="J17" s="3"/>
      <c r="K17" s="41">
        <v>1000000</v>
      </c>
      <c r="L17" s="3">
        <v>2</v>
      </c>
      <c r="M17" s="3"/>
      <c r="N17" s="3"/>
      <c r="O17" s="3"/>
      <c r="P17" s="3"/>
      <c r="Q17" s="3"/>
      <c r="R17" s="3"/>
      <c r="S17" s="3"/>
      <c r="T17" s="3"/>
      <c r="U17" s="3"/>
      <c r="V17" s="4"/>
    </row>
    <row r="18" spans="1:22" x14ac:dyDescent="0.4">
      <c r="A18" s="2">
        <v>3</v>
      </c>
      <c r="B18" s="2" t="s">
        <v>137</v>
      </c>
      <c r="C18" s="3" t="s">
        <v>138</v>
      </c>
      <c r="D18" s="3"/>
      <c r="E18" s="3"/>
      <c r="F18" s="3">
        <v>2</v>
      </c>
      <c r="G18" s="3" t="str">
        <f>VALUE(Tab_Expense[[#This Row],[담보번호]])&amp;VALUE(Tab_Expense[[#This Row],[종]])&amp;VALUE(Tab_Expense[[#This Row],[형]])&amp;VALUE(Tab_Expense[[#This Row],[갱신구분자]])</f>
        <v>3002</v>
      </c>
      <c r="H18" s="3"/>
      <c r="I18" s="3"/>
      <c r="J18" s="3"/>
      <c r="K18" s="41">
        <v>1000000</v>
      </c>
      <c r="L18" s="3">
        <v>3</v>
      </c>
      <c r="M18" s="3"/>
      <c r="N18" s="3"/>
      <c r="O18" s="3"/>
      <c r="P18" s="3"/>
      <c r="Q18" s="3"/>
      <c r="R18" s="3"/>
      <c r="S18" s="3"/>
      <c r="T18" s="3"/>
      <c r="U18" s="3"/>
      <c r="V18" s="4"/>
    </row>
    <row r="19" spans="1:22" x14ac:dyDescent="0.4">
      <c r="A19" s="2">
        <v>3</v>
      </c>
      <c r="B19" s="2" t="s">
        <v>137</v>
      </c>
      <c r="C19" s="3" t="s">
        <v>138</v>
      </c>
      <c r="D19" s="3"/>
      <c r="E19" s="3"/>
      <c r="F19" s="3">
        <v>2</v>
      </c>
      <c r="G19" s="3" t="str">
        <f>VALUE(Tab_Expense[[#This Row],[담보번호]])&amp;VALUE(Tab_Expense[[#This Row],[종]])&amp;VALUE(Tab_Expense[[#This Row],[형]])&amp;VALUE(Tab_Expense[[#This Row],[갱신구분자]])</f>
        <v>3002</v>
      </c>
      <c r="H19" s="3"/>
      <c r="I19" s="3"/>
      <c r="J19" s="3"/>
      <c r="K19" s="41">
        <v>1000000</v>
      </c>
      <c r="L19" s="3">
        <v>4</v>
      </c>
      <c r="M19" s="3"/>
      <c r="N19" s="3"/>
      <c r="O19" s="3"/>
      <c r="P19" s="3"/>
      <c r="Q19" s="3"/>
      <c r="R19" s="3"/>
      <c r="S19" s="3"/>
      <c r="T19" s="3"/>
      <c r="U19" s="3"/>
      <c r="V19" s="4"/>
    </row>
    <row r="20" spans="1:22" x14ac:dyDescent="0.4">
      <c r="A20" s="2">
        <v>3</v>
      </c>
      <c r="B20" s="2" t="s">
        <v>137</v>
      </c>
      <c r="C20" s="3" t="s">
        <v>138</v>
      </c>
      <c r="D20" s="3"/>
      <c r="E20" s="3"/>
      <c r="F20" s="3">
        <v>2</v>
      </c>
      <c r="G20" s="3" t="str">
        <f>VALUE(Tab_Expense[[#This Row],[담보번호]])&amp;VALUE(Tab_Expense[[#This Row],[종]])&amp;VALUE(Tab_Expense[[#This Row],[형]])&amp;VALUE(Tab_Expense[[#This Row],[갱신구분자]])</f>
        <v>3002</v>
      </c>
      <c r="H20" s="3"/>
      <c r="I20" s="3"/>
      <c r="J20" s="3"/>
      <c r="K20" s="41">
        <v>1000000</v>
      </c>
      <c r="L20" s="3">
        <v>5</v>
      </c>
      <c r="M20" s="3"/>
      <c r="N20" s="3"/>
      <c r="O20" s="3"/>
      <c r="P20" s="3"/>
      <c r="Q20" s="3"/>
      <c r="R20" s="3"/>
      <c r="S20" s="3"/>
      <c r="T20" s="3"/>
      <c r="U20" s="3"/>
      <c r="V20" s="4"/>
    </row>
    <row r="21" spans="1:22" x14ac:dyDescent="0.4">
      <c r="A21" s="2">
        <v>4</v>
      </c>
      <c r="B21" s="2" t="s">
        <v>139</v>
      </c>
      <c r="C21" s="3" t="s">
        <v>140</v>
      </c>
      <c r="D21" s="3"/>
      <c r="E21" s="3"/>
      <c r="F21" s="3">
        <v>2</v>
      </c>
      <c r="G21" s="3" t="str">
        <f>VALUE(Tab_Expense[[#This Row],[담보번호]])&amp;VALUE(Tab_Expense[[#This Row],[종]])&amp;VALUE(Tab_Expense[[#This Row],[형]])&amp;VALUE(Tab_Expense[[#This Row],[갱신구분자]])</f>
        <v>4002</v>
      </c>
      <c r="H21" s="3"/>
      <c r="I21" s="3"/>
      <c r="J21" s="3"/>
      <c r="K21" s="41">
        <v>10000</v>
      </c>
      <c r="L21" s="3">
        <v>1</v>
      </c>
      <c r="M21" s="3"/>
      <c r="N21" s="3"/>
      <c r="O21" s="3"/>
      <c r="P21" s="3"/>
      <c r="Q21" s="3"/>
      <c r="R21" s="3"/>
      <c r="S21" s="3"/>
      <c r="T21" s="3"/>
      <c r="U21" s="3"/>
      <c r="V21" s="4"/>
    </row>
    <row r="22" spans="1:22" x14ac:dyDescent="0.4">
      <c r="A22" s="2">
        <v>4</v>
      </c>
      <c r="B22" s="2" t="s">
        <v>139</v>
      </c>
      <c r="C22" s="3" t="s">
        <v>140</v>
      </c>
      <c r="D22" s="3"/>
      <c r="E22" s="3"/>
      <c r="F22" s="3">
        <v>2</v>
      </c>
      <c r="G22" s="3" t="str">
        <f>VALUE(Tab_Expense[[#This Row],[담보번호]])&amp;VALUE(Tab_Expense[[#This Row],[종]])&amp;VALUE(Tab_Expense[[#This Row],[형]])&amp;VALUE(Tab_Expense[[#This Row],[갱신구분자]])</f>
        <v>4002</v>
      </c>
      <c r="H22" s="3"/>
      <c r="I22" s="3"/>
      <c r="J22" s="3"/>
      <c r="K22" s="41">
        <v>10000</v>
      </c>
      <c r="L22" s="3">
        <v>2</v>
      </c>
      <c r="M22" s="3"/>
      <c r="N22" s="3"/>
      <c r="O22" s="3"/>
      <c r="P22" s="3"/>
      <c r="Q22" s="3"/>
      <c r="R22" s="3"/>
      <c r="S22" s="3"/>
      <c r="T22" s="3"/>
      <c r="U22" s="3"/>
      <c r="V22" s="4"/>
    </row>
    <row r="23" spans="1:22" x14ac:dyDescent="0.4">
      <c r="A23" s="2">
        <v>4</v>
      </c>
      <c r="B23" s="2" t="s">
        <v>139</v>
      </c>
      <c r="C23" s="3" t="s">
        <v>140</v>
      </c>
      <c r="D23" s="3"/>
      <c r="E23" s="3"/>
      <c r="F23" s="3">
        <v>2</v>
      </c>
      <c r="G23" s="3" t="str">
        <f>VALUE(Tab_Expense[[#This Row],[담보번호]])&amp;VALUE(Tab_Expense[[#This Row],[종]])&amp;VALUE(Tab_Expense[[#This Row],[형]])&amp;VALUE(Tab_Expense[[#This Row],[갱신구분자]])</f>
        <v>4002</v>
      </c>
      <c r="H23" s="3"/>
      <c r="I23" s="3"/>
      <c r="J23" s="3"/>
      <c r="K23" s="41">
        <v>10000</v>
      </c>
      <c r="L23" s="3">
        <v>3</v>
      </c>
      <c r="M23" s="3"/>
      <c r="N23" s="3"/>
      <c r="O23" s="3"/>
      <c r="P23" s="3"/>
      <c r="Q23" s="3"/>
      <c r="R23" s="3"/>
      <c r="S23" s="3"/>
      <c r="T23" s="3"/>
      <c r="U23" s="3"/>
      <c r="V23" s="4"/>
    </row>
    <row r="24" spans="1:22" x14ac:dyDescent="0.4">
      <c r="A24" s="2">
        <v>4</v>
      </c>
      <c r="B24" s="2" t="s">
        <v>139</v>
      </c>
      <c r="C24" s="3" t="s">
        <v>140</v>
      </c>
      <c r="D24" s="3"/>
      <c r="E24" s="3"/>
      <c r="F24" s="3">
        <v>2</v>
      </c>
      <c r="G24" s="3" t="str">
        <f>VALUE(Tab_Expense[[#This Row],[담보번호]])&amp;VALUE(Tab_Expense[[#This Row],[종]])&amp;VALUE(Tab_Expense[[#This Row],[형]])&amp;VALUE(Tab_Expense[[#This Row],[갱신구분자]])</f>
        <v>4002</v>
      </c>
      <c r="H24" s="3"/>
      <c r="I24" s="3"/>
      <c r="J24" s="3"/>
      <c r="K24" s="41">
        <v>10000</v>
      </c>
      <c r="L24" s="3">
        <v>4</v>
      </c>
      <c r="M24" s="3"/>
      <c r="N24" s="3"/>
      <c r="O24" s="3"/>
      <c r="P24" s="3"/>
      <c r="Q24" s="3"/>
      <c r="R24" s="3"/>
      <c r="S24" s="3"/>
      <c r="T24" s="3"/>
      <c r="U24" s="3"/>
      <c r="V24" s="4"/>
    </row>
    <row r="25" spans="1:22" x14ac:dyDescent="0.4">
      <c r="A25" s="2">
        <v>4</v>
      </c>
      <c r="B25" s="2" t="s">
        <v>139</v>
      </c>
      <c r="C25" s="3" t="s">
        <v>140</v>
      </c>
      <c r="D25" s="3"/>
      <c r="E25" s="3"/>
      <c r="F25" s="3">
        <v>2</v>
      </c>
      <c r="G25" s="3" t="str">
        <f>VALUE(Tab_Expense[[#This Row],[담보번호]])&amp;VALUE(Tab_Expense[[#This Row],[종]])&amp;VALUE(Tab_Expense[[#This Row],[형]])&amp;VALUE(Tab_Expense[[#This Row],[갱신구분자]])</f>
        <v>4002</v>
      </c>
      <c r="H25" s="3"/>
      <c r="I25" s="3"/>
      <c r="J25" s="3"/>
      <c r="K25" s="41">
        <v>10000</v>
      </c>
      <c r="L25" s="3">
        <v>5</v>
      </c>
      <c r="M25" s="3"/>
      <c r="N25" s="3"/>
      <c r="O25" s="3"/>
      <c r="P25" s="3"/>
      <c r="Q25" s="3"/>
      <c r="R25" s="3"/>
      <c r="S25" s="3"/>
      <c r="T25" s="3"/>
      <c r="U25" s="3"/>
      <c r="V25" s="4"/>
    </row>
    <row r="26" spans="1:22" x14ac:dyDescent="0.4">
      <c r="A26" s="2">
        <v>5</v>
      </c>
      <c r="B26" s="2" t="s">
        <v>142</v>
      </c>
      <c r="C26" s="3" t="s">
        <v>143</v>
      </c>
      <c r="D26" s="3"/>
      <c r="E26" s="3"/>
      <c r="F26" s="3">
        <v>2</v>
      </c>
      <c r="G26" s="3" t="str">
        <f>VALUE(Tab_Expense[[#This Row],[담보번호]])&amp;VALUE(Tab_Expense[[#This Row],[종]])&amp;VALUE(Tab_Expense[[#This Row],[형]])&amp;VALUE(Tab_Expense[[#This Row],[갱신구분자]])</f>
        <v>5002</v>
      </c>
      <c r="H26" s="3"/>
      <c r="I26" s="3"/>
      <c r="J26" s="3"/>
      <c r="K26" s="41">
        <v>10000000</v>
      </c>
      <c r="L26" s="3">
        <v>1</v>
      </c>
      <c r="M26" s="3"/>
      <c r="N26" s="3"/>
      <c r="O26" s="3"/>
      <c r="P26" s="3"/>
      <c r="Q26" s="3"/>
      <c r="R26" s="3"/>
      <c r="S26" s="3"/>
      <c r="T26" s="3"/>
      <c r="U26" s="3"/>
      <c r="V26" s="4"/>
    </row>
    <row r="27" spans="1:22" x14ac:dyDescent="0.4">
      <c r="A27" s="2">
        <v>5</v>
      </c>
      <c r="B27" s="2" t="s">
        <v>142</v>
      </c>
      <c r="C27" s="3" t="s">
        <v>143</v>
      </c>
      <c r="D27" s="3"/>
      <c r="E27" s="3"/>
      <c r="F27" s="3">
        <v>2</v>
      </c>
      <c r="G27" s="3" t="str">
        <f>VALUE(Tab_Expense[[#This Row],[담보번호]])&amp;VALUE(Tab_Expense[[#This Row],[종]])&amp;VALUE(Tab_Expense[[#This Row],[형]])&amp;VALUE(Tab_Expense[[#This Row],[갱신구분자]])</f>
        <v>5002</v>
      </c>
      <c r="H27" s="3"/>
      <c r="I27" s="3"/>
      <c r="J27" s="3"/>
      <c r="K27" s="41">
        <v>10000000</v>
      </c>
      <c r="L27" s="3">
        <v>2</v>
      </c>
      <c r="M27" s="3"/>
      <c r="N27" s="3"/>
      <c r="O27" s="3"/>
      <c r="P27" s="3"/>
      <c r="Q27" s="3"/>
      <c r="R27" s="3"/>
      <c r="S27" s="3"/>
      <c r="T27" s="3"/>
      <c r="U27" s="3"/>
      <c r="V27" s="4"/>
    </row>
    <row r="28" spans="1:22" x14ac:dyDescent="0.4">
      <c r="A28" s="2">
        <v>5</v>
      </c>
      <c r="B28" s="2" t="s">
        <v>142</v>
      </c>
      <c r="C28" s="3" t="s">
        <v>143</v>
      </c>
      <c r="D28" s="3"/>
      <c r="E28" s="3"/>
      <c r="F28" s="3">
        <v>2</v>
      </c>
      <c r="G28" s="3" t="str">
        <f>VALUE(Tab_Expense[[#This Row],[담보번호]])&amp;VALUE(Tab_Expense[[#This Row],[종]])&amp;VALUE(Tab_Expense[[#This Row],[형]])&amp;VALUE(Tab_Expense[[#This Row],[갱신구분자]])</f>
        <v>5002</v>
      </c>
      <c r="H28" s="3"/>
      <c r="I28" s="3"/>
      <c r="J28" s="3"/>
      <c r="K28" s="41">
        <v>10000000</v>
      </c>
      <c r="L28" s="3">
        <v>3</v>
      </c>
      <c r="M28" s="3"/>
      <c r="N28" s="3"/>
      <c r="O28" s="3"/>
      <c r="P28" s="3"/>
      <c r="Q28" s="3"/>
      <c r="R28" s="3"/>
      <c r="S28" s="3"/>
      <c r="T28" s="3"/>
      <c r="U28" s="3"/>
      <c r="V28" s="4"/>
    </row>
    <row r="29" spans="1:22" x14ac:dyDescent="0.4">
      <c r="A29" s="2">
        <v>5</v>
      </c>
      <c r="B29" s="2" t="s">
        <v>142</v>
      </c>
      <c r="C29" s="3" t="s">
        <v>143</v>
      </c>
      <c r="D29" s="3"/>
      <c r="E29" s="3"/>
      <c r="F29" s="3">
        <v>2</v>
      </c>
      <c r="G29" s="3" t="str">
        <f>VALUE(Tab_Expense[[#This Row],[담보번호]])&amp;VALUE(Tab_Expense[[#This Row],[종]])&amp;VALUE(Tab_Expense[[#This Row],[형]])&amp;VALUE(Tab_Expense[[#This Row],[갱신구분자]])</f>
        <v>5002</v>
      </c>
      <c r="H29" s="3"/>
      <c r="I29" s="3"/>
      <c r="J29" s="3"/>
      <c r="K29" s="41">
        <v>10000000</v>
      </c>
      <c r="L29" s="3">
        <v>4</v>
      </c>
      <c r="M29" s="3"/>
      <c r="N29" s="3"/>
      <c r="O29" s="3"/>
      <c r="P29" s="3"/>
      <c r="Q29" s="3"/>
      <c r="R29" s="3"/>
      <c r="S29" s="3"/>
      <c r="T29" s="3"/>
      <c r="U29" s="3"/>
      <c r="V29" s="4"/>
    </row>
    <row r="30" spans="1:22" x14ac:dyDescent="0.4">
      <c r="A30" s="2">
        <v>5</v>
      </c>
      <c r="B30" s="2" t="s">
        <v>142</v>
      </c>
      <c r="C30" s="3" t="s">
        <v>143</v>
      </c>
      <c r="D30" s="3"/>
      <c r="E30" s="3"/>
      <c r="F30" s="3">
        <v>2</v>
      </c>
      <c r="G30" s="3" t="str">
        <f>VALUE(Tab_Expense[[#This Row],[담보번호]])&amp;VALUE(Tab_Expense[[#This Row],[종]])&amp;VALUE(Tab_Expense[[#This Row],[형]])&amp;VALUE(Tab_Expense[[#This Row],[갱신구분자]])</f>
        <v>5002</v>
      </c>
      <c r="H30" s="3"/>
      <c r="I30" s="3"/>
      <c r="J30" s="3"/>
      <c r="K30" s="41">
        <v>10000000</v>
      </c>
      <c r="L30" s="3">
        <v>5</v>
      </c>
      <c r="M30" s="3"/>
      <c r="N30" s="3"/>
      <c r="O30" s="3"/>
      <c r="P30" s="3"/>
      <c r="Q30" s="3"/>
      <c r="R30" s="3"/>
      <c r="S30" s="3"/>
      <c r="T30" s="3"/>
      <c r="U30" s="3"/>
      <c r="V30" s="4"/>
    </row>
    <row r="31" spans="1:22" x14ac:dyDescent="0.4">
      <c r="A31" s="2">
        <v>6</v>
      </c>
      <c r="B31" s="2" t="s">
        <v>144</v>
      </c>
      <c r="C31" s="3" t="s">
        <v>145</v>
      </c>
      <c r="D31" s="3"/>
      <c r="E31" s="3"/>
      <c r="F31" s="3">
        <v>2</v>
      </c>
      <c r="G31" s="3" t="str">
        <f>VALUE(Tab_Expense[[#This Row],[담보번호]])&amp;VALUE(Tab_Expense[[#This Row],[종]])&amp;VALUE(Tab_Expense[[#This Row],[형]])&amp;VALUE(Tab_Expense[[#This Row],[갱신구분자]])</f>
        <v>6002</v>
      </c>
      <c r="H31" s="3"/>
      <c r="I31" s="3"/>
      <c r="J31" s="3"/>
      <c r="K31" s="41">
        <v>1000000</v>
      </c>
      <c r="L31" s="3">
        <v>1</v>
      </c>
      <c r="M31" s="3"/>
      <c r="N31" s="3"/>
      <c r="O31" s="3"/>
      <c r="P31" s="3"/>
      <c r="Q31" s="3"/>
      <c r="R31" s="3"/>
      <c r="S31" s="3"/>
      <c r="T31" s="3"/>
      <c r="U31" s="3"/>
      <c r="V31" s="4"/>
    </row>
    <row r="32" spans="1:22" x14ac:dyDescent="0.4">
      <c r="A32" s="2">
        <v>6</v>
      </c>
      <c r="B32" s="2" t="s">
        <v>144</v>
      </c>
      <c r="C32" s="3" t="s">
        <v>145</v>
      </c>
      <c r="D32" s="3"/>
      <c r="E32" s="3"/>
      <c r="F32" s="3">
        <v>2</v>
      </c>
      <c r="G32" s="3" t="str">
        <f>VALUE(Tab_Expense[[#This Row],[담보번호]])&amp;VALUE(Tab_Expense[[#This Row],[종]])&amp;VALUE(Tab_Expense[[#This Row],[형]])&amp;VALUE(Tab_Expense[[#This Row],[갱신구분자]])</f>
        <v>6002</v>
      </c>
      <c r="H32" s="3"/>
      <c r="I32" s="3"/>
      <c r="J32" s="3"/>
      <c r="K32" s="41">
        <v>1000000</v>
      </c>
      <c r="L32" s="3">
        <v>2</v>
      </c>
      <c r="M32" s="3"/>
      <c r="N32" s="3"/>
      <c r="O32" s="3"/>
      <c r="P32" s="3"/>
      <c r="Q32" s="3"/>
      <c r="R32" s="3"/>
      <c r="S32" s="3"/>
      <c r="T32" s="3"/>
      <c r="U32" s="3"/>
      <c r="V32" s="4"/>
    </row>
    <row r="33" spans="1:22" x14ac:dyDescent="0.4">
      <c r="A33" s="2">
        <v>6</v>
      </c>
      <c r="B33" s="2" t="s">
        <v>144</v>
      </c>
      <c r="C33" s="3" t="s">
        <v>145</v>
      </c>
      <c r="D33" s="3"/>
      <c r="E33" s="3"/>
      <c r="F33" s="3">
        <v>2</v>
      </c>
      <c r="G33" s="3" t="str">
        <f>VALUE(Tab_Expense[[#This Row],[담보번호]])&amp;VALUE(Tab_Expense[[#This Row],[종]])&amp;VALUE(Tab_Expense[[#This Row],[형]])&amp;VALUE(Tab_Expense[[#This Row],[갱신구분자]])</f>
        <v>6002</v>
      </c>
      <c r="H33" s="3"/>
      <c r="I33" s="3"/>
      <c r="J33" s="3"/>
      <c r="K33" s="41">
        <v>1000000</v>
      </c>
      <c r="L33" s="3">
        <v>3</v>
      </c>
      <c r="M33" s="3"/>
      <c r="N33" s="3"/>
      <c r="O33" s="3"/>
      <c r="P33" s="3"/>
      <c r="Q33" s="3"/>
      <c r="R33" s="3"/>
      <c r="S33" s="3"/>
      <c r="T33" s="3"/>
      <c r="U33" s="3"/>
      <c r="V33" s="4"/>
    </row>
    <row r="34" spans="1:22" x14ac:dyDescent="0.4">
      <c r="A34" s="2">
        <v>6</v>
      </c>
      <c r="B34" s="2" t="s">
        <v>144</v>
      </c>
      <c r="C34" s="3" t="s">
        <v>145</v>
      </c>
      <c r="D34" s="3"/>
      <c r="E34" s="3"/>
      <c r="F34" s="3">
        <v>2</v>
      </c>
      <c r="G34" s="3" t="str">
        <f>VALUE(Tab_Expense[[#This Row],[담보번호]])&amp;VALUE(Tab_Expense[[#This Row],[종]])&amp;VALUE(Tab_Expense[[#This Row],[형]])&amp;VALUE(Tab_Expense[[#This Row],[갱신구분자]])</f>
        <v>6002</v>
      </c>
      <c r="H34" s="3"/>
      <c r="I34" s="3"/>
      <c r="J34" s="3"/>
      <c r="K34" s="41">
        <v>1000000</v>
      </c>
      <c r="L34" s="3">
        <v>4</v>
      </c>
      <c r="M34" s="3"/>
      <c r="N34" s="3"/>
      <c r="O34" s="3"/>
      <c r="P34" s="3"/>
      <c r="Q34" s="3"/>
      <c r="R34" s="3"/>
      <c r="S34" s="3"/>
      <c r="T34" s="3"/>
      <c r="U34" s="3"/>
      <c r="V34" s="4"/>
    </row>
    <row r="35" spans="1:22" x14ac:dyDescent="0.4">
      <c r="A35" s="2">
        <v>6</v>
      </c>
      <c r="B35" s="2" t="s">
        <v>144</v>
      </c>
      <c r="C35" s="3" t="s">
        <v>145</v>
      </c>
      <c r="D35" s="3"/>
      <c r="E35" s="3"/>
      <c r="F35" s="3">
        <v>2</v>
      </c>
      <c r="G35" s="3" t="str">
        <f>VALUE(Tab_Expense[[#This Row],[담보번호]])&amp;VALUE(Tab_Expense[[#This Row],[종]])&amp;VALUE(Tab_Expense[[#This Row],[형]])&amp;VALUE(Tab_Expense[[#This Row],[갱신구분자]])</f>
        <v>6002</v>
      </c>
      <c r="H35" s="3"/>
      <c r="I35" s="3"/>
      <c r="J35" s="3"/>
      <c r="K35" s="41">
        <v>1000000</v>
      </c>
      <c r="L35" s="3">
        <v>5</v>
      </c>
      <c r="M35" s="3"/>
      <c r="N35" s="3"/>
      <c r="O35" s="3"/>
      <c r="P35" s="3"/>
      <c r="Q35" s="3"/>
      <c r="R35" s="3"/>
      <c r="S35" s="3"/>
      <c r="T35" s="3"/>
      <c r="U35" s="3"/>
      <c r="V35" s="4"/>
    </row>
    <row r="36" spans="1:22" x14ac:dyDescent="0.4">
      <c r="A36" s="2">
        <v>7</v>
      </c>
      <c r="B36" s="2" t="s">
        <v>146</v>
      </c>
      <c r="C36" s="3" t="s">
        <v>147</v>
      </c>
      <c r="D36" s="3"/>
      <c r="E36" s="3"/>
      <c r="F36" s="3">
        <v>2</v>
      </c>
      <c r="G36" s="3" t="str">
        <f>VALUE(Tab_Expense[[#This Row],[담보번호]])&amp;VALUE(Tab_Expense[[#This Row],[종]])&amp;VALUE(Tab_Expense[[#This Row],[형]])&amp;VALUE(Tab_Expense[[#This Row],[갱신구분자]])</f>
        <v>7002</v>
      </c>
      <c r="H36" s="3"/>
      <c r="I36" s="3"/>
      <c r="J36" s="3"/>
      <c r="K36" s="41">
        <v>100000</v>
      </c>
      <c r="L36" s="3">
        <v>1</v>
      </c>
      <c r="M36" s="3"/>
      <c r="N36" s="3"/>
      <c r="O36" s="3"/>
      <c r="P36" s="3"/>
      <c r="Q36" s="3"/>
      <c r="R36" s="3"/>
      <c r="S36" s="3"/>
      <c r="T36" s="3"/>
      <c r="U36" s="3"/>
      <c r="V36" s="4"/>
    </row>
    <row r="37" spans="1:22" x14ac:dyDescent="0.4">
      <c r="A37" s="2">
        <v>7</v>
      </c>
      <c r="B37" s="2" t="s">
        <v>146</v>
      </c>
      <c r="C37" s="3" t="s">
        <v>147</v>
      </c>
      <c r="D37" s="3"/>
      <c r="E37" s="3"/>
      <c r="F37" s="3">
        <v>2</v>
      </c>
      <c r="G37" s="3" t="str">
        <f>VALUE(Tab_Expense[[#This Row],[담보번호]])&amp;VALUE(Tab_Expense[[#This Row],[종]])&amp;VALUE(Tab_Expense[[#This Row],[형]])&amp;VALUE(Tab_Expense[[#This Row],[갱신구분자]])</f>
        <v>7002</v>
      </c>
      <c r="H37" s="3"/>
      <c r="I37" s="3"/>
      <c r="J37" s="3"/>
      <c r="K37" s="41">
        <v>100000</v>
      </c>
      <c r="L37" s="3">
        <v>2</v>
      </c>
      <c r="M37" s="3"/>
      <c r="N37" s="3"/>
      <c r="O37" s="3"/>
      <c r="P37" s="3"/>
      <c r="Q37" s="3"/>
      <c r="R37" s="3"/>
      <c r="S37" s="3"/>
      <c r="T37" s="3"/>
      <c r="U37" s="3"/>
      <c r="V37" s="4"/>
    </row>
    <row r="38" spans="1:22" x14ac:dyDescent="0.4">
      <c r="A38" s="2">
        <v>7</v>
      </c>
      <c r="B38" s="2" t="s">
        <v>146</v>
      </c>
      <c r="C38" s="3" t="s">
        <v>147</v>
      </c>
      <c r="D38" s="3"/>
      <c r="E38" s="3"/>
      <c r="F38" s="3">
        <v>2</v>
      </c>
      <c r="G38" s="3" t="str">
        <f>VALUE(Tab_Expense[[#This Row],[담보번호]])&amp;VALUE(Tab_Expense[[#This Row],[종]])&amp;VALUE(Tab_Expense[[#This Row],[형]])&amp;VALUE(Tab_Expense[[#This Row],[갱신구분자]])</f>
        <v>7002</v>
      </c>
      <c r="H38" s="3"/>
      <c r="I38" s="3"/>
      <c r="J38" s="3"/>
      <c r="K38" s="41">
        <v>100000</v>
      </c>
      <c r="L38" s="3">
        <v>3</v>
      </c>
      <c r="M38" s="3"/>
      <c r="N38" s="3"/>
      <c r="O38" s="3"/>
      <c r="P38" s="3"/>
      <c r="Q38" s="3"/>
      <c r="R38" s="3"/>
      <c r="S38" s="3"/>
      <c r="T38" s="3"/>
      <c r="U38" s="3"/>
      <c r="V38" s="4"/>
    </row>
    <row r="39" spans="1:22" x14ac:dyDescent="0.4">
      <c r="A39" s="2">
        <v>7</v>
      </c>
      <c r="B39" s="2" t="s">
        <v>146</v>
      </c>
      <c r="C39" s="3" t="s">
        <v>147</v>
      </c>
      <c r="D39" s="3"/>
      <c r="E39" s="3"/>
      <c r="F39" s="3">
        <v>2</v>
      </c>
      <c r="G39" s="3" t="str">
        <f>VALUE(Tab_Expense[[#This Row],[담보번호]])&amp;VALUE(Tab_Expense[[#This Row],[종]])&amp;VALUE(Tab_Expense[[#This Row],[형]])&amp;VALUE(Tab_Expense[[#This Row],[갱신구분자]])</f>
        <v>7002</v>
      </c>
      <c r="H39" s="3"/>
      <c r="I39" s="3"/>
      <c r="J39" s="3"/>
      <c r="K39" s="41">
        <v>100000</v>
      </c>
      <c r="L39" s="3">
        <v>4</v>
      </c>
      <c r="M39" s="3"/>
      <c r="N39" s="3"/>
      <c r="O39" s="3"/>
      <c r="P39" s="3"/>
      <c r="Q39" s="3"/>
      <c r="R39" s="3"/>
      <c r="S39" s="3"/>
      <c r="T39" s="3"/>
      <c r="U39" s="3"/>
      <c r="V39" s="4"/>
    </row>
    <row r="40" spans="1:22" x14ac:dyDescent="0.4">
      <c r="A40" s="5">
        <v>7</v>
      </c>
      <c r="B40" s="5" t="s">
        <v>146</v>
      </c>
      <c r="C40" s="6" t="s">
        <v>147</v>
      </c>
      <c r="D40" s="6"/>
      <c r="E40" s="6"/>
      <c r="F40" s="6">
        <v>2</v>
      </c>
      <c r="G40" s="6" t="str">
        <f>VALUE(Tab_Expense[[#This Row],[담보번호]])&amp;VALUE(Tab_Expense[[#This Row],[종]])&amp;VALUE(Tab_Expense[[#This Row],[형]])&amp;VALUE(Tab_Expense[[#This Row],[갱신구분자]])</f>
        <v>7002</v>
      </c>
      <c r="H40" s="6"/>
      <c r="I40" s="6"/>
      <c r="J40" s="6"/>
      <c r="K40" s="42">
        <v>100000</v>
      </c>
      <c r="L40" s="6">
        <v>5</v>
      </c>
      <c r="M40" s="6"/>
      <c r="N40" s="6"/>
      <c r="O40" s="6"/>
      <c r="P40" s="6"/>
      <c r="Q40" s="6"/>
      <c r="R40" s="6"/>
      <c r="S40" s="6"/>
      <c r="T40" s="6"/>
      <c r="U40" s="6"/>
      <c r="V40" s="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17E2D-09D2-43BD-A976-22EE94D8E662}">
  <sheetPr codeName="Sheet7">
    <pageSetUpPr fitToPage="1"/>
  </sheetPr>
  <dimension ref="B1:AC12"/>
  <sheetViews>
    <sheetView showGridLines="0" view="pageBreakPreview" zoomScale="85" zoomScaleNormal="100" zoomScaleSheetLayoutView="85" workbookViewId="0">
      <pane xSplit="11" ySplit="5" topLeftCell="X6" activePane="bottomRight" state="frozen"/>
      <selection pane="topRight" activeCell="K1" sqref="K1"/>
      <selection pane="bottomLeft" activeCell="A6" sqref="A6"/>
      <selection pane="bottomRight" activeCell="AB10" sqref="AB10"/>
    </sheetView>
  </sheetViews>
  <sheetFormatPr defaultRowHeight="17.399999999999999" x14ac:dyDescent="0.4"/>
  <cols>
    <col min="1" max="1" width="2.5" customWidth="1"/>
    <col min="2" max="2" width="12.69921875" bestFit="1" customWidth="1"/>
    <col min="3" max="3" width="9.3984375" customWidth="1"/>
    <col min="4" max="4" width="40.296875" hidden="1" customWidth="1"/>
    <col min="5" max="6" width="8.796875" hidden="1" customWidth="1"/>
    <col min="7" max="7" width="13.3984375" bestFit="1" customWidth="1"/>
    <col min="8" max="8" width="14.796875" bestFit="1" customWidth="1"/>
    <col min="9" max="11" width="8.796875" hidden="1" customWidth="1"/>
    <col min="13" max="15" width="9.3984375" customWidth="1"/>
    <col min="20" max="20" width="9.3984375" customWidth="1"/>
    <col min="21" max="21" width="11.09765625" customWidth="1"/>
    <col min="22" max="22" width="12.796875" customWidth="1"/>
    <col min="23" max="23" width="11.09765625" customWidth="1"/>
    <col min="24" max="25" width="9.3984375" customWidth="1"/>
    <col min="26" max="26" width="11.09765625" customWidth="1"/>
    <col min="27" max="27" width="12.796875" customWidth="1"/>
    <col min="28" max="28" width="22" customWidth="1"/>
    <col min="29" max="29" width="17.8984375" customWidth="1"/>
  </cols>
  <sheetData>
    <row r="1" spans="2:29" x14ac:dyDescent="0.4">
      <c r="B1" s="20">
        <v>1</v>
      </c>
      <c r="C1" s="20">
        <f>B1+1</f>
        <v>2</v>
      </c>
      <c r="D1" s="20">
        <f t="shared" ref="D1:AC1" si="0">C1+1</f>
        <v>3</v>
      </c>
      <c r="E1" s="20">
        <f t="shared" si="0"/>
        <v>4</v>
      </c>
      <c r="F1" s="20">
        <f t="shared" si="0"/>
        <v>5</v>
      </c>
      <c r="G1" s="20">
        <f t="shared" si="0"/>
        <v>6</v>
      </c>
      <c r="H1" s="20">
        <f t="shared" si="0"/>
        <v>7</v>
      </c>
      <c r="I1" s="20">
        <f t="shared" si="0"/>
        <v>8</v>
      </c>
      <c r="J1" s="20">
        <f t="shared" si="0"/>
        <v>9</v>
      </c>
      <c r="K1" s="20">
        <f t="shared" si="0"/>
        <v>10</v>
      </c>
      <c r="L1" s="20">
        <f t="shared" si="0"/>
        <v>11</v>
      </c>
      <c r="M1" s="20">
        <f t="shared" si="0"/>
        <v>12</v>
      </c>
      <c r="N1" s="20">
        <f t="shared" si="0"/>
        <v>13</v>
      </c>
      <c r="O1" s="20">
        <f t="shared" si="0"/>
        <v>14</v>
      </c>
      <c r="P1" s="20">
        <f t="shared" si="0"/>
        <v>15</v>
      </c>
      <c r="Q1" s="20">
        <f t="shared" si="0"/>
        <v>16</v>
      </c>
      <c r="R1" s="20">
        <f t="shared" si="0"/>
        <v>17</v>
      </c>
      <c r="S1" s="20">
        <f t="shared" si="0"/>
        <v>18</v>
      </c>
      <c r="T1" s="20">
        <f t="shared" si="0"/>
        <v>19</v>
      </c>
      <c r="U1" s="20">
        <f t="shared" si="0"/>
        <v>20</v>
      </c>
      <c r="V1" s="20">
        <f t="shared" si="0"/>
        <v>21</v>
      </c>
      <c r="W1" s="20">
        <f t="shared" si="0"/>
        <v>22</v>
      </c>
      <c r="X1" s="20">
        <f t="shared" si="0"/>
        <v>23</v>
      </c>
      <c r="Y1" s="20">
        <f t="shared" si="0"/>
        <v>24</v>
      </c>
      <c r="Z1" s="20">
        <f t="shared" si="0"/>
        <v>25</v>
      </c>
      <c r="AA1" s="20">
        <f t="shared" si="0"/>
        <v>26</v>
      </c>
      <c r="AB1" s="20">
        <f t="shared" si="0"/>
        <v>27</v>
      </c>
      <c r="AC1" s="20">
        <f t="shared" si="0"/>
        <v>28</v>
      </c>
    </row>
    <row r="2" spans="2:29" x14ac:dyDescent="0.4"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</row>
    <row r="3" spans="2:29" x14ac:dyDescent="0.4">
      <c r="B3" s="1" t="s">
        <v>237</v>
      </c>
      <c r="C3" s="1"/>
    </row>
    <row r="4" spans="2:29" x14ac:dyDescent="0.4">
      <c r="L4" s="4" t="s">
        <v>238</v>
      </c>
      <c r="M4" s="60"/>
      <c r="N4" s="60"/>
      <c r="O4" s="2"/>
      <c r="P4" s="4" t="s">
        <v>239</v>
      </c>
      <c r="Q4" s="60"/>
      <c r="R4" s="60"/>
      <c r="S4" s="60"/>
      <c r="T4" s="60"/>
      <c r="U4" s="60"/>
      <c r="V4" s="60"/>
      <c r="W4" s="60"/>
      <c r="X4" s="60"/>
      <c r="Y4" s="2"/>
      <c r="AC4" s="15" t="s">
        <v>249</v>
      </c>
    </row>
    <row r="5" spans="2:29" x14ac:dyDescent="0.4">
      <c r="B5" s="61" t="s">
        <v>0</v>
      </c>
      <c r="C5" s="61" t="s">
        <v>150</v>
      </c>
      <c r="D5" s="62" t="s">
        <v>228</v>
      </c>
      <c r="E5" s="62" t="s">
        <v>2</v>
      </c>
      <c r="F5" s="62" t="s">
        <v>3</v>
      </c>
      <c r="G5" s="62" t="s">
        <v>229</v>
      </c>
      <c r="H5" s="63" t="s">
        <v>240</v>
      </c>
      <c r="I5" s="76" t="s">
        <v>230</v>
      </c>
      <c r="J5" s="76" t="s">
        <v>231</v>
      </c>
      <c r="K5" s="76" t="s">
        <v>232</v>
      </c>
      <c r="L5" s="64" t="s">
        <v>241</v>
      </c>
      <c r="M5" s="64" t="s">
        <v>233</v>
      </c>
      <c r="N5" s="64" t="s">
        <v>234</v>
      </c>
      <c r="O5" s="64" t="s">
        <v>235</v>
      </c>
      <c r="P5" s="65" t="s">
        <v>242</v>
      </c>
      <c r="Q5" s="65" t="s">
        <v>243</v>
      </c>
      <c r="R5" s="65" t="s">
        <v>236</v>
      </c>
      <c r="S5" s="66" t="s">
        <v>223</v>
      </c>
      <c r="T5" s="66" t="s">
        <v>224</v>
      </c>
      <c r="U5" s="66" t="s">
        <v>250</v>
      </c>
      <c r="V5" s="66" t="s">
        <v>251</v>
      </c>
      <c r="W5" s="66" t="s">
        <v>252</v>
      </c>
      <c r="X5" s="66" t="s">
        <v>253</v>
      </c>
      <c r="Y5" s="67" t="s">
        <v>244</v>
      </c>
      <c r="Z5" s="68" t="s">
        <v>245</v>
      </c>
      <c r="AA5" s="68" t="s">
        <v>246</v>
      </c>
      <c r="AB5" s="68" t="s">
        <v>247</v>
      </c>
      <c r="AC5" s="69" t="s">
        <v>248</v>
      </c>
    </row>
    <row r="6" spans="2:29" x14ac:dyDescent="0.4">
      <c r="B6" s="70">
        <v>1</v>
      </c>
      <c r="C6" s="70" t="s">
        <v>133</v>
      </c>
      <c r="D6" s="71" t="s">
        <v>134</v>
      </c>
      <c r="E6" s="71"/>
      <c r="F6" s="71"/>
      <c r="G6" s="71">
        <v>2</v>
      </c>
      <c r="H6" s="71" t="str">
        <f>VALUE(TAB_Srate[[#This Row],[담보번호]])&amp;VALUE(TAB_Srate[[#This Row],[종]])&amp;VALUE(TAB_Srate[[#This Row],[형]])&amp;VALUE(TAB_Srate[[#This Row],[신규/갱신]])</f>
        <v>1002</v>
      </c>
      <c r="I6" s="71"/>
      <c r="J6" s="71"/>
      <c r="K6" s="71"/>
      <c r="L6" s="71"/>
      <c r="M6" s="71"/>
      <c r="N6" s="71"/>
      <c r="O6" s="71"/>
      <c r="P6" s="71">
        <v>40</v>
      </c>
      <c r="Q6" s="71">
        <v>5</v>
      </c>
      <c r="R6" s="71">
        <v>5</v>
      </c>
      <c r="S6" s="71">
        <v>1</v>
      </c>
      <c r="T6" s="71"/>
      <c r="U6" s="71"/>
      <c r="V6" s="71"/>
      <c r="W6" s="71"/>
      <c r="X6" s="71"/>
      <c r="Y6" s="71">
        <v>12</v>
      </c>
      <c r="Z6" s="71">
        <v>1.6698935902200524E-5</v>
      </c>
      <c r="AA6" s="71">
        <v>9.3067224589639917E-5</v>
      </c>
      <c r="AB6" s="71">
        <v>0.1794287513765552</v>
      </c>
      <c r="AC6" s="72">
        <f>_xlfn.MINIFS(TAB_Srate[위험보험료/정기보험순보], TAB_Srate[담보키], TAB_Srate[[#This Row],[담보키]])</f>
        <v>0.1794287513765552</v>
      </c>
    </row>
    <row r="7" spans="2:29" x14ac:dyDescent="0.4">
      <c r="B7" s="70">
        <v>2</v>
      </c>
      <c r="C7" s="70" t="s">
        <v>135</v>
      </c>
      <c r="D7" s="71" t="s">
        <v>136</v>
      </c>
      <c r="E7" s="71"/>
      <c r="F7" s="71"/>
      <c r="G7" s="71">
        <v>2</v>
      </c>
      <c r="H7" s="71" t="str">
        <f>VALUE(TAB_Srate[[#This Row],[담보번호]])&amp;VALUE(TAB_Srate[[#This Row],[종]])&amp;VALUE(TAB_Srate[[#This Row],[형]])&amp;VALUE(TAB_Srate[[#This Row],[신규/갱신]])</f>
        <v>2002</v>
      </c>
      <c r="I7" s="71"/>
      <c r="J7" s="71"/>
      <c r="K7" s="71"/>
      <c r="L7" s="71"/>
      <c r="M7" s="71"/>
      <c r="N7" s="71"/>
      <c r="O7" s="71"/>
      <c r="P7" s="71">
        <v>40</v>
      </c>
      <c r="Q7" s="71">
        <v>5</v>
      </c>
      <c r="R7" s="71">
        <v>5</v>
      </c>
      <c r="S7" s="71">
        <v>1</v>
      </c>
      <c r="T7" s="71"/>
      <c r="U7" s="71"/>
      <c r="V7" s="71"/>
      <c r="W7" s="71"/>
      <c r="X7" s="71"/>
      <c r="Y7" s="71">
        <v>12</v>
      </c>
      <c r="Z7" s="71">
        <v>7.7155890954343928E-5</v>
      </c>
      <c r="AA7" s="71">
        <v>9.3067224589639917E-5</v>
      </c>
      <c r="AB7" s="71">
        <v>0.82903397296466486</v>
      </c>
      <c r="AC7" s="72">
        <f>_xlfn.MINIFS(TAB_Srate[위험보험료/정기보험순보], TAB_Srate[담보키], TAB_Srate[[#This Row],[담보키]])</f>
        <v>0.82903397296466486</v>
      </c>
    </row>
    <row r="8" spans="2:29" x14ac:dyDescent="0.4">
      <c r="B8" s="70">
        <v>3</v>
      </c>
      <c r="C8" s="70" t="s">
        <v>137</v>
      </c>
      <c r="D8" s="71" t="s">
        <v>138</v>
      </c>
      <c r="E8" s="71"/>
      <c r="F8" s="71"/>
      <c r="G8" s="71">
        <v>2</v>
      </c>
      <c r="H8" s="71" t="str">
        <f>VALUE(TAB_Srate[[#This Row],[담보번호]])&amp;VALUE(TAB_Srate[[#This Row],[종]])&amp;VALUE(TAB_Srate[[#This Row],[형]])&amp;VALUE(TAB_Srate[[#This Row],[신규/갱신]])</f>
        <v>3002</v>
      </c>
      <c r="I8" s="71"/>
      <c r="J8" s="71"/>
      <c r="K8" s="71"/>
      <c r="L8" s="71"/>
      <c r="M8" s="71"/>
      <c r="N8" s="71"/>
      <c r="O8" s="71"/>
      <c r="P8" s="71">
        <v>40</v>
      </c>
      <c r="Q8" s="71">
        <v>5</v>
      </c>
      <c r="R8" s="71">
        <v>5</v>
      </c>
      <c r="S8" s="71">
        <v>1</v>
      </c>
      <c r="T8" s="71"/>
      <c r="U8" s="71"/>
      <c r="V8" s="71"/>
      <c r="W8" s="71"/>
      <c r="X8" s="71"/>
      <c r="Y8" s="71">
        <v>12</v>
      </c>
      <c r="Z8" s="71">
        <v>2.332509022872317E-4</v>
      </c>
      <c r="AA8" s="71">
        <v>9.3067224589639917E-5</v>
      </c>
      <c r="AB8" s="71">
        <v>2.5062625786435753</v>
      </c>
      <c r="AC8" s="72">
        <f>_xlfn.MINIFS(TAB_Srate[위험보험료/정기보험순보], TAB_Srate[담보키], TAB_Srate[[#This Row],[담보키]])</f>
        <v>2.5062625786435753</v>
      </c>
    </row>
    <row r="9" spans="2:29" x14ac:dyDescent="0.4">
      <c r="B9" s="70">
        <v>4</v>
      </c>
      <c r="C9" s="70" t="s">
        <v>139</v>
      </c>
      <c r="D9" s="71" t="s">
        <v>140</v>
      </c>
      <c r="E9" s="71"/>
      <c r="F9" s="71"/>
      <c r="G9" s="71">
        <v>2</v>
      </c>
      <c r="H9" s="71" t="str">
        <f>VALUE(TAB_Srate[[#This Row],[담보번호]])&amp;VALUE(TAB_Srate[[#This Row],[종]])&amp;VALUE(TAB_Srate[[#This Row],[형]])&amp;VALUE(TAB_Srate[[#This Row],[신규/갱신]])</f>
        <v>4002</v>
      </c>
      <c r="I9" s="71"/>
      <c r="J9" s="71"/>
      <c r="K9" s="71"/>
      <c r="L9" s="71"/>
      <c r="M9" s="71"/>
      <c r="N9" s="71"/>
      <c r="O9" s="71"/>
      <c r="P9" s="71">
        <v>40</v>
      </c>
      <c r="Q9" s="71">
        <v>5</v>
      </c>
      <c r="R9" s="71">
        <v>5</v>
      </c>
      <c r="S9" s="71">
        <v>1</v>
      </c>
      <c r="T9" s="71"/>
      <c r="U9" s="71"/>
      <c r="V9" s="71"/>
      <c r="W9" s="71"/>
      <c r="X9" s="71"/>
      <c r="Y9" s="71">
        <v>12</v>
      </c>
      <c r="Z9" s="71">
        <v>1.6517080270418438E-2</v>
      </c>
      <c r="AA9" s="71">
        <v>9.3067224589639917E-5</v>
      </c>
      <c r="AB9" s="71">
        <v>177.47472693256924</v>
      </c>
      <c r="AC9" s="72">
        <f>_xlfn.MINIFS(TAB_Srate[위험보험료/정기보험순보], TAB_Srate[담보키], TAB_Srate[[#This Row],[담보키]])</f>
        <v>177.47472693256924</v>
      </c>
    </row>
    <row r="10" spans="2:29" x14ac:dyDescent="0.4">
      <c r="B10" s="70">
        <v>5</v>
      </c>
      <c r="C10" s="70" t="s">
        <v>142</v>
      </c>
      <c r="D10" s="71" t="s">
        <v>143</v>
      </c>
      <c r="E10" s="71"/>
      <c r="F10" s="71"/>
      <c r="G10" s="71">
        <v>2</v>
      </c>
      <c r="H10" s="71" t="str">
        <f>VALUE(TAB_Srate[[#This Row],[담보번호]])&amp;VALUE(TAB_Srate[[#This Row],[종]])&amp;VALUE(TAB_Srate[[#This Row],[형]])&amp;VALUE(TAB_Srate[[#This Row],[신규/갱신]])</f>
        <v>5002</v>
      </c>
      <c r="I10" s="71"/>
      <c r="J10" s="71"/>
      <c r="K10" s="71"/>
      <c r="L10" s="71"/>
      <c r="M10" s="71"/>
      <c r="N10" s="71"/>
      <c r="O10" s="71"/>
      <c r="P10" s="71">
        <v>40</v>
      </c>
      <c r="Q10" s="71">
        <v>5</v>
      </c>
      <c r="R10" s="71">
        <v>5</v>
      </c>
      <c r="S10" s="71">
        <v>1</v>
      </c>
      <c r="T10" s="71"/>
      <c r="U10" s="71"/>
      <c r="V10" s="71"/>
      <c r="W10" s="71"/>
      <c r="X10" s="71"/>
      <c r="Y10" s="71">
        <v>12</v>
      </c>
      <c r="Z10" s="71">
        <v>3.3296597504746297E-7</v>
      </c>
      <c r="AA10" s="71">
        <v>9.3067224589639917E-5</v>
      </c>
      <c r="AB10" s="71">
        <v>3.5776931837776986E-3</v>
      </c>
      <c r="AC10" s="72">
        <f>_xlfn.MINIFS(TAB_Srate[위험보험료/정기보험순보], TAB_Srate[담보키], TAB_Srate[[#This Row],[담보키]])</f>
        <v>3.5776931837776986E-3</v>
      </c>
    </row>
    <row r="11" spans="2:29" x14ac:dyDescent="0.4">
      <c r="B11" s="70">
        <v>6</v>
      </c>
      <c r="C11" s="70" t="s">
        <v>144</v>
      </c>
      <c r="D11" s="71" t="s">
        <v>145</v>
      </c>
      <c r="E11" s="71"/>
      <c r="F11" s="71"/>
      <c r="G11" s="71">
        <v>2</v>
      </c>
      <c r="H11" s="71" t="str">
        <f>VALUE(TAB_Srate[[#This Row],[담보번호]])&amp;VALUE(TAB_Srate[[#This Row],[종]])&amp;VALUE(TAB_Srate[[#This Row],[형]])&amp;VALUE(TAB_Srate[[#This Row],[신규/갱신]])</f>
        <v>6002</v>
      </c>
      <c r="I11" s="71"/>
      <c r="J11" s="71"/>
      <c r="K11" s="71"/>
      <c r="L11" s="71"/>
      <c r="M11" s="71"/>
      <c r="N11" s="71"/>
      <c r="O11" s="71"/>
      <c r="P11" s="71">
        <v>40</v>
      </c>
      <c r="Q11" s="71">
        <v>5</v>
      </c>
      <c r="R11" s="71">
        <v>5</v>
      </c>
      <c r="S11" s="71">
        <v>1</v>
      </c>
      <c r="T11" s="71"/>
      <c r="U11" s="71"/>
      <c r="V11" s="71"/>
      <c r="W11" s="71"/>
      <c r="X11" s="71"/>
      <c r="Y11" s="71">
        <v>12</v>
      </c>
      <c r="Z11" s="71">
        <v>1.1423532372804736E-4</v>
      </c>
      <c r="AA11" s="71">
        <v>9.3067224589639917E-5</v>
      </c>
      <c r="AB11" s="71">
        <v>1.2274495584427672</v>
      </c>
      <c r="AC11" s="72">
        <f>_xlfn.MINIFS(TAB_Srate[위험보험료/정기보험순보], TAB_Srate[담보키], TAB_Srate[[#This Row],[담보키]])</f>
        <v>1.2274495584427672</v>
      </c>
    </row>
    <row r="12" spans="2:29" x14ac:dyDescent="0.4">
      <c r="B12" s="70">
        <v>7</v>
      </c>
      <c r="C12" s="73" t="s">
        <v>146</v>
      </c>
      <c r="D12" s="74" t="s">
        <v>147</v>
      </c>
      <c r="E12" s="74"/>
      <c r="F12" s="74"/>
      <c r="G12" s="74">
        <v>2</v>
      </c>
      <c r="H12" s="71" t="str">
        <f>VALUE(TAB_Srate[[#This Row],[담보번호]])&amp;VALUE(TAB_Srate[[#This Row],[종]])&amp;VALUE(TAB_Srate[[#This Row],[형]])&amp;VALUE(TAB_Srate[[#This Row],[신규/갱신]])</f>
        <v>7002</v>
      </c>
      <c r="I12" s="71"/>
      <c r="J12" s="71"/>
      <c r="K12" s="71"/>
      <c r="L12" s="74"/>
      <c r="M12" s="74"/>
      <c r="N12" s="74"/>
      <c r="O12" s="74"/>
      <c r="P12" s="74">
        <v>40</v>
      </c>
      <c r="Q12" s="74">
        <v>5</v>
      </c>
      <c r="R12" s="74">
        <v>5</v>
      </c>
      <c r="S12" s="74">
        <v>1</v>
      </c>
      <c r="T12" s="74"/>
      <c r="U12" s="74"/>
      <c r="V12" s="74"/>
      <c r="W12" s="74"/>
      <c r="X12" s="74"/>
      <c r="Y12" s="74">
        <v>12</v>
      </c>
      <c r="Z12" s="74">
        <v>3.2286643717566144E-5</v>
      </c>
      <c r="AA12" s="74">
        <v>9.3067224589639917E-5</v>
      </c>
      <c r="AB12" s="71">
        <v>0.34691744445939177</v>
      </c>
      <c r="AC12" s="75">
        <f>_xlfn.MINIFS(TAB_Srate[위험보험료/정기보험순보], TAB_Srate[담보키], TAB_Srate[[#This Row],[담보키]])</f>
        <v>0.34691744445939177</v>
      </c>
    </row>
  </sheetData>
  <phoneticPr fontId="1" type="noConversion"/>
  <pageMargins left="0.7" right="0.7" top="0.75" bottom="0.75" header="0.3" footer="0.3"/>
  <pageSetup paperSize="9"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_CalcPr">
                <anchor moveWithCells="1" sizeWithCells="1">
                  <from>
                    <xdr:col>27</xdr:col>
                    <xdr:colOff>220980</xdr:colOff>
                    <xdr:row>1</xdr:row>
                    <xdr:rowOff>144780</xdr:rowOff>
                  </from>
                  <to>
                    <xdr:col>27</xdr:col>
                    <xdr:colOff>1508760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93E3-8518-415C-B4AB-38668EDD867E}">
  <sheetPr codeName="Sheet8">
    <pageSetUpPr fitToPage="1"/>
  </sheetPr>
  <dimension ref="A1:AL14"/>
  <sheetViews>
    <sheetView showGridLines="0" view="pageBreakPreview" zoomScale="145" zoomScaleNormal="100" zoomScaleSheetLayoutView="145" workbookViewId="0">
      <pane xSplit="4" topLeftCell="F1" activePane="topRight" state="frozen"/>
      <selection pane="topRight" activeCell="F10" sqref="F10"/>
    </sheetView>
  </sheetViews>
  <sheetFormatPr defaultRowHeight="17.399999999999999" x14ac:dyDescent="0.4"/>
  <cols>
    <col min="1" max="1" width="12.09765625" style="48" bestFit="1" customWidth="1"/>
    <col min="2" max="2" width="1.3984375" style="48" customWidth="1"/>
    <col min="3" max="3" width="10.3984375" style="48" bestFit="1" customWidth="1"/>
    <col min="4" max="4" width="8.796875" style="48"/>
    <col min="5" max="5" width="2.8984375" style="48" customWidth="1"/>
    <col min="6" max="16384" width="8.796875" style="48"/>
  </cols>
  <sheetData>
    <row r="1" spans="1:38" x14ac:dyDescent="0.4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4">
      <c r="A2" s="43"/>
      <c r="B2" s="43"/>
      <c r="C2" s="43"/>
      <c r="D2" s="43"/>
      <c r="E2" s="43"/>
      <c r="F2" s="43"/>
      <c r="G2" s="43"/>
      <c r="H2" s="43"/>
      <c r="I2" s="47"/>
      <c r="J2" s="47"/>
      <c r="K2" s="43"/>
      <c r="L2" s="47"/>
      <c r="M2" s="47"/>
      <c r="N2" s="43"/>
      <c r="O2" s="47"/>
      <c r="P2" s="47"/>
      <c r="Q2" s="43"/>
      <c r="R2" s="47"/>
      <c r="S2" s="47"/>
      <c r="T2" s="43"/>
      <c r="U2" s="47"/>
      <c r="V2" s="47"/>
      <c r="W2" s="43"/>
      <c r="X2" s="47"/>
      <c r="Y2" s="47"/>
      <c r="Z2" s="43"/>
      <c r="AA2" s="47"/>
      <c r="AB2" s="47"/>
      <c r="AC2" s="43"/>
      <c r="AD2" s="47"/>
      <c r="AE2" s="47"/>
      <c r="AF2" s="43"/>
      <c r="AG2" s="47"/>
      <c r="AH2" s="47"/>
      <c r="AI2" s="43"/>
      <c r="AJ2" s="43"/>
      <c r="AK2" s="43"/>
      <c r="AL2" s="43"/>
    </row>
    <row r="3" spans="1:38" x14ac:dyDescent="0.4">
      <c r="A3" s="43"/>
      <c r="B3" s="43"/>
      <c r="C3" s="44" t="s">
        <v>214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</row>
    <row r="4" spans="1:38" x14ac:dyDescent="0.4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</row>
    <row r="5" spans="1:38" x14ac:dyDescent="0.4">
      <c r="A5" s="43" t="s">
        <v>215</v>
      </c>
      <c r="B5" s="43"/>
      <c r="C5" s="45" t="s">
        <v>6</v>
      </c>
      <c r="D5" s="46">
        <v>5002</v>
      </c>
      <c r="E5" s="43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3"/>
      <c r="AK5" s="43"/>
      <c r="AL5" s="43"/>
    </row>
    <row r="6" spans="1:38" x14ac:dyDescent="0.4">
      <c r="A6" s="43" t="s">
        <v>220</v>
      </c>
      <c r="B6" s="43"/>
      <c r="C6" s="45" t="s">
        <v>5</v>
      </c>
      <c r="D6" s="46">
        <v>1</v>
      </c>
      <c r="E6" s="43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3"/>
      <c r="AK6" s="43"/>
      <c r="AL6" s="43"/>
    </row>
    <row r="7" spans="1:38" x14ac:dyDescent="0.4">
      <c r="A7" s="43" t="s">
        <v>217</v>
      </c>
      <c r="B7" s="43"/>
      <c r="C7" s="45" t="s">
        <v>221</v>
      </c>
      <c r="D7" s="46">
        <v>30</v>
      </c>
      <c r="E7" s="43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3"/>
      <c r="AK7" s="43"/>
      <c r="AL7" s="43"/>
    </row>
    <row r="8" spans="1:38" x14ac:dyDescent="0.4">
      <c r="A8" s="43" t="s">
        <v>218</v>
      </c>
      <c r="B8" s="43"/>
      <c r="C8" s="45" t="s">
        <v>200</v>
      </c>
      <c r="D8" s="46">
        <v>5</v>
      </c>
      <c r="E8" s="43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3"/>
      <c r="AK8" s="43"/>
      <c r="AL8" s="43"/>
    </row>
    <row r="9" spans="1:38" x14ac:dyDescent="0.4">
      <c r="A9" s="43" t="s">
        <v>219</v>
      </c>
      <c r="B9" s="43"/>
      <c r="C9" s="45" t="s">
        <v>222</v>
      </c>
      <c r="D9" s="46">
        <v>5</v>
      </c>
      <c r="E9" s="43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3"/>
      <c r="AK9" s="43"/>
      <c r="AL9" s="43"/>
    </row>
    <row r="10" spans="1:38" x14ac:dyDescent="0.4">
      <c r="A10" s="43" t="s">
        <v>227</v>
      </c>
      <c r="B10" s="43"/>
      <c r="C10" s="45" t="s">
        <v>216</v>
      </c>
      <c r="D10" s="46"/>
      <c r="E10" s="43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3"/>
      <c r="AK10" s="43"/>
      <c r="AL10" s="43"/>
    </row>
    <row r="11" spans="1:38" x14ac:dyDescent="0.4">
      <c r="A11" s="43"/>
      <c r="B11" s="43"/>
      <c r="C11" s="43"/>
      <c r="D11" s="43"/>
      <c r="E11" s="43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3"/>
      <c r="AK11" s="43"/>
      <c r="AL11" s="43"/>
    </row>
    <row r="12" spans="1:38" x14ac:dyDescent="0.4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</row>
    <row r="13" spans="1:38" x14ac:dyDescent="0.4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</row>
    <row r="14" spans="1:38" x14ac:dyDescent="0.4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</row>
  </sheetData>
  <phoneticPr fontId="1" type="noConversion"/>
  <pageMargins left="0.7" right="0.7" top="0.75" bottom="0.75" header="0.3" footer="0.3"/>
  <pageSetup paperSize="9"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Z_Setting">
                <anchor moveWithCells="1" sizeWithCells="1">
                  <from>
                    <xdr:col>2</xdr:col>
                    <xdr:colOff>91440</xdr:colOff>
                    <xdr:row>0</xdr:row>
                    <xdr:rowOff>38100</xdr:rowOff>
                  </from>
                  <to>
                    <xdr:col>2</xdr:col>
                    <xdr:colOff>647700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Z_Print">
                <anchor moveWithCells="1" sizeWithCells="1">
                  <from>
                    <xdr:col>3</xdr:col>
                    <xdr:colOff>60960</xdr:colOff>
                    <xdr:row>0</xdr:row>
                    <xdr:rowOff>38100</xdr:rowOff>
                  </from>
                  <to>
                    <xdr:col>4</xdr:col>
                    <xdr:colOff>7620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Z_Clear">
                <anchor moveWithCells="1" sizeWithCells="1">
                  <from>
                    <xdr:col>3</xdr:col>
                    <xdr:colOff>68580</xdr:colOff>
                    <xdr:row>2</xdr:row>
                    <xdr:rowOff>76200</xdr:rowOff>
                  </from>
                  <to>
                    <xdr:col>3</xdr:col>
                    <xdr:colOff>647700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B0FC-91F3-4321-845A-A195978D206C}">
  <sheetPr codeName="Sheet6"/>
  <dimension ref="A1:D11"/>
  <sheetViews>
    <sheetView workbookViewId="0">
      <selection activeCell="C21" sqref="C21"/>
    </sheetView>
  </sheetViews>
  <sheetFormatPr defaultRowHeight="17.399999999999999" x14ac:dyDescent="0.4"/>
  <cols>
    <col min="3" max="3" width="41" bestFit="1" customWidth="1"/>
    <col min="4" max="4" width="19.59765625" bestFit="1" customWidth="1"/>
    <col min="8" max="8" width="23.5" bestFit="1" customWidth="1"/>
  </cols>
  <sheetData>
    <row r="1" spans="1:4" x14ac:dyDescent="0.4">
      <c r="A1" s="1" t="s">
        <v>164</v>
      </c>
    </row>
    <row r="3" spans="1:4" x14ac:dyDescent="0.4">
      <c r="A3" s="17" t="s">
        <v>0</v>
      </c>
      <c r="B3" s="17" t="s">
        <v>150</v>
      </c>
      <c r="C3" s="17" t="s">
        <v>1</v>
      </c>
      <c r="D3" s="39" t="s">
        <v>254</v>
      </c>
    </row>
    <row r="4" spans="1:4" x14ac:dyDescent="0.4">
      <c r="A4" s="3">
        <v>1</v>
      </c>
      <c r="B4" s="3" t="s">
        <v>133</v>
      </c>
      <c r="C4" s="3" t="s">
        <v>134</v>
      </c>
      <c r="D4" s="15" t="s">
        <v>255</v>
      </c>
    </row>
    <row r="5" spans="1:4" x14ac:dyDescent="0.4">
      <c r="A5" s="3">
        <v>2</v>
      </c>
      <c r="B5" s="3" t="s">
        <v>135</v>
      </c>
      <c r="C5" s="3" t="s">
        <v>136</v>
      </c>
      <c r="D5" s="15" t="s">
        <v>255</v>
      </c>
    </row>
    <row r="6" spans="1:4" x14ac:dyDescent="0.4">
      <c r="A6" s="3">
        <v>3</v>
      </c>
      <c r="B6" s="3" t="s">
        <v>137</v>
      </c>
      <c r="C6" s="3" t="s">
        <v>138</v>
      </c>
      <c r="D6" s="15" t="s">
        <v>256</v>
      </c>
    </row>
    <row r="7" spans="1:4" x14ac:dyDescent="0.4">
      <c r="A7" s="3">
        <v>4</v>
      </c>
      <c r="B7" s="3" t="s">
        <v>139</v>
      </c>
      <c r="C7" s="3" t="s">
        <v>140</v>
      </c>
      <c r="D7" s="15" t="s">
        <v>257</v>
      </c>
    </row>
    <row r="8" spans="1:4" x14ac:dyDescent="0.4">
      <c r="A8" s="3">
        <v>5</v>
      </c>
      <c r="B8" s="3" t="s">
        <v>142</v>
      </c>
      <c r="C8" s="3" t="s">
        <v>143</v>
      </c>
      <c r="D8" s="15" t="s">
        <v>258</v>
      </c>
    </row>
    <row r="9" spans="1:4" x14ac:dyDescent="0.4">
      <c r="A9" s="3">
        <v>6</v>
      </c>
      <c r="B9" s="3" t="s">
        <v>144</v>
      </c>
      <c r="C9" s="3" t="s">
        <v>145</v>
      </c>
      <c r="D9" s="15" t="s">
        <v>259</v>
      </c>
    </row>
    <row r="10" spans="1:4" x14ac:dyDescent="0.4">
      <c r="A10" s="3">
        <v>7</v>
      </c>
      <c r="B10" s="3" t="s">
        <v>146</v>
      </c>
      <c r="C10" s="3" t="s">
        <v>147</v>
      </c>
      <c r="D10" s="15" t="s">
        <v>260</v>
      </c>
    </row>
    <row r="11" spans="1:4" x14ac:dyDescent="0.4">
      <c r="A11" s="3">
        <v>8</v>
      </c>
      <c r="B11" s="3" t="s">
        <v>148</v>
      </c>
      <c r="C11" s="3" t="s">
        <v>149</v>
      </c>
      <c r="D11" s="15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</vt:i4>
      </vt:variant>
    </vt:vector>
  </HeadingPairs>
  <TitlesOfParts>
    <vt:vector size="12" baseType="lpstr">
      <vt:lpstr>Qx</vt:lpstr>
      <vt:lpstr>Cov</vt:lpstr>
      <vt:lpstr>CombQx</vt:lpstr>
      <vt:lpstr>Expense</vt:lpstr>
      <vt:lpstr>Srate</vt:lpstr>
      <vt:lpstr>Sample</vt:lpstr>
      <vt:lpstr>Remark</vt:lpstr>
      <vt:lpstr>CombQx!Print_Area</vt:lpstr>
      <vt:lpstr>Cov!Print_Area</vt:lpstr>
      <vt:lpstr>Qx!Print_Area</vt:lpstr>
      <vt:lpstr>Sample!Print_Area</vt:lpstr>
      <vt:lpstr>Srate!Print_Area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N</cp:lastModifiedBy>
  <dcterms:created xsi:type="dcterms:W3CDTF">2022-02-22T12:31:59Z</dcterms:created>
  <dcterms:modified xsi:type="dcterms:W3CDTF">2022-02-27T13:58:10Z</dcterms:modified>
</cp:coreProperties>
</file>