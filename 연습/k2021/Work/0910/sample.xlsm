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N\Desktop\"/>
    </mc:Choice>
  </mc:AlternateContent>
  <xr:revisionPtr revIDLastSave="0" documentId="13_ncr:1_{60796A22-682C-4CF4-A78B-DCECF030A51D}" xr6:coauthVersionLast="47" xr6:coauthVersionMax="47" xr10:uidLastSave="{00000000-0000-0000-0000-000000000000}"/>
  <bookViews>
    <workbookView xWindow="7956" yWindow="0" windowWidth="13632" windowHeight="12348" activeTab="1" xr2:uid="{D72F9FF4-5E15-4951-96BE-ADF41DA7590D}"/>
  </bookViews>
  <sheets>
    <sheet name="위험률" sheetId="2" r:id="rId1"/>
    <sheet name="코드" sheetId="6" r:id="rId2"/>
    <sheet name="결과" sheetId="3" r:id="rId3"/>
    <sheet name="샘플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6" l="1"/>
  <c r="G6" i="6"/>
  <c r="G4" i="6"/>
  <c r="H5" i="3"/>
  <c r="H6" i="3"/>
  <c r="H7" i="3"/>
  <c r="H8" i="3"/>
  <c r="H9" i="3"/>
  <c r="H10" i="3"/>
  <c r="H11" i="3"/>
  <c r="H12" i="3"/>
  <c r="H13" i="3"/>
  <c r="H14" i="3"/>
  <c r="H15" i="3"/>
  <c r="H4" i="3"/>
  <c r="L5" i="3"/>
  <c r="L6" i="3"/>
  <c r="L7" i="3"/>
  <c r="L8" i="3"/>
  <c r="L9" i="3"/>
  <c r="L10" i="3"/>
  <c r="L11" i="3"/>
  <c r="L12" i="3"/>
  <c r="L13" i="3"/>
  <c r="L14" i="3"/>
  <c r="L15" i="3"/>
  <c r="O5" i="3"/>
  <c r="O6" i="3"/>
  <c r="O7" i="3"/>
  <c r="O8" i="3"/>
  <c r="O9" i="3"/>
  <c r="O10" i="3"/>
  <c r="O11" i="3"/>
  <c r="O12" i="3"/>
  <c r="O13" i="3"/>
  <c r="O14" i="3"/>
  <c r="O15" i="3"/>
  <c r="O4" i="3"/>
  <c r="N6" i="3"/>
  <c r="N7" i="3"/>
  <c r="N8" i="3"/>
  <c r="N9" i="3"/>
  <c r="N10" i="3"/>
  <c r="N11" i="3"/>
  <c r="N12" i="3"/>
  <c r="N13" i="3"/>
  <c r="N14" i="3"/>
  <c r="N15" i="3"/>
  <c r="P6" i="3"/>
  <c r="P7" i="3"/>
  <c r="P8" i="3"/>
  <c r="P9" i="3"/>
  <c r="P10" i="3"/>
  <c r="P11" i="3"/>
  <c r="P12" i="3"/>
  <c r="P13" i="3"/>
  <c r="P14" i="3"/>
  <c r="P15" i="3"/>
  <c r="Q4" i="3"/>
  <c r="Q5" i="3"/>
  <c r="Q6" i="3"/>
  <c r="Q7" i="3"/>
  <c r="Q8" i="3"/>
  <c r="Q9" i="3"/>
  <c r="Q10" i="3"/>
  <c r="Q11" i="3"/>
  <c r="Q12" i="3"/>
  <c r="Q13" i="3"/>
  <c r="Q14" i="3"/>
  <c r="Q15" i="3"/>
  <c r="R4" i="3"/>
  <c r="R5" i="3"/>
  <c r="R6" i="3"/>
  <c r="R7" i="3"/>
  <c r="R8" i="3"/>
  <c r="R9" i="3"/>
  <c r="R10" i="3"/>
  <c r="R11" i="3"/>
  <c r="R12" i="3"/>
  <c r="R13" i="3"/>
  <c r="R14" i="3"/>
  <c r="R15" i="3"/>
  <c r="S4" i="3"/>
  <c r="S5" i="3"/>
  <c r="S6" i="3"/>
  <c r="S7" i="3"/>
  <c r="S8" i="3"/>
  <c r="S9" i="3"/>
  <c r="S10" i="3"/>
  <c r="S11" i="3"/>
  <c r="S12" i="3"/>
  <c r="S13" i="3"/>
  <c r="S14" i="3"/>
  <c r="S15" i="3"/>
  <c r="T4" i="3"/>
  <c r="T5" i="3"/>
  <c r="T6" i="3"/>
  <c r="T7" i="3"/>
  <c r="T8" i="3"/>
  <c r="T9" i="3"/>
  <c r="T10" i="3"/>
  <c r="T11" i="3"/>
  <c r="T12" i="3"/>
  <c r="T13" i="3"/>
  <c r="T14" i="3"/>
  <c r="T15" i="3"/>
  <c r="U4" i="3"/>
  <c r="U5" i="3"/>
  <c r="U6" i="3"/>
  <c r="U7" i="3"/>
  <c r="U8" i="3"/>
  <c r="U9" i="3"/>
  <c r="U10" i="3"/>
  <c r="U11" i="3"/>
  <c r="U12" i="3"/>
  <c r="U13" i="3"/>
  <c r="U14" i="3"/>
  <c r="U15" i="3"/>
  <c r="V4" i="3"/>
  <c r="V5" i="3"/>
  <c r="V6" i="3"/>
  <c r="V7" i="3"/>
  <c r="V8" i="3"/>
  <c r="V9" i="3"/>
  <c r="V10" i="3"/>
  <c r="V11" i="3"/>
  <c r="V12" i="3"/>
  <c r="V13" i="3"/>
  <c r="V14" i="3"/>
  <c r="V15" i="3"/>
  <c r="W4" i="3"/>
  <c r="W5" i="3"/>
  <c r="W6" i="3"/>
  <c r="W7" i="3"/>
  <c r="W8" i="3"/>
  <c r="W9" i="3"/>
  <c r="W10" i="3"/>
  <c r="W11" i="3"/>
  <c r="W12" i="3"/>
  <c r="W13" i="3"/>
  <c r="W14" i="3"/>
  <c r="W15" i="3"/>
  <c r="P5" i="3"/>
  <c r="P4" i="3"/>
  <c r="N4" i="3" l="1"/>
  <c r="N5" i="3"/>
  <c r="L4" i="3"/>
  <c r="R4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C5" i="5" l="1" a="1"/>
  <c r="C5" i="5" s="1"/>
  <c r="R71" i="6"/>
  <c r="R70" i="6"/>
  <c r="R69" i="6"/>
  <c r="R68" i="6"/>
  <c r="R67" i="6"/>
  <c r="R66" i="6"/>
  <c r="R65" i="6"/>
  <c r="R64" i="6"/>
  <c r="R63" i="6"/>
  <c r="R62" i="6"/>
  <c r="R61" i="6"/>
  <c r="R60" i="6"/>
  <c r="R59" i="6"/>
  <c r="R58" i="6"/>
  <c r="R57" i="6"/>
  <c r="R56" i="6"/>
  <c r="R55" i="6"/>
  <c r="R54" i="6"/>
  <c r="R53" i="6"/>
  <c r="R52" i="6"/>
  <c r="R51" i="6"/>
  <c r="R50" i="6"/>
  <c r="R49" i="6"/>
  <c r="R48" i="6"/>
  <c r="R47" i="6"/>
  <c r="R46" i="6"/>
  <c r="R45" i="6"/>
  <c r="R44" i="6"/>
  <c r="R43" i="6"/>
  <c r="R42" i="6"/>
  <c r="R41" i="6"/>
  <c r="R40" i="6"/>
  <c r="R39" i="6"/>
  <c r="R38" i="6"/>
  <c r="R37" i="6"/>
  <c r="R36" i="6"/>
  <c r="R35" i="6"/>
  <c r="R34" i="6"/>
  <c r="R33" i="6"/>
  <c r="R32" i="6"/>
  <c r="R31" i="6"/>
  <c r="R30" i="6"/>
  <c r="R29" i="6"/>
  <c r="R28" i="6"/>
  <c r="R27" i="6"/>
  <c r="R26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M71" i="6"/>
  <c r="M70" i="6"/>
  <c r="M69" i="6"/>
  <c r="M68" i="6"/>
  <c r="M67" i="6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4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CB2" i="5"/>
  <c r="CC2" i="5" s="1"/>
  <c r="CD2" i="5" s="1"/>
  <c r="A6" i="5" l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G2" i="5"/>
  <c r="H2" i="5" s="1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V2" i="5" s="1"/>
  <c r="W2" i="5" s="1"/>
  <c r="X2" i="5" s="1"/>
  <c r="Y2" i="5" s="1"/>
  <c r="Z2" i="5" s="1"/>
  <c r="AA2" i="5" s="1"/>
  <c r="AB2" i="5" s="1"/>
  <c r="AC2" i="5" s="1"/>
  <c r="AD2" i="5" s="1"/>
  <c r="AE2" i="5" s="1"/>
  <c r="AF2" i="5" s="1"/>
  <c r="AG2" i="5" s="1"/>
  <c r="AH2" i="5" s="1"/>
  <c r="AI2" i="5" s="1"/>
  <c r="AJ2" i="5" s="1"/>
  <c r="AK2" i="5" s="1"/>
  <c r="AL2" i="5" s="1"/>
  <c r="AM2" i="5" s="1"/>
  <c r="AN2" i="5" s="1"/>
  <c r="AO2" i="5" s="1"/>
  <c r="AP2" i="5" s="1"/>
  <c r="AQ2" i="5" s="1"/>
  <c r="AR2" i="5" s="1"/>
  <c r="AS2" i="5" s="1"/>
  <c r="AT2" i="5" s="1"/>
  <c r="AU2" i="5" s="1"/>
  <c r="AV2" i="5" s="1"/>
  <c r="AW2" i="5" s="1"/>
  <c r="AX2" i="5" s="1"/>
  <c r="AY2" i="5" s="1"/>
  <c r="AZ2" i="5" s="1"/>
  <c r="BA2" i="5" s="1"/>
  <c r="BB2" i="5" s="1"/>
  <c r="BC2" i="5" s="1"/>
  <c r="BD2" i="5" s="1"/>
  <c r="BE2" i="5" s="1"/>
  <c r="BF2" i="5" s="1"/>
  <c r="BG2" i="5" s="1"/>
  <c r="BH2" i="5" s="1"/>
  <c r="BI2" i="5" s="1"/>
  <c r="BJ2" i="5" s="1"/>
  <c r="BK2" i="5" s="1"/>
  <c r="BL2" i="5" s="1"/>
  <c r="BM2" i="5" s="1"/>
  <c r="BN2" i="5" s="1"/>
  <c r="BO2" i="5" s="1"/>
  <c r="BP2" i="5" s="1"/>
  <c r="BQ2" i="5" s="1"/>
  <c r="BR2" i="5" s="1"/>
  <c r="BS2" i="5" s="1"/>
  <c r="BT2" i="5" s="1"/>
  <c r="BU2" i="5" s="1"/>
  <c r="BV2" i="5" s="1"/>
  <c r="BW2" i="5" s="1"/>
  <c r="BX2" i="5" s="1"/>
  <c r="BY2" i="5" s="1"/>
  <c r="BZ2" i="5" s="1"/>
  <c r="CA2" i="5" s="1"/>
  <c r="AB2" i="3"/>
  <c r="AC2" i="3" s="1"/>
  <c r="AD2" i="3" s="1"/>
  <c r="AE2" i="3" s="1"/>
  <c r="AF2" i="3" s="1"/>
  <c r="AG2" i="3" s="1"/>
  <c r="AH2" i="3" s="1"/>
  <c r="AI2" i="3" s="1"/>
  <c r="AJ2" i="3" s="1"/>
  <c r="AK2" i="3" s="1"/>
  <c r="AL2" i="3" s="1"/>
  <c r="AM2" i="3" s="1"/>
  <c r="AN2" i="3" s="1"/>
  <c r="AO2" i="3" s="1"/>
  <c r="AP2" i="3" s="1"/>
  <c r="AQ2" i="3" s="1"/>
  <c r="AR2" i="3" s="1"/>
  <c r="AS2" i="3" s="1"/>
  <c r="AT2" i="3" s="1"/>
  <c r="AU2" i="3" s="1"/>
  <c r="AV2" i="3" s="1"/>
  <c r="AW2" i="3" s="1"/>
  <c r="AX2" i="3" s="1"/>
  <c r="AY2" i="3" s="1"/>
  <c r="AZ2" i="3" s="1"/>
  <c r="BA2" i="3" s="1"/>
  <c r="BB2" i="3" s="1"/>
  <c r="BC2" i="3" s="1"/>
  <c r="BD2" i="3" s="1"/>
  <c r="BE2" i="3" s="1"/>
  <c r="BF2" i="3" s="1"/>
  <c r="BG2" i="3" s="1"/>
  <c r="BH2" i="3" s="1"/>
  <c r="BI2" i="3" s="1"/>
  <c r="BJ2" i="3" s="1"/>
  <c r="BK2" i="3" s="1"/>
  <c r="BL2" i="3" s="1"/>
  <c r="BM2" i="3" s="1"/>
  <c r="BN2" i="3" s="1"/>
  <c r="BO2" i="3" s="1"/>
  <c r="BP2" i="3" s="1"/>
  <c r="BQ2" i="3" s="1"/>
  <c r="BR2" i="3" s="1"/>
  <c r="BS2" i="3" s="1"/>
  <c r="BT2" i="3" s="1"/>
  <c r="BU2" i="3" s="1"/>
  <c r="BV2" i="3" s="1"/>
  <c r="BW2" i="3" s="1"/>
  <c r="BX2" i="3" s="1"/>
  <c r="BY2" i="3" s="1"/>
  <c r="BZ2" i="3" s="1"/>
  <c r="CA2" i="3" s="1"/>
  <c r="CB2" i="3" s="1"/>
  <c r="CC2" i="3" s="1"/>
  <c r="CD2" i="3" s="1"/>
  <c r="CE2" i="3" s="1"/>
  <c r="CF2" i="3" s="1"/>
  <c r="CG2" i="3" s="1"/>
  <c r="CH2" i="3" s="1"/>
  <c r="CI2" i="3" s="1"/>
  <c r="CJ2" i="3" s="1"/>
  <c r="CK2" i="3" s="1"/>
  <c r="CL2" i="3" s="1"/>
  <c r="CM2" i="3" s="1"/>
  <c r="CN2" i="3" s="1"/>
  <c r="CO2" i="3" s="1"/>
  <c r="CP2" i="3" s="1"/>
  <c r="CQ2" i="3" s="1"/>
  <c r="CR2" i="3" s="1"/>
  <c r="CS2" i="3" s="1"/>
  <c r="CT2" i="3" s="1"/>
  <c r="CU2" i="3" s="1"/>
  <c r="CV2" i="3" s="1"/>
  <c r="CW2" i="3" s="1"/>
  <c r="CX2" i="3" s="1"/>
  <c r="CY2" i="3" s="1"/>
  <c r="CZ2" i="3" s="1"/>
  <c r="DA2" i="3" s="1"/>
  <c r="DB2" i="3" s="1"/>
  <c r="DC2" i="3" s="1"/>
  <c r="DD2" i="3" s="1"/>
  <c r="DE2" i="3" s="1"/>
  <c r="DF2" i="3" s="1"/>
  <c r="DG2" i="3" s="1"/>
  <c r="DH2" i="3" s="1"/>
  <c r="S4" i="2"/>
  <c r="B2" i="2"/>
  <c r="C2" i="2" s="1"/>
  <c r="D2" i="2" s="1"/>
  <c r="E2" i="2" s="1"/>
  <c r="F2" i="2" s="1"/>
  <c r="G2" i="2" s="1"/>
  <c r="H2" i="2" s="1"/>
  <c r="I2" i="2" s="1"/>
  <c r="J2" i="2" s="1"/>
  <c r="K2" i="2" s="1"/>
  <c r="L2" i="2" s="1"/>
  <c r="C2" i="3"/>
  <c r="D2" i="3" s="1"/>
  <c r="E2" i="3" s="1"/>
  <c r="F2" i="3" s="1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S2" i="3" s="1"/>
  <c r="T2" i="3" s="1"/>
  <c r="U2" i="3" s="1"/>
  <c r="V2" i="3" s="1"/>
  <c r="W2" i="3" s="1"/>
  <c r="D12" i="5" l="1"/>
  <c r="D15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</author>
  </authors>
  <commentList>
    <comment ref="G3" authorId="0" shapeId="0" xr:uid="{B012B41F-9D0E-48FE-8581-BBCB841E6A50}">
      <text>
        <r>
          <rPr>
            <b/>
            <sz val="9"/>
            <color indexed="81"/>
            <rFont val="돋움"/>
            <family val="3"/>
            <charset val="129"/>
          </rPr>
          <t>담보코드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보조키</t>
        </r>
        <r>
          <rPr>
            <b/>
            <sz val="9"/>
            <color indexed="81"/>
            <rFont val="Tahoma"/>
            <family val="2"/>
          </rPr>
          <t xml:space="preserve"> 1~4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KEY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만들기</t>
        </r>
      </text>
    </comment>
    <comment ref="H3" authorId="0" shapeId="0" xr:uid="{D4285016-0A37-482A-A556-B6CF998123D0}">
      <text>
        <r>
          <rPr>
            <b/>
            <sz val="9"/>
            <color indexed="81"/>
            <rFont val="Tahoma"/>
            <family val="2"/>
          </rPr>
          <t xml:space="preserve">0 : </t>
        </r>
        <r>
          <rPr>
            <b/>
            <sz val="9"/>
            <color indexed="81"/>
            <rFont val="돋움"/>
            <family val="3"/>
            <charset val="129"/>
          </rPr>
          <t>전체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유지자
</t>
        </r>
        <r>
          <rPr>
            <b/>
            <sz val="9"/>
            <color indexed="81"/>
            <rFont val="Tahoma"/>
            <family val="2"/>
          </rPr>
          <t xml:space="preserve">1,2,…98 : </t>
        </r>
        <r>
          <rPr>
            <b/>
            <sz val="9"/>
            <color indexed="81"/>
            <rFont val="돋움"/>
            <family val="3"/>
            <charset val="129"/>
          </rPr>
          <t>급부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대상자
</t>
        </r>
        <r>
          <rPr>
            <b/>
            <sz val="9"/>
            <color indexed="81"/>
            <rFont val="Tahoma"/>
            <family val="2"/>
          </rPr>
          <t xml:space="preserve">99 : </t>
        </r>
        <r>
          <rPr>
            <b/>
            <sz val="9"/>
            <color indexed="81"/>
            <rFont val="돋움"/>
            <family val="3"/>
            <charset val="129"/>
          </rPr>
          <t>납입자</t>
        </r>
      </text>
    </comment>
    <comment ref="K3" authorId="0" shapeId="0" xr:uid="{AA3A4970-A5DA-4A93-B221-7CF9A042E13B}">
      <text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 : </t>
        </r>
        <r>
          <rPr>
            <b/>
            <sz val="9"/>
            <color indexed="81"/>
            <rFont val="돋움"/>
            <family val="3"/>
            <charset val="129"/>
          </rPr>
          <t>월수</t>
        </r>
      </text>
    </comment>
    <comment ref="P3" authorId="0" shapeId="0" xr:uid="{23489497-F11E-4C79-9CD8-183FF8B4D612}">
      <text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 : </t>
        </r>
        <r>
          <rPr>
            <b/>
            <sz val="9"/>
            <color indexed="81"/>
            <rFont val="돋움"/>
            <family val="3"/>
            <charset val="129"/>
          </rPr>
          <t>년수</t>
        </r>
      </text>
    </comment>
    <comment ref="S3" authorId="0" shapeId="0" xr:uid="{95828817-55A5-46B9-B99B-5F6C0A05AF79}">
      <text>
        <r>
          <rPr>
            <b/>
            <sz val="9"/>
            <color indexed="81"/>
            <rFont val="돋움"/>
            <family val="3"/>
            <charset val="129"/>
          </rPr>
          <t>단위</t>
        </r>
        <r>
          <rPr>
            <b/>
            <sz val="9"/>
            <color indexed="81"/>
            <rFont val="Tahoma"/>
            <family val="2"/>
          </rPr>
          <t xml:space="preserve"> : </t>
        </r>
        <r>
          <rPr>
            <b/>
            <sz val="9"/>
            <color indexed="81"/>
            <rFont val="돋움"/>
            <family val="3"/>
            <charset val="129"/>
          </rPr>
          <t>월수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</author>
  </authors>
  <commentList>
    <comment ref="H3" authorId="0" shapeId="0" xr:uid="{866B2205-FF64-4B3E-B919-C8B987ECC3BF}">
      <text>
        <r>
          <rPr>
            <b/>
            <sz val="9"/>
            <color indexed="81"/>
            <rFont val="돋움"/>
            <family val="3"/>
            <charset val="129"/>
          </rPr>
          <t>담보코드</t>
        </r>
        <r>
          <rPr>
            <b/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돋움"/>
            <family val="3"/>
            <charset val="129"/>
          </rPr>
          <t>보조키</t>
        </r>
        <r>
          <rPr>
            <b/>
            <sz val="9"/>
            <color indexed="81"/>
            <rFont val="Tahoma"/>
            <family val="2"/>
          </rPr>
          <t xml:space="preserve"> 1~4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KEY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만들기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</author>
  </authors>
  <commentList>
    <comment ref="C3" authorId="0" shapeId="0" xr:uid="{DF11AE9F-9377-4D4B-BA3F-6F00BE5F6875}">
      <text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결과</t>
        </r>
        <r>
          <rPr>
            <b/>
            <sz val="9"/>
            <color indexed="81"/>
            <rFont val="Tahoma"/>
            <family val="2"/>
          </rPr>
          <t xml:space="preserve">" </t>
        </r>
        <r>
          <rPr>
            <b/>
            <sz val="9"/>
            <color indexed="81"/>
            <rFont val="돋움"/>
            <family val="3"/>
            <charset val="129"/>
          </rPr>
          <t>시트에서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몇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번째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행의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기수표를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볼껀지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<sst xmlns="http://schemas.openxmlformats.org/spreadsheetml/2006/main" count="369" uniqueCount="236">
  <si>
    <t>담보코드</t>
    <phoneticPr fontId="1" type="noConversion"/>
  </si>
  <si>
    <t>sub1</t>
    <phoneticPr fontId="1" type="noConversion"/>
  </si>
  <si>
    <t>sub2</t>
    <phoneticPr fontId="1" type="noConversion"/>
  </si>
  <si>
    <t>sub3</t>
    <phoneticPr fontId="1" type="noConversion"/>
  </si>
  <si>
    <t>sub4</t>
    <phoneticPr fontId="1" type="noConversion"/>
  </si>
  <si>
    <t>KEY</t>
    <phoneticPr fontId="1" type="noConversion"/>
  </si>
  <si>
    <t>담보명</t>
    <phoneticPr fontId="1" type="noConversion"/>
  </si>
  <si>
    <t>Qx1</t>
  </si>
  <si>
    <t>위험률키</t>
    <phoneticPr fontId="1" type="noConversion"/>
  </si>
  <si>
    <t>x</t>
    <phoneticPr fontId="1" type="noConversion"/>
  </si>
  <si>
    <t>Sub1</t>
    <phoneticPr fontId="1" type="noConversion"/>
  </si>
  <si>
    <t>Sub2</t>
    <phoneticPr fontId="1" type="noConversion"/>
  </si>
  <si>
    <t>Sub3</t>
    <phoneticPr fontId="1" type="noConversion"/>
  </si>
  <si>
    <t>Sub4</t>
    <phoneticPr fontId="1" type="noConversion"/>
  </si>
  <si>
    <t>위험률명</t>
    <phoneticPr fontId="1" type="noConversion"/>
  </si>
  <si>
    <t>남자</t>
    <phoneticPr fontId="1" type="noConversion"/>
  </si>
  <si>
    <t>여자</t>
    <phoneticPr fontId="1" type="noConversion"/>
  </si>
  <si>
    <t>위험률코드</t>
    <phoneticPr fontId="1" type="noConversion"/>
  </si>
  <si>
    <t>가입금액</t>
    <phoneticPr fontId="1" type="noConversion"/>
  </si>
  <si>
    <t>납입면제율명</t>
    <phoneticPr fontId="1" type="noConversion"/>
  </si>
  <si>
    <t>급부탈퇴율명</t>
    <phoneticPr fontId="1" type="noConversion"/>
  </si>
  <si>
    <t>급부지급률명</t>
    <phoneticPr fontId="1" type="noConversion"/>
  </si>
  <si>
    <t>sex</t>
    <phoneticPr fontId="1" type="noConversion"/>
  </si>
  <si>
    <t>n</t>
    <phoneticPr fontId="1" type="noConversion"/>
  </si>
  <si>
    <t>m</t>
    <phoneticPr fontId="1" type="noConversion"/>
  </si>
  <si>
    <t>mPrime</t>
    <phoneticPr fontId="1" type="noConversion"/>
  </si>
  <si>
    <t>지급률</t>
    <phoneticPr fontId="1" type="noConversion"/>
  </si>
  <si>
    <t>감액률</t>
    <phoneticPr fontId="1" type="noConversion"/>
  </si>
  <si>
    <t>감액기간</t>
    <phoneticPr fontId="1" type="noConversion"/>
  </si>
  <si>
    <t>부담보기간</t>
    <phoneticPr fontId="1" type="noConversion"/>
  </si>
  <si>
    <t>면책기간</t>
    <phoneticPr fontId="1" type="noConversion"/>
  </si>
  <si>
    <t>담보코드</t>
  </si>
  <si>
    <t>담보명</t>
  </si>
  <si>
    <t>sub1</t>
  </si>
  <si>
    <t>sub2</t>
  </si>
  <si>
    <t>sub3</t>
  </si>
  <si>
    <t>sub4</t>
  </si>
  <si>
    <t>KEY</t>
  </si>
  <si>
    <t>S비율</t>
  </si>
  <si>
    <t>α1</t>
  </si>
  <si>
    <t>α2</t>
  </si>
  <si>
    <t>β1</t>
  </si>
  <si>
    <t>β2</t>
  </si>
  <si>
    <t>β'</t>
  </si>
  <si>
    <t>β5</t>
  </si>
  <si>
    <t>손해조사비</t>
  </si>
  <si>
    <t>γ</t>
  </si>
  <si>
    <t>가입금액</t>
  </si>
  <si>
    <t>상해급수</t>
    <phoneticPr fontId="1" type="noConversion"/>
  </si>
  <si>
    <t>운전자급수</t>
    <phoneticPr fontId="1" type="noConversion"/>
  </si>
  <si>
    <t>시작행</t>
    <phoneticPr fontId="1" type="noConversion"/>
  </si>
  <si>
    <t>개수</t>
    <phoneticPr fontId="1" type="noConversion"/>
  </si>
  <si>
    <t>☞ Tab위험률</t>
    <phoneticPr fontId="1" type="noConversion"/>
  </si>
  <si>
    <t>☞ Tab코드</t>
    <phoneticPr fontId="1" type="noConversion"/>
  </si>
  <si>
    <t>☞ Tab위험률키</t>
    <phoneticPr fontId="1" type="noConversion"/>
  </si>
  <si>
    <t>급부번호</t>
    <phoneticPr fontId="1" type="noConversion"/>
  </si>
  <si>
    <t>급부위험률키</t>
    <phoneticPr fontId="1" type="noConversion"/>
  </si>
  <si>
    <t>납입면제위험률키</t>
    <phoneticPr fontId="1" type="noConversion"/>
  </si>
  <si>
    <t>탈퇴위험률키</t>
    <phoneticPr fontId="1" type="noConversion"/>
  </si>
  <si>
    <t>#</t>
    <phoneticPr fontId="1" type="noConversion"/>
  </si>
  <si>
    <t>☞ Tab 결과</t>
    <phoneticPr fontId="1" type="noConversion"/>
  </si>
  <si>
    <t>月납 순보험료</t>
  </si>
  <si>
    <t>年납 순보험료</t>
  </si>
  <si>
    <t>月납 영업보험료</t>
  </si>
  <si>
    <t>V(0)</t>
    <phoneticPr fontId="1" type="noConversion"/>
  </si>
  <si>
    <t>V(1)</t>
  </si>
  <si>
    <t>V(2)</t>
  </si>
  <si>
    <t>V(3)</t>
  </si>
  <si>
    <t>V(4)</t>
  </si>
  <si>
    <t>V(5)</t>
  </si>
  <si>
    <t>V(6)</t>
  </si>
  <si>
    <t>V(7)</t>
  </si>
  <si>
    <t>V(8)</t>
  </si>
  <si>
    <t>V(9)</t>
  </si>
  <si>
    <t>V(10)</t>
  </si>
  <si>
    <t>V(11)</t>
  </si>
  <si>
    <t>V(12)</t>
  </si>
  <si>
    <t>V(13)</t>
  </si>
  <si>
    <t>V(14)</t>
  </si>
  <si>
    <t>V(15)</t>
  </si>
  <si>
    <t>V(16)</t>
  </si>
  <si>
    <t>V(17)</t>
  </si>
  <si>
    <t>V(18)</t>
  </si>
  <si>
    <t>V(19)</t>
  </si>
  <si>
    <t>V(20)</t>
  </si>
  <si>
    <t>V(21)</t>
  </si>
  <si>
    <t>V(22)</t>
  </si>
  <si>
    <t>V(23)</t>
  </si>
  <si>
    <t>V(24)</t>
  </si>
  <si>
    <t>V(25)</t>
  </si>
  <si>
    <t>V(26)</t>
  </si>
  <si>
    <t>V(27)</t>
  </si>
  <si>
    <t>V(28)</t>
  </si>
  <si>
    <t>V(29)</t>
  </si>
  <si>
    <t>V(30)</t>
  </si>
  <si>
    <t>V(31)</t>
  </si>
  <si>
    <t>V(32)</t>
  </si>
  <si>
    <t>V(33)</t>
  </si>
  <si>
    <t>V(34)</t>
  </si>
  <si>
    <t>V(35)</t>
  </si>
  <si>
    <t>V(36)</t>
  </si>
  <si>
    <t>V(37)</t>
  </si>
  <si>
    <t>V(38)</t>
  </si>
  <si>
    <t>V(39)</t>
  </si>
  <si>
    <t>V(40)</t>
  </si>
  <si>
    <t>W(0)</t>
    <phoneticPr fontId="1" type="noConversion"/>
  </si>
  <si>
    <t>W(1)</t>
  </si>
  <si>
    <t>W(2)</t>
  </si>
  <si>
    <t>W(3)</t>
  </si>
  <si>
    <t>W(4)</t>
  </si>
  <si>
    <t>W(5)</t>
  </si>
  <si>
    <t>W(6)</t>
  </si>
  <si>
    <t>W(7)</t>
  </si>
  <si>
    <t>W(8)</t>
  </si>
  <si>
    <t>W(9)</t>
  </si>
  <si>
    <t>W(10)</t>
  </si>
  <si>
    <t>W(11)</t>
  </si>
  <si>
    <t>W(12)</t>
  </si>
  <si>
    <t>W(13)</t>
  </si>
  <si>
    <t>W(14)</t>
  </si>
  <si>
    <t>W(15)</t>
  </si>
  <si>
    <t>W(16)</t>
  </si>
  <si>
    <t>W(17)</t>
  </si>
  <si>
    <t>W(18)</t>
  </si>
  <si>
    <t>W(19)</t>
  </si>
  <si>
    <t>W(20)</t>
  </si>
  <si>
    <t>W(21)</t>
  </si>
  <si>
    <t>W(22)</t>
  </si>
  <si>
    <t>W(23)</t>
  </si>
  <si>
    <t>W(24)</t>
  </si>
  <si>
    <t>W(25)</t>
  </si>
  <si>
    <t>W(26)</t>
  </si>
  <si>
    <t>W(27)</t>
  </si>
  <si>
    <t>W(28)</t>
  </si>
  <si>
    <t>W(29)</t>
  </si>
  <si>
    <t>W(30)</t>
  </si>
  <si>
    <t>W(31)</t>
  </si>
  <si>
    <t>W(32)</t>
  </si>
  <si>
    <t>W(33)</t>
  </si>
  <si>
    <t>W(34)</t>
  </si>
  <si>
    <t>W(35)</t>
  </si>
  <si>
    <t>W(36)</t>
  </si>
  <si>
    <t>W(37)</t>
  </si>
  <si>
    <t>W(38)</t>
  </si>
  <si>
    <t>W(39)</t>
  </si>
  <si>
    <t>W(40)</t>
  </si>
  <si>
    <t>☞ Tab대상건</t>
    <phoneticPr fontId="1" type="noConversion"/>
  </si>
  <si>
    <t>t</t>
    <phoneticPr fontId="1" type="noConversion"/>
  </si>
  <si>
    <t>Qx(0)</t>
  </si>
  <si>
    <t>Qx(1)</t>
  </si>
  <si>
    <t>Qx(2)</t>
  </si>
  <si>
    <t>Qx(3)</t>
  </si>
  <si>
    <t>Qx(4)</t>
  </si>
  <si>
    <t>Qx(5)</t>
  </si>
  <si>
    <t>Qx(6)</t>
  </si>
  <si>
    <t>Qx(7)</t>
  </si>
  <si>
    <t>Qx(8)</t>
  </si>
  <si>
    <t>Qx(9)</t>
  </si>
  <si>
    <t>Qx(10)</t>
  </si>
  <si>
    <t>Qx(11)</t>
  </si>
  <si>
    <t>Qx(12)</t>
  </si>
  <si>
    <t>Bx(1)</t>
  </si>
  <si>
    <t>Bx(2)</t>
  </si>
  <si>
    <t>Bx(3)</t>
  </si>
  <si>
    <t>Bx(4)</t>
  </si>
  <si>
    <t>Bx(5)</t>
  </si>
  <si>
    <t>Bx(6)</t>
  </si>
  <si>
    <t>Bx(7)</t>
  </si>
  <si>
    <t>Bx(8)</t>
  </si>
  <si>
    <t>Bx(9)</t>
  </si>
  <si>
    <t>Bx(10)</t>
  </si>
  <si>
    <t>Bx(11)</t>
  </si>
  <si>
    <t>Bx(12)</t>
  </si>
  <si>
    <t>Gx</t>
  </si>
  <si>
    <t>lx(0)</t>
    <phoneticPr fontId="1" type="noConversion"/>
  </si>
  <si>
    <t>lx(1)</t>
  </si>
  <si>
    <t>lx(2)</t>
  </si>
  <si>
    <t>lx(3)</t>
  </si>
  <si>
    <t>lx(4)</t>
  </si>
  <si>
    <t>lx(5)</t>
  </si>
  <si>
    <t>lx(6)</t>
  </si>
  <si>
    <t>lx(7)</t>
  </si>
  <si>
    <t>lx(8)</t>
  </si>
  <si>
    <t>lx(9)</t>
  </si>
  <si>
    <t>lx(10)</t>
  </si>
  <si>
    <t>lx(11)</t>
  </si>
  <si>
    <t>lx(12)</t>
  </si>
  <si>
    <t>l'x</t>
    <phoneticPr fontId="1" type="noConversion"/>
  </si>
  <si>
    <t>Dx</t>
    <phoneticPr fontId="1" type="noConversion"/>
  </si>
  <si>
    <t>D'x</t>
    <phoneticPr fontId="1" type="noConversion"/>
  </si>
  <si>
    <t>Nx</t>
    <phoneticPr fontId="1" type="noConversion"/>
  </si>
  <si>
    <t>N'x</t>
    <phoneticPr fontId="1" type="noConversion"/>
  </si>
  <si>
    <t>Cx(1)</t>
    <phoneticPr fontId="1" type="noConversion"/>
  </si>
  <si>
    <t>Cx(2)</t>
  </si>
  <si>
    <t>Cx(3)</t>
  </si>
  <si>
    <t>Cx(4)</t>
  </si>
  <si>
    <t>Cx(5)</t>
  </si>
  <si>
    <t>Cx(6)</t>
  </si>
  <si>
    <t>Cx(7)</t>
  </si>
  <si>
    <t>Cx(8)</t>
  </si>
  <si>
    <t>Cx(9)</t>
  </si>
  <si>
    <t>Cx(10)</t>
  </si>
  <si>
    <t>Cx(11)</t>
  </si>
  <si>
    <t>Cx(12)</t>
  </si>
  <si>
    <t>Mx(1)</t>
    <phoneticPr fontId="1" type="noConversion"/>
  </si>
  <si>
    <t>Mx(2)</t>
    <phoneticPr fontId="1" type="noConversion"/>
  </si>
  <si>
    <t>Mx(3)</t>
  </si>
  <si>
    <t>Mx(4)</t>
  </si>
  <si>
    <t>Mx(5)</t>
  </si>
  <si>
    <t>Mx(6)</t>
  </si>
  <si>
    <t>Mx(7)</t>
  </si>
  <si>
    <t>Mx(8)</t>
  </si>
  <si>
    <t>Mx(9)</t>
  </si>
  <si>
    <t>Mx(10)</t>
  </si>
  <si>
    <t>Mx(11)</t>
  </si>
  <si>
    <t>Mx(12)</t>
  </si>
  <si>
    <t>SUMx</t>
    <phoneticPr fontId="1" type="noConversion"/>
  </si>
  <si>
    <t>年납 β 순보험료</t>
  </si>
  <si>
    <t>☞ Tab 샘플</t>
    <phoneticPr fontId="1" type="noConversion"/>
  </si>
  <si>
    <t>tVx</t>
    <phoneticPr fontId="1" type="noConversion"/>
  </si>
  <si>
    <t>tWx</t>
    <phoneticPr fontId="1" type="noConversion"/>
  </si>
  <si>
    <t>年납 기준순보험료</t>
    <phoneticPr fontId="1" type="noConversion"/>
  </si>
  <si>
    <t>☜ 가입금액 곱한값</t>
    <phoneticPr fontId="1" type="noConversion"/>
  </si>
  <si>
    <t>계산하기</t>
    <phoneticPr fontId="1" type="noConversion"/>
  </si>
  <si>
    <t>지우기</t>
    <phoneticPr fontId="1" type="noConversion"/>
  </si>
  <si>
    <r>
      <t>계산하기</t>
    </r>
    <r>
      <rPr>
        <b/>
        <sz val="11"/>
        <color theme="0"/>
        <rFont val="맑은 고딕"/>
        <family val="3"/>
        <charset val="129"/>
      </rPr>
      <t>☞</t>
    </r>
    <phoneticPr fontId="1" type="noConversion"/>
  </si>
  <si>
    <t>지우기☞</t>
    <phoneticPr fontId="1" type="noConversion"/>
  </si>
  <si>
    <t>까만 부분에 값 너으시면 안됩니다! (급부번호 입력하면 저절로 색칠되도록 조건부 서식을 걸어놨어요)</t>
    <phoneticPr fontId="1" type="noConversion"/>
  </si>
  <si>
    <t>Test 용</t>
    <phoneticPr fontId="1" type="noConversion"/>
  </si>
  <si>
    <t>성별</t>
    <phoneticPr fontId="1" type="noConversion"/>
  </si>
  <si>
    <t>가입연령</t>
    <phoneticPr fontId="1" type="noConversion"/>
  </si>
  <si>
    <t>보험기간</t>
    <phoneticPr fontId="1" type="noConversion"/>
  </si>
  <si>
    <t>납입기간</t>
    <phoneticPr fontId="1" type="noConversion"/>
  </si>
  <si>
    <t>납입주기</t>
    <phoneticPr fontId="1" type="noConversion"/>
  </si>
  <si>
    <t>Qx1</t>
    <phoneticPr fontId="1" type="noConversion"/>
  </si>
  <si>
    <t>가라로 만든거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</si>
</sst>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2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sz val="11"/>
      <color theme="0" tint="-0.499984740745262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0" tint="-0.34998626667073579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u/>
      <sz val="11"/>
      <color rgb="FFC00000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</font>
    <font>
      <sz val="11"/>
      <color theme="0" tint="-0.249977111117893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 tint="-0.499984740745262"/>
      <name val="맑은 고딕"/>
      <family val="3"/>
      <charset val="129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-0.249977111117893"/>
        <bgColor indexed="64"/>
      </patternFill>
    </fill>
  </fills>
  <borders count="2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theme="0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06">
    <xf numFmtId="0" fontId="0" fillId="0" borderId="0" xfId="0">
      <alignment vertical="center"/>
    </xf>
    <xf numFmtId="0" fontId="0" fillId="2" borderId="0" xfId="0" applyFill="1">
      <alignment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0" fillId="9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2" borderId="4" xfId="0" applyFill="1" applyBorder="1">
      <alignment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0" fillId="2" borderId="0" xfId="0" applyNumberFormat="1" applyFill="1">
      <alignment vertical="center"/>
    </xf>
    <xf numFmtId="41" fontId="0" fillId="2" borderId="0" xfId="1" applyFont="1" applyFill="1">
      <alignment vertical="center"/>
    </xf>
    <xf numFmtId="0" fontId="4" fillId="10" borderId="6" xfId="0" applyFont="1" applyFill="1" applyBorder="1" applyAlignment="1">
      <alignment horizontal="center" vertical="center"/>
    </xf>
    <xf numFmtId="0" fontId="4" fillId="10" borderId="7" xfId="0" applyFont="1" applyFill="1" applyBorder="1" applyAlignment="1">
      <alignment horizontal="center" vertical="center"/>
    </xf>
    <xf numFmtId="0" fontId="4" fillId="15" borderId="7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14" borderId="7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12" borderId="11" xfId="0" applyFont="1" applyFill="1" applyBorder="1" applyAlignment="1">
      <alignment horizontal="center" vertical="center"/>
    </xf>
    <xf numFmtId="0" fontId="4" fillId="13" borderId="11" xfId="0" applyFont="1" applyFill="1" applyBorder="1" applyAlignment="1">
      <alignment horizontal="center" vertical="center"/>
    </xf>
    <xf numFmtId="0" fontId="4" fillId="13" borderId="1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0" fontId="6" fillId="7" borderId="0" xfId="0" applyFont="1" applyFill="1">
      <alignment vertical="center"/>
    </xf>
    <xf numFmtId="0" fontId="5" fillId="9" borderId="0" xfId="0" applyFont="1" applyFill="1">
      <alignment vertical="center"/>
    </xf>
    <xf numFmtId="0" fontId="15" fillId="2" borderId="0" xfId="0" applyFont="1" applyFill="1" applyAlignment="1">
      <alignment horizontal="left" vertical="center"/>
    </xf>
    <xf numFmtId="0" fontId="14" fillId="16" borderId="0" xfId="0" applyFont="1" applyFill="1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16" borderId="0" xfId="0" applyFill="1">
      <alignment vertical="center"/>
    </xf>
    <xf numFmtId="0" fontId="7" fillId="9" borderId="0" xfId="0" applyFont="1" applyFill="1" applyAlignment="1">
      <alignment horizontal="center" vertical="center"/>
    </xf>
    <xf numFmtId="0" fontId="14" fillId="17" borderId="0" xfId="0" applyFont="1" applyFill="1" applyAlignment="1">
      <alignment horizontal="left" vertical="center"/>
    </xf>
    <xf numFmtId="0" fontId="0" fillId="17" borderId="0" xfId="0" applyFill="1">
      <alignment vertical="center"/>
    </xf>
    <xf numFmtId="0" fontId="13" fillId="2" borderId="0" xfId="0" applyFont="1" applyFill="1">
      <alignment vertical="center"/>
    </xf>
    <xf numFmtId="0" fontId="4" fillId="9" borderId="0" xfId="0" applyFont="1" applyFill="1" applyAlignment="1">
      <alignment horizontal="center" vertical="center"/>
    </xf>
    <xf numFmtId="0" fontId="16" fillId="9" borderId="0" xfId="0" applyFont="1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4" fillId="18" borderId="4" xfId="0" applyFont="1" applyFill="1" applyBorder="1" applyAlignment="1">
      <alignment horizontal="center" vertical="center"/>
    </xf>
    <xf numFmtId="0" fontId="17" fillId="9" borderId="0" xfId="0" applyFont="1" applyFill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17" fillId="2" borderId="20" xfId="0" applyFont="1" applyFill="1" applyBorder="1" applyAlignment="1">
      <alignment horizontal="center" vertical="center"/>
    </xf>
    <xf numFmtId="0" fontId="13" fillId="2" borderId="21" xfId="0" applyFont="1" applyFill="1" applyBorder="1" applyAlignment="1">
      <alignment horizontal="left" vertical="center"/>
    </xf>
    <xf numFmtId="0" fontId="0" fillId="2" borderId="21" xfId="0" applyFill="1" applyBorder="1" applyAlignment="1">
      <alignment horizontal="center" vertical="center"/>
    </xf>
    <xf numFmtId="0" fontId="14" fillId="17" borderId="21" xfId="0" applyFont="1" applyFill="1" applyBorder="1" applyAlignment="1">
      <alignment horizontal="left" vertical="center"/>
    </xf>
    <xf numFmtId="0" fontId="0" fillId="17" borderId="21" xfId="0" applyFill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6" fillId="19" borderId="0" xfId="0" applyFont="1" applyFill="1" applyBorder="1" applyAlignment="1">
      <alignment horizontal="center" vertical="center"/>
    </xf>
    <xf numFmtId="0" fontId="9" fillId="18" borderId="0" xfId="0" applyFont="1" applyFill="1" applyBorder="1" applyAlignment="1">
      <alignment horizontal="center" vertical="center"/>
    </xf>
    <xf numFmtId="0" fontId="5" fillId="18" borderId="0" xfId="0" applyFont="1" applyFill="1" applyBorder="1" applyAlignment="1">
      <alignment horizontal="center" vertical="center"/>
    </xf>
    <xf numFmtId="0" fontId="9" fillId="20" borderId="0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9" fillId="12" borderId="0" xfId="0" applyFont="1" applyFill="1" applyBorder="1" applyAlignment="1">
      <alignment horizontal="center" vertical="center"/>
    </xf>
    <xf numFmtId="0" fontId="5" fillId="12" borderId="0" xfId="0" applyFont="1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13" fillId="2" borderId="24" xfId="0" applyFont="1" applyFill="1" applyBorder="1" applyAlignment="1">
      <alignment horizontal="left" vertical="center"/>
    </xf>
    <xf numFmtId="0" fontId="17" fillId="2" borderId="25" xfId="0" applyFont="1" applyFill="1" applyBorder="1" applyAlignment="1">
      <alignment horizontal="center" vertical="center"/>
    </xf>
    <xf numFmtId="0" fontId="0" fillId="2" borderId="26" xfId="0" applyFill="1" applyBorder="1" applyAlignment="1">
      <alignment horizontal="center" vertical="center"/>
    </xf>
    <xf numFmtId="0" fontId="0" fillId="2" borderId="27" xfId="0" applyFill="1" applyBorder="1" applyAlignment="1">
      <alignment horizontal="center" vertical="center"/>
    </xf>
    <xf numFmtId="0" fontId="0" fillId="2" borderId="14" xfId="0" applyFill="1" applyBorder="1">
      <alignment vertical="center"/>
    </xf>
    <xf numFmtId="0" fontId="0" fillId="2" borderId="0" xfId="0" applyNumberFormat="1" applyFill="1" applyBorder="1">
      <alignment vertical="center"/>
    </xf>
    <xf numFmtId="0" fontId="0" fillId="2" borderId="0" xfId="0" applyFill="1" applyBorder="1">
      <alignment vertical="center"/>
    </xf>
    <xf numFmtId="0" fontId="12" fillId="2" borderId="0" xfId="0" applyFont="1" applyFill="1" applyBorder="1" applyAlignment="1">
      <alignment horizontal="center" vertical="center"/>
    </xf>
    <xf numFmtId="0" fontId="7" fillId="2" borderId="21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26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/>
    </xf>
    <xf numFmtId="0" fontId="7" fillId="16" borderId="0" xfId="0" applyFont="1" applyFill="1" applyAlignment="1">
      <alignment horizontal="center" vertical="center"/>
    </xf>
    <xf numFmtId="0" fontId="0" fillId="2" borderId="4" xfId="0" applyFill="1" applyBorder="1" applyAlignment="1">
      <alignment horizontal="left" vertical="center"/>
    </xf>
  </cellXfs>
  <cellStyles count="2">
    <cellStyle name="쉼표 [0]" xfId="1" builtinId="6"/>
    <cellStyle name="표준" xfId="0" builtinId="0"/>
  </cellStyles>
  <dxfs count="237"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33" formatCode="_-* #,##0_-;\-* #,##0_-;_-* &quot;-&quot;_-;_-@_-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top style="thin">
          <color auto="1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inor"/>
      </font>
      <fill>
        <patternFill patternType="solid">
          <fgColor indexed="64"/>
          <bgColor theme="3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/>
        <color rgb="FFFF0000"/>
      </font>
      <fill>
        <patternFill>
          <bgColor theme="2" tint="-9.9948118533890809E-2"/>
        </patternFill>
      </fill>
    </dxf>
    <dxf>
      <font>
        <strike/>
        <color rgb="FFFF0000"/>
      </font>
      <fill>
        <patternFill>
          <bgColor theme="2" tint="-9.9948118533890809E-2"/>
        </patternFill>
      </fill>
    </dxf>
    <dxf>
      <font>
        <strike/>
        <u val="none"/>
        <color rgb="FFFF0000"/>
      </font>
      <fill>
        <patternFill>
          <bgColor theme="2" tint="-9.9948118533890809E-2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inor"/>
      </font>
      <fill>
        <patternFill patternType="solid">
          <fgColor indexed="64"/>
          <bgColor theme="4" tint="0.79998168889431442"/>
        </patternFill>
      </fill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45720</xdr:colOff>
          <xdr:row>3</xdr:row>
          <xdr:rowOff>38100</xdr:rowOff>
        </xdr:from>
        <xdr:to>
          <xdr:col>23</xdr:col>
          <xdr:colOff>327660</xdr:colOff>
          <xdr:row>5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남자 위험률 사전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53340</xdr:colOff>
          <xdr:row>5</xdr:row>
          <xdr:rowOff>121920</xdr:rowOff>
        </xdr:from>
        <xdr:to>
          <xdr:col>23</xdr:col>
          <xdr:colOff>320040</xdr:colOff>
          <xdr:row>7</xdr:row>
          <xdr:rowOff>137160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여자 위험률 사전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129540</xdr:colOff>
      <xdr:row>2</xdr:row>
      <xdr:rowOff>0</xdr:rowOff>
    </xdr:from>
    <xdr:to>
      <xdr:col>25</xdr:col>
      <xdr:colOff>60960</xdr:colOff>
      <xdr:row>5</xdr:row>
      <xdr:rowOff>76200</xdr:rowOff>
    </xdr:to>
    <xdr:sp macro="[0]!F대상건계산하기" textlink="">
      <xdr:nvSpPr>
        <xdr:cNvPr id="5" name="해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503140" y="441960"/>
          <a:ext cx="739140" cy="739140"/>
        </a:xfrm>
        <a:prstGeom prst="sun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99060</xdr:colOff>
      <xdr:row>6</xdr:row>
      <xdr:rowOff>213360</xdr:rowOff>
    </xdr:from>
    <xdr:to>
      <xdr:col>24</xdr:col>
      <xdr:colOff>510540</xdr:colOff>
      <xdr:row>10</xdr:row>
      <xdr:rowOff>152400</xdr:rowOff>
    </xdr:to>
    <xdr:sp macro="[0]!F결과시트지우기" textlink="">
      <xdr:nvSpPr>
        <xdr:cNvPr id="6" name="달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17670780" y="1539240"/>
          <a:ext cx="411480" cy="822960"/>
        </a:xfrm>
        <a:prstGeom prst="moon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403860</xdr:colOff>
      <xdr:row>1</xdr:row>
      <xdr:rowOff>180068</xdr:rowOff>
    </xdr:to>
    <xdr:sp macro="[0]!G샘플건계산하기" textlink="">
      <xdr:nvSpPr>
        <xdr:cNvPr id="5" name="해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929640" y="0"/>
          <a:ext cx="403860" cy="408668"/>
        </a:xfrm>
        <a:prstGeom prst="su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1188720</xdr:colOff>
      <xdr:row>0</xdr:row>
      <xdr:rowOff>60960</xdr:rowOff>
    </xdr:from>
    <xdr:to>
      <xdr:col>2</xdr:col>
      <xdr:colOff>1365683</xdr:colOff>
      <xdr:row>1</xdr:row>
      <xdr:rowOff>190500</xdr:rowOff>
    </xdr:to>
    <xdr:sp macro="[0]!G샘플건지우기" textlink="">
      <xdr:nvSpPr>
        <xdr:cNvPr id="6" name="달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118360" y="60960"/>
          <a:ext cx="176963" cy="358140"/>
        </a:xfrm>
        <a:prstGeom prst="moon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378D01-3141-4348-8298-9FDECCE7DB20}" name="Tab위험률" displayName="Tab위험률" ref="A3:L100" totalsRowShown="0" dataDxfId="236">
  <tableColumns count="12">
    <tableColumn id="1" xr3:uid="{79DC565B-F670-448E-9F1B-EFE992ABE84E}" name="위험률키" dataDxfId="235">
      <calculatedColumnFormula>Tab위험률[[#This Row],[위험률코드]]</calculatedColumnFormula>
    </tableColumn>
    <tableColumn id="2" xr3:uid="{15DA932D-3838-40A5-911F-CBD2D6947FEA}" name="위험률코드" dataDxfId="234"/>
    <tableColumn id="12" xr3:uid="{79EFDC0E-E631-4627-BCC9-BF12FE4EDDCF}" name="상해급수" dataDxfId="233"/>
    <tableColumn id="11" xr3:uid="{73808F72-89B6-45D8-8607-88853BFE6280}" name="운전자급수" dataDxfId="232"/>
    <tableColumn id="3" xr3:uid="{DA6914E6-B21C-4F4B-AB72-9CB6FEE80C9E}" name="Sub1" dataDxfId="231"/>
    <tableColumn id="4" xr3:uid="{47456C7F-62F8-46A1-9485-558477F168AF}" name="Sub2" dataDxfId="230"/>
    <tableColumn id="5" xr3:uid="{D7DF4E90-3243-45C8-BDC1-4A86102794D9}" name="Sub3" dataDxfId="229"/>
    <tableColumn id="6" xr3:uid="{3B221D88-8DAD-4A18-B016-ACF904742DCD}" name="Sub4" dataDxfId="228"/>
    <tableColumn id="7" xr3:uid="{1E320AA1-780F-4AB0-9A5A-874ABBFB37EB}" name="x" dataDxfId="227"/>
    <tableColumn id="8" xr3:uid="{042CC5F0-DA20-4695-8724-64D9E5EAC4B4}" name="남자" dataDxfId="226"/>
    <tableColumn id="9" xr3:uid="{24DCDC70-961C-4BA5-808D-6764762416F6}" name="여자" dataDxfId="225"/>
    <tableColumn id="10" xr3:uid="{68ED30EC-1A85-4C0F-839D-6EE2337E86DE}" name="위험률명" dataDxfId="2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0790906-635B-4B8B-8391-42DD6D7B01E7}" name="Tab위험률키" displayName="Tab위험률키" ref="P3:S4" totalsRowShown="0" headerRowDxfId="223" dataDxfId="222">
  <autoFilter ref="P3:S4" xr:uid="{F0790906-635B-4B8B-8391-42DD6D7B01E7}"/>
  <tableColumns count="4">
    <tableColumn id="1" xr3:uid="{BE1909E9-8DFD-4D5C-9AE8-894B190CC65B}" name="위험률키" dataDxfId="221"/>
    <tableColumn id="2" xr3:uid="{6806F0D6-89B6-4DC9-8BF7-B8EE912C6260}" name="위험률명" dataDxfId="220"/>
    <tableColumn id="3" xr3:uid="{ABFF4976-E5EC-495D-9ABC-E704763E76CB}" name="시작행" dataDxfId="219">
      <calculatedColumnFormula>MATCH(Tab위험률키[[#This Row],[위험률키]], Tab위험률[위험률키], 0)</calculatedColumnFormula>
    </tableColumn>
    <tableColumn id="4" xr3:uid="{2787E374-7924-4AA5-9361-1007DB432BC0}" name="개수" dataDxfId="218">
      <calculatedColumnFormula>COUNTIF(Tab위험률[위험률키],Tab위험률키[[#This Row],[위험률키]])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8E5F24F-42FD-468D-B9C1-9035C8E05812}" name="Tab코드" displayName="Tab코드" ref="A3:S71" totalsRowShown="0" headerRowDxfId="214" dataDxfId="212" headerRowBorderDxfId="213">
  <autoFilter ref="A3:S71" xr:uid="{58E5F24F-42FD-468D-B9C1-9035C8E05812}"/>
  <tableColumns count="19">
    <tableColumn id="1" xr3:uid="{BF6FFBA4-BD25-47D6-BD87-1A4A01EC00D7}" name="담보코드" dataDxfId="211"/>
    <tableColumn id="2" xr3:uid="{F3CC4043-CE5E-46BD-97E9-40B8B29464E5}" name="담보명" dataDxfId="210"/>
    <tableColumn id="3" xr3:uid="{94FA9BB3-659A-4B6A-8DDA-FD0439E546C4}" name="sub1" dataDxfId="209"/>
    <tableColumn id="4" xr3:uid="{1C648E79-9A0C-42EE-9B56-FC8BDF9C74E6}" name="sub2" dataDxfId="208"/>
    <tableColumn id="5" xr3:uid="{E00DF570-7C8D-4011-917B-67B0CB79D49B}" name="sub3" dataDxfId="207"/>
    <tableColumn id="6" xr3:uid="{165E9740-3809-4C43-A8CB-935DBC28598E}" name="sub4" dataDxfId="206"/>
    <tableColumn id="7" xr3:uid="{2547B10C-B17E-47EF-B6D4-BC0E6DABFA17}" name="KEY" dataDxfId="205"/>
    <tableColumn id="8" xr3:uid="{8DD848C7-0A28-475D-92C1-4882A0341424}" name="급부번호" dataDxfId="204"/>
    <tableColumn id="9" xr3:uid="{3A321CFD-8C39-417B-9BC5-56EDF046810D}" name="탈퇴위험률키" dataDxfId="203"/>
    <tableColumn id="10" xr3:uid="{BF89C753-29BD-4048-AF91-EC21492BCA8F}" name="급부탈퇴율명" dataDxfId="202">
      <calculatedColumnFormula>_xlfn.IFNA(VLOOKUP(Tab코드[[#This Row],[탈퇴위험률키]], Tab위험률키[], 2, FALSE), "")</calculatedColumnFormula>
    </tableColumn>
    <tableColumn id="11" xr3:uid="{00ECED9A-5BE6-4BF1-B9C4-54CC344D1548}" name="부담보기간" dataDxfId="201"/>
    <tableColumn id="12" xr3:uid="{F648D63F-7D23-4C60-9AF5-54B4BAFEA61F}" name="급부위험률키" dataDxfId="200"/>
    <tableColumn id="13" xr3:uid="{D81F3093-3F20-4DA7-B05C-DBF515CB5DF0}" name="급부지급률명" dataDxfId="199">
      <calculatedColumnFormula>_xlfn.IFNA(VLOOKUP(Tab코드[[#This Row],[급부위험률키]], Tab위험률키[], 2, FALSE), "")</calculatedColumnFormula>
    </tableColumn>
    <tableColumn id="14" xr3:uid="{7D1C6A9A-2BD9-4FE4-BCAC-BFF90E9B36F6}" name="지급률" dataDxfId="198"/>
    <tableColumn id="15" xr3:uid="{977802F5-D47E-408E-9C6F-C83A99B6C935}" name="감액률" dataDxfId="197"/>
    <tableColumn id="16" xr3:uid="{B4D2D7E5-3D8D-4A49-9129-B322F092C52D}" name="감액기간" dataDxfId="196"/>
    <tableColumn id="17" xr3:uid="{F6D284C1-B473-4AB8-AAFF-927CFFEC117E}" name="납입면제위험률키" dataDxfId="195"/>
    <tableColumn id="18" xr3:uid="{E2634A43-636A-4FA2-AD91-8B9899295914}" name="납입면제율명" dataDxfId="194">
      <calculatedColumnFormula>_xlfn.IFNA(VLOOKUP(Tab코드[[#This Row],[납입면제위험률키]], Tab위험률키[], 2, FALSE), "")</calculatedColumnFormula>
    </tableColumn>
    <tableColumn id="19" xr3:uid="{CBF35C0C-9D23-4B0A-8782-3ADA8A056B46}" name="면책기간" dataDxfId="19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DBF9398-8926-4F6B-AF2B-8C06048DEFA9}" name="Tab대상건" displayName="Tab대상건" ref="B3:W35" totalsRowShown="0" headerRowDxfId="192" dataDxfId="190" headerRowBorderDxfId="191" tableBorderDxfId="189">
  <autoFilter ref="B3:W35" xr:uid="{7DBF9398-8926-4F6B-AF2B-8C06048DEFA9}"/>
  <tableColumns count="22">
    <tableColumn id="1" xr3:uid="{13148596-B31F-4E58-9A4C-E4D148F8481A}" name="담보코드" dataDxfId="188"/>
    <tableColumn id="2" xr3:uid="{785FCDAF-C943-448E-9DFC-AD6447DBFCE0}" name="담보명" dataDxfId="187"/>
    <tableColumn id="3" xr3:uid="{416E59A0-4153-460D-B13A-22E6FF030CA1}" name="sub1" dataDxfId="186"/>
    <tableColumn id="4" xr3:uid="{59C4C521-4DC6-4B12-AC38-24443BB9E5E2}" name="sub2" dataDxfId="185"/>
    <tableColumn id="5" xr3:uid="{3B2AF17D-1C19-4485-B658-E2C0A6A0F8A3}" name="sub3" dataDxfId="184"/>
    <tableColumn id="6" xr3:uid="{AF47197B-729A-44F4-A1C6-D248D7DB70CA}" name="sub4" dataDxfId="183"/>
    <tableColumn id="7" xr3:uid="{9E823DA5-4365-4E9B-AF17-F8EC4DEF296A}" name="KEY" dataDxfId="182">
      <calculatedColumnFormula>Tab대상건[[#This Row],[담보코드]]&amp;"_"&amp;Tab대상건[[#This Row],[sub1]]</calculatedColumnFormula>
    </tableColumn>
    <tableColumn id="8" xr3:uid="{A703487A-2BAB-475B-A29C-331A1C07932A}" name="sex" dataDxfId="181"/>
    <tableColumn id="9" xr3:uid="{72659132-FDD4-40C4-BB32-06C382F46CE0}" name="x" dataDxfId="180"/>
    <tableColumn id="10" xr3:uid="{A891BA19-B38D-43D7-A50F-9AD0B4A4DD60}" name="n" dataDxfId="179"/>
    <tableColumn id="11" xr3:uid="{A76072EF-9951-4AE0-A367-05C7B0B2FC1D}" name="m" dataDxfId="178">
      <calculatedColumnFormula>Tab대상건[[#This Row],[n]]</calculatedColumnFormula>
    </tableColumn>
    <tableColumn id="12" xr3:uid="{DB2AB7BB-DB7D-45C5-8F66-FF34D66B32E1}" name="mPrime" dataDxfId="177"/>
    <tableColumn id="13" xr3:uid="{72B51E86-4A0C-459D-8E1C-D665E1C68554}" name="가입금액" dataDxfId="176" dataCellStyle="쉼표 [0]">
      <calculatedColumnFormula>100000</calculatedColumnFormula>
    </tableColumn>
    <tableColumn id="14" xr3:uid="{B982487C-ED23-4C18-BF7D-EB776C9E4A02}" name="S비율" dataDxfId="175">
      <calculatedColumnFormula>0.1</calculatedColumnFormula>
    </tableColumn>
    <tableColumn id="15" xr3:uid="{64491889-9E0E-46DE-8104-1F3CE15B6C72}" name="α1" dataDxfId="174">
      <calculatedColumnFormula>IF(Tab대상건[[#This Row],[sub1]]=1, 0.1/1000, 0.07*MIN(Tab대상건[[#This Row],[n]],20)/20000)</calculatedColumnFormula>
    </tableColumn>
    <tableColumn id="16" xr3:uid="{85103BE9-07BB-4E28-861B-0D8F63E6E8E8}" name="α2" dataDxfId="173">
      <calculatedColumnFormula>0.1</calculatedColumnFormula>
    </tableColumn>
    <tableColumn id="17" xr3:uid="{D82A59A3-11AC-4223-B3F9-6C8E9E2481CC}" name="β1" dataDxfId="172">
      <calculatedColumnFormula>0.1</calculatedColumnFormula>
    </tableColumn>
    <tableColumn id="18" xr3:uid="{F1868858-CF48-4CC0-B802-D11CEF998600}" name="β2" dataDxfId="171">
      <calculatedColumnFormula>0.1</calculatedColumnFormula>
    </tableColumn>
    <tableColumn id="19" xr3:uid="{04E112AD-18EA-49F5-B0C2-4EF1F4148355}" name="β'" dataDxfId="170">
      <calculatedColumnFormula>0.1</calculatedColumnFormula>
    </tableColumn>
    <tableColumn id="20" xr3:uid="{50D602DB-B005-47DB-AC55-3673E09B6674}" name="β5" dataDxfId="169">
      <calculatedColumnFormula>0.1</calculatedColumnFormula>
    </tableColumn>
    <tableColumn id="21" xr3:uid="{078E1488-49B5-4510-8F85-00598F1CCA4E}" name="손해조사비" dataDxfId="168">
      <calculatedColumnFormula>0.1</calculatedColumnFormula>
    </tableColumn>
    <tableColumn id="22" xr3:uid="{64751DCD-4790-4491-9BC9-93915602C0D4}" name="γ" dataDxfId="167">
      <calculatedColumnFormula>0.1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C0EE68-2967-46CB-964F-00EDD81C8D4A}" name="Tab결과" displayName="Tab결과" ref="AA3:DH35" totalsRowShown="0" headerRowDxfId="166" dataDxfId="165">
  <autoFilter ref="AA3:DH35" xr:uid="{A1C0EE68-2967-46CB-964F-00EDD81C8D4A}"/>
  <tableColumns count="86">
    <tableColumn id="1" xr3:uid="{F4DEF5E2-739E-4027-ACCE-56C10AD14CF5}" name="月납 순보험료" dataDxfId="164"/>
    <tableColumn id="2" xr3:uid="{0EF70D84-A7B6-4DC0-B89F-A0C206D6E086}" name="年납 순보험료" dataDxfId="163"/>
    <tableColumn id="3" xr3:uid="{FAF7B78A-0C2A-41F8-9CE0-7B7219001BAA}" name="年납 β 순보험료" dataDxfId="162"/>
    <tableColumn id="4" xr3:uid="{05A707DC-8C76-4774-8093-A99133389312}" name="月납 영업보험료" dataDxfId="161"/>
    <tableColumn id="5" xr3:uid="{95BB6D81-C90D-4A87-ABAD-59430F4F33C7}" name="V(0)" dataDxfId="160"/>
    <tableColumn id="6" xr3:uid="{BD7ECF92-5EC9-4D19-9678-436B16630456}" name="V(1)" dataDxfId="159"/>
    <tableColumn id="7" xr3:uid="{6F04CD86-7B54-445E-A58B-63D635413905}" name="V(2)" dataDxfId="158"/>
    <tableColumn id="8" xr3:uid="{D763B00D-0198-4581-98A3-0B4351E7CB10}" name="V(3)" dataDxfId="157"/>
    <tableColumn id="9" xr3:uid="{6C44AB96-0B72-4895-B8A3-E31F8541F884}" name="V(4)" dataDxfId="156"/>
    <tableColumn id="10" xr3:uid="{AE574674-B9A4-4F36-89C5-2EF9F7E8AB29}" name="V(5)" dataDxfId="155"/>
    <tableColumn id="11" xr3:uid="{CFB5F9A7-A5F4-417C-8995-766248B67D41}" name="V(6)" dataDxfId="154"/>
    <tableColumn id="12" xr3:uid="{1580837B-E78E-4ACB-80B8-B7E8DA6DC8FB}" name="V(7)" dataDxfId="153"/>
    <tableColumn id="13" xr3:uid="{18861AF5-B2AB-462C-83CC-D324E7EFBEFB}" name="V(8)" dataDxfId="152"/>
    <tableColumn id="14" xr3:uid="{3FE253D7-F0D6-4E3C-82D2-6B76EA7319CC}" name="V(9)" dataDxfId="151"/>
    <tableColumn id="15" xr3:uid="{B433CF1F-D6DD-49C6-9E03-3A7029615F49}" name="V(10)" dataDxfId="150"/>
    <tableColumn id="16" xr3:uid="{1C40F8D2-7676-4841-94A2-22F9829160E4}" name="V(11)" dataDxfId="149"/>
    <tableColumn id="17" xr3:uid="{09C840FD-98CC-4481-8EFF-15FC81F657A5}" name="V(12)" dataDxfId="148"/>
    <tableColumn id="18" xr3:uid="{5A622516-820B-4412-8C00-0CAC1B7F032E}" name="V(13)" dataDxfId="147"/>
    <tableColumn id="19" xr3:uid="{D4158CC4-522F-4514-B03F-F4FEBCF1DE1A}" name="V(14)" dataDxfId="146"/>
    <tableColumn id="20" xr3:uid="{7BB4A3AC-72E0-4598-94A6-96F265C29922}" name="V(15)" dataDxfId="145"/>
    <tableColumn id="21" xr3:uid="{9A1C158F-7C08-4068-BD06-4C26EA214571}" name="V(16)" dataDxfId="144"/>
    <tableColumn id="22" xr3:uid="{820B708E-40B4-40B8-85C7-0EAAD8EAB5A7}" name="V(17)" dataDxfId="143"/>
    <tableColumn id="23" xr3:uid="{C782FCCA-B40B-4513-83DF-74EAB79321D1}" name="V(18)" dataDxfId="142"/>
    <tableColumn id="24" xr3:uid="{79D6E5FB-7F92-45BC-A4A9-ECB5B4A3992D}" name="V(19)" dataDxfId="141"/>
    <tableColumn id="25" xr3:uid="{8F622634-11CE-439D-8202-4B1246D25DFD}" name="V(20)" dataDxfId="140"/>
    <tableColumn id="26" xr3:uid="{01BC99E4-0537-460E-B7ED-952496ABC657}" name="V(21)" dataDxfId="139"/>
    <tableColumn id="27" xr3:uid="{12AFE4BC-36BF-4A93-87A0-2365AF54F357}" name="V(22)" dataDxfId="138"/>
    <tableColumn id="28" xr3:uid="{EB205BD7-4A32-4638-A161-213016B26E6A}" name="V(23)" dataDxfId="137"/>
    <tableColumn id="29" xr3:uid="{5B5E850B-BB35-44E5-ABA1-9A283C5F1550}" name="V(24)" dataDxfId="136"/>
    <tableColumn id="30" xr3:uid="{EDF117D0-92A0-4B53-AF3B-6C2D1454B11F}" name="V(25)" dataDxfId="135"/>
    <tableColumn id="31" xr3:uid="{E5C0D2CC-56EC-4BED-8608-DDA95796BF96}" name="V(26)" dataDxfId="134"/>
    <tableColumn id="32" xr3:uid="{561784DB-3056-4FAB-B2D3-3036D6A1D796}" name="V(27)" dataDxfId="133"/>
    <tableColumn id="33" xr3:uid="{C9D4CC21-619F-41F2-AB38-34D04DE449A8}" name="V(28)" dataDxfId="132"/>
    <tableColumn id="34" xr3:uid="{BE58A886-84AA-4F0B-A2DC-38620BF5383E}" name="V(29)" dataDxfId="131"/>
    <tableColumn id="35" xr3:uid="{EDE6EDA8-FD72-47E5-8A36-DAB69827D801}" name="V(30)" dataDxfId="130"/>
    <tableColumn id="36" xr3:uid="{D0762CD8-8EEF-44BA-B133-1D2EB130794D}" name="V(31)" dataDxfId="129"/>
    <tableColumn id="37" xr3:uid="{73DCE590-DFB7-4753-8EB8-E150A223BECE}" name="V(32)" dataDxfId="128"/>
    <tableColumn id="38" xr3:uid="{00ADA6A5-C4C3-4768-AA1F-F0636F29F56E}" name="V(33)" dataDxfId="127"/>
    <tableColumn id="39" xr3:uid="{E4527C3B-E86F-4B3A-8179-E810A81B510F}" name="V(34)" dataDxfId="126"/>
    <tableColumn id="40" xr3:uid="{7F5D9979-37E8-4A31-AB26-6CEA983262BB}" name="V(35)" dataDxfId="125"/>
    <tableColumn id="41" xr3:uid="{BDE27326-A4F1-4154-BFC4-49AE026A664B}" name="V(36)" dataDxfId="124"/>
    <tableColumn id="42" xr3:uid="{9BF954F3-8027-4F1C-8BEF-9F311EC1AA7D}" name="V(37)" dataDxfId="123"/>
    <tableColumn id="43" xr3:uid="{4191DBE2-1A82-4576-AF19-381A33338D47}" name="V(38)" dataDxfId="122"/>
    <tableColumn id="44" xr3:uid="{883BF12A-CA46-4397-AFA5-3AC30CCEEBF7}" name="V(39)" dataDxfId="121"/>
    <tableColumn id="45" xr3:uid="{A85A1351-E253-4129-906A-DEBC1C94B4C8}" name="V(40)" dataDxfId="120"/>
    <tableColumn id="46" xr3:uid="{467E8852-C645-4A31-9A7A-CE1F1416CC3F}" name="W(0)" dataDxfId="119"/>
    <tableColumn id="47" xr3:uid="{78B5D6FB-AB76-4AF7-927B-B9911C5A4474}" name="W(1)" dataDxfId="118"/>
    <tableColumn id="48" xr3:uid="{4B2D15BA-C714-4660-B20C-A344409648C1}" name="W(2)" dataDxfId="117"/>
    <tableColumn id="49" xr3:uid="{73F20CC8-CF63-4FD2-AE7E-3C70D2CBF486}" name="W(3)" dataDxfId="116"/>
    <tableColumn id="50" xr3:uid="{BB262D13-C981-40CC-B066-EE742E63D9BE}" name="W(4)" dataDxfId="115"/>
    <tableColumn id="51" xr3:uid="{8D2CC6A5-6929-4DFE-B3F8-ABABD40A9C9E}" name="W(5)" dataDxfId="114"/>
    <tableColumn id="52" xr3:uid="{73D9A909-98AE-46B0-BCCE-A071D4F67ECD}" name="W(6)" dataDxfId="113"/>
    <tableColumn id="53" xr3:uid="{7DE95DA4-8EF7-4451-A830-DB80D5CE997D}" name="W(7)" dataDxfId="112"/>
    <tableColumn id="54" xr3:uid="{A7AFC553-90A3-45D6-9515-79487CB3468B}" name="W(8)" dataDxfId="111"/>
    <tableColumn id="55" xr3:uid="{D69A6676-A516-4E59-BF17-D755E18EFE30}" name="W(9)" dataDxfId="110"/>
    <tableColumn id="56" xr3:uid="{894D5E40-7AF2-4634-BBE0-CF92F8C1B760}" name="W(10)" dataDxfId="109"/>
    <tableColumn id="57" xr3:uid="{D696A957-CAB5-45C6-9122-05ED6F0AA982}" name="W(11)" dataDxfId="108"/>
    <tableColumn id="58" xr3:uid="{8FFC9161-E049-417A-8A5A-46214F42FCA9}" name="W(12)" dataDxfId="107"/>
    <tableColumn id="59" xr3:uid="{45A20C5A-070B-4905-844C-D61B29F03B00}" name="W(13)" dataDxfId="106"/>
    <tableColumn id="60" xr3:uid="{E560E2C7-BDE8-4A26-A8B8-13E87525175B}" name="W(14)" dataDxfId="105"/>
    <tableColumn id="61" xr3:uid="{64579CDB-585E-4A94-A1E9-F5FDFB5DB9ED}" name="W(15)" dataDxfId="104"/>
    <tableColumn id="62" xr3:uid="{67328B62-D800-4137-8614-46462AF84589}" name="W(16)" dataDxfId="103"/>
    <tableColumn id="63" xr3:uid="{887145C4-C753-4262-96E0-FA46F3C6A73E}" name="W(17)" dataDxfId="102"/>
    <tableColumn id="64" xr3:uid="{C4347C21-5D71-4AE8-A409-29478FB01AAD}" name="W(18)" dataDxfId="101"/>
    <tableColumn id="65" xr3:uid="{7EB6B00C-E02D-4AA9-B626-636B4A7CFA6B}" name="W(19)" dataDxfId="100"/>
    <tableColumn id="66" xr3:uid="{E91D0833-1F22-4590-AF28-21C8CE9EFA5B}" name="W(20)" dataDxfId="99"/>
    <tableColumn id="67" xr3:uid="{8A1D00C3-4EA7-4B6A-814D-9FA6A3290AF2}" name="W(21)" dataDxfId="98"/>
    <tableColumn id="68" xr3:uid="{848869AE-5E8C-4502-ABAF-86001848467A}" name="W(22)" dataDxfId="97"/>
    <tableColumn id="69" xr3:uid="{DBF50DD9-61D5-49C2-855D-4847FDBD2F9C}" name="W(23)" dataDxfId="96"/>
    <tableColumn id="70" xr3:uid="{1714A1ED-F8B0-46BD-91A1-49645853CD31}" name="W(24)" dataDxfId="95"/>
    <tableColumn id="71" xr3:uid="{D6929F19-0253-4DEB-A5DD-647F941E77D4}" name="W(25)" dataDxfId="94"/>
    <tableColumn id="72" xr3:uid="{880C7703-6323-4189-9913-018B7733AB02}" name="W(26)" dataDxfId="93"/>
    <tableColumn id="73" xr3:uid="{3C05F70F-AD03-46DE-902C-9507639076BB}" name="W(27)" dataDxfId="92"/>
    <tableColumn id="74" xr3:uid="{4F10CDC7-447C-4CB6-A217-9455B51B6FC0}" name="W(28)" dataDxfId="91"/>
    <tableColumn id="75" xr3:uid="{E912E353-F7FD-46B9-A2A4-4A786FECCC93}" name="W(29)" dataDxfId="90"/>
    <tableColumn id="76" xr3:uid="{C49C3B5F-49F7-4DF9-988F-FBB9DE0147DC}" name="W(30)" dataDxfId="89"/>
    <tableColumn id="77" xr3:uid="{72A12F7F-9F16-4DF0-80E4-9A7255312FEF}" name="W(31)" dataDxfId="88"/>
    <tableColumn id="78" xr3:uid="{1C017821-8F52-4CAF-95A5-3ACFA935D6A7}" name="W(32)" dataDxfId="87"/>
    <tableColumn id="79" xr3:uid="{6F1514EA-4B6C-4FB1-B019-0D7970F6897D}" name="W(33)" dataDxfId="86"/>
    <tableColumn id="80" xr3:uid="{3DA1B41D-772B-446F-AD30-620642882CC8}" name="W(34)" dataDxfId="85"/>
    <tableColumn id="81" xr3:uid="{4B992ACA-53D2-4B16-8C36-3F5F5911B915}" name="W(35)" dataDxfId="84"/>
    <tableColumn id="82" xr3:uid="{6FA3BF46-B150-44D4-83DB-A1E2654D8E87}" name="W(36)" dataDxfId="83"/>
    <tableColumn id="83" xr3:uid="{2C2AB172-0DC4-4CEB-B71E-D8348A5DE508}" name="W(37)" dataDxfId="82"/>
    <tableColumn id="84" xr3:uid="{DA7BB2FC-5174-400A-A471-6CC617242CE8}" name="W(38)" dataDxfId="81"/>
    <tableColumn id="85" xr3:uid="{782EEFA6-6A08-4F0D-A703-2D8793C960FC}" name="W(39)" dataDxfId="80"/>
    <tableColumn id="86" xr3:uid="{C5B6E981-A707-4DDE-B7C0-606C6B0BDCE1}" name="W(40)" dataDxfId="7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5AA35BB-CA26-4BA6-800B-54C2743F4810}" name="Tab샘플" displayName="Tab샘플" ref="F3:CD29" totalsRowShown="0" headerRowDxfId="78" dataDxfId="77">
  <autoFilter ref="F3:CD29" xr:uid="{65AA35BB-CA26-4BA6-800B-54C2743F4810}"/>
  <tableColumns count="77">
    <tableColumn id="1" xr3:uid="{770BBFEF-F00F-467A-826E-1AD420EC292F}" name="t" dataDxfId="76"/>
    <tableColumn id="2" xr3:uid="{CCFF8CF0-7049-4DBE-B5C2-2E10D4C013EA}" name="Qx(0)" dataDxfId="75"/>
    <tableColumn id="3" xr3:uid="{25C67181-BB59-4655-9F8D-0EC76C203CDE}" name="Qx(1)" dataDxfId="74"/>
    <tableColumn id="4" xr3:uid="{3EE43F82-3A85-4CEC-B163-E21B948DA20F}" name="Qx(2)" dataDxfId="73"/>
    <tableColumn id="5" xr3:uid="{2D01C8A2-EE80-4CBF-9FF6-29384F87E5E5}" name="Qx(3)" dataDxfId="72"/>
    <tableColumn id="6" xr3:uid="{69583ACD-CB43-49CA-B537-A2A30CCE11D6}" name="Qx(4)" dataDxfId="71"/>
    <tableColumn id="7" xr3:uid="{CB13CBDA-4576-423E-AAB8-27837309718E}" name="Qx(5)" dataDxfId="70"/>
    <tableColumn id="8" xr3:uid="{64A3C5D1-DD93-4504-98BF-950851C4CA61}" name="Qx(6)" dataDxfId="69"/>
    <tableColumn id="9" xr3:uid="{7D46F0C6-A2AC-4F8A-92FA-7328C6F8DCC4}" name="Qx(7)" dataDxfId="68"/>
    <tableColumn id="10" xr3:uid="{B43B3B03-B484-469E-BB8D-EC6A3C37F3DB}" name="Qx(8)" dataDxfId="67"/>
    <tableColumn id="11" xr3:uid="{CBB5455C-F182-4FED-921F-DB014DE7C4AB}" name="Qx(9)" dataDxfId="66"/>
    <tableColumn id="12" xr3:uid="{A8317C37-32AF-4C98-BE2C-8B4C017D63A9}" name="Qx(10)" dataDxfId="65"/>
    <tableColumn id="13" xr3:uid="{9A9B68E0-C818-4FF4-A99B-2C45FC88D5EC}" name="Qx(11)" dataDxfId="64"/>
    <tableColumn id="14" xr3:uid="{5C2E77C9-95EC-436C-B886-983130DEC580}" name="Qx(12)" dataDxfId="63"/>
    <tableColumn id="15" xr3:uid="{019C6D8F-E817-4674-86CE-71338761F49B}" name="Bx(1)" dataDxfId="62"/>
    <tableColumn id="16" xr3:uid="{E0087FEE-665F-415D-85C3-B7B1FFA9E512}" name="Bx(2)" dataDxfId="61"/>
    <tableColumn id="17" xr3:uid="{24D7424D-91B6-42EA-9780-8939AF0282F8}" name="Bx(3)" dataDxfId="60"/>
    <tableColumn id="18" xr3:uid="{43D15A26-3A3F-4373-BF57-C10ACBCE16FB}" name="Bx(4)" dataDxfId="59"/>
    <tableColumn id="19" xr3:uid="{5EAAF283-B2F2-4049-B39E-9BA87B55291E}" name="Bx(5)" dataDxfId="58"/>
    <tableColumn id="20" xr3:uid="{1451683C-1894-44D9-A5E4-B8FBD64A0CC5}" name="Bx(6)" dataDxfId="57"/>
    <tableColumn id="21" xr3:uid="{90932D4F-FBBA-4006-9D65-D384DCDFD3C0}" name="Bx(7)" dataDxfId="56"/>
    <tableColumn id="22" xr3:uid="{3EE86C7D-1BB0-4992-A73C-5249A6E5AB7D}" name="Bx(8)" dataDxfId="55"/>
    <tableColumn id="23" xr3:uid="{B8E8E12D-6480-4C92-A2C4-8AC19FB37F3C}" name="Bx(9)" dataDxfId="54"/>
    <tableColumn id="24" xr3:uid="{27010105-81FD-453B-A47D-998E33784A1C}" name="Bx(10)" dataDxfId="53"/>
    <tableColumn id="25" xr3:uid="{680A8B5F-CDF0-45AD-9905-7ED778920637}" name="Bx(11)" dataDxfId="52"/>
    <tableColumn id="26" xr3:uid="{83DEB2AB-617B-450B-9596-6E852F3CCD3D}" name="Bx(12)" dataDxfId="51"/>
    <tableColumn id="27" xr3:uid="{EABB85A5-EE1D-4E2A-A6BD-98AA0AFD55BB}" name="Gx" dataDxfId="50"/>
    <tableColumn id="28" xr3:uid="{7307BD6B-DBEE-4344-8AC2-2240CB557FD0}" name="lx(0)" dataDxfId="49"/>
    <tableColumn id="29" xr3:uid="{8C2D93C4-E12A-4FE4-AD4C-CB1E8B976084}" name="lx(1)" dataDxfId="48"/>
    <tableColumn id="30" xr3:uid="{68146582-AF47-46F8-86F5-1D0946C92FF8}" name="lx(2)" dataDxfId="47"/>
    <tableColumn id="31" xr3:uid="{2BFB3B43-10A9-420A-8BFF-92B69A5CE4EE}" name="lx(3)" dataDxfId="46"/>
    <tableColumn id="32" xr3:uid="{806FD955-9DDA-4A62-8BED-DD4E71A6E9B3}" name="lx(4)" dataDxfId="45"/>
    <tableColumn id="33" xr3:uid="{5C96279C-28AC-4775-BDFA-0C47400B0911}" name="lx(5)" dataDxfId="44"/>
    <tableColumn id="34" xr3:uid="{A6407965-E0E1-497C-82EC-AD181FF3C55D}" name="lx(6)" dataDxfId="43"/>
    <tableColumn id="35" xr3:uid="{B837124B-ECF1-4F0A-995F-FB67E1C1D440}" name="lx(7)" dataDxfId="42"/>
    <tableColumn id="36" xr3:uid="{DDACBA99-3110-4176-BD02-DD563E8C5C2B}" name="lx(8)" dataDxfId="41"/>
    <tableColumn id="37" xr3:uid="{B22B2165-D4D0-4F8F-965A-8F2421F2C6E8}" name="lx(9)" dataDxfId="40"/>
    <tableColumn id="38" xr3:uid="{8B66A407-1CF1-443F-A101-3066CF0F3266}" name="lx(10)" dataDxfId="39"/>
    <tableColumn id="39" xr3:uid="{E4580512-7D56-492C-B90A-FE6DC9261E9A}" name="lx(11)" dataDxfId="38"/>
    <tableColumn id="40" xr3:uid="{9821A06F-702F-46A8-8A57-CAD4D9FC98EF}" name="lx(12)" dataDxfId="37"/>
    <tableColumn id="41" xr3:uid="{2B02BF51-751B-4CB0-86B8-043DFEE9CD4D}" name="l'x" dataDxfId="36"/>
    <tableColumn id="42" xr3:uid="{B4A5EBE9-307B-48CA-878D-ADCF1B8F9F63}" name="Dx" dataDxfId="35"/>
    <tableColumn id="43" xr3:uid="{5F89829B-BCAA-4183-B9F2-C5CA2EE7F581}" name="D'x" dataDxfId="34"/>
    <tableColumn id="44" xr3:uid="{305FA846-4C20-4577-82D6-7B7FB8BA191F}" name="Nx" dataDxfId="33"/>
    <tableColumn id="45" xr3:uid="{5B502092-851D-4E52-BED6-EA863E3FA502}" name="N'x" dataDxfId="32"/>
    <tableColumn id="46" xr3:uid="{1546F575-C0B3-4767-BF2D-EE69C7DABCA2}" name="Cx(1)" dataDxfId="31"/>
    <tableColumn id="47" xr3:uid="{45952E16-7370-46A9-9A00-E0D69F164F0D}" name="Cx(2)" dataDxfId="30"/>
    <tableColumn id="48" xr3:uid="{9F89B4E2-54B1-49A0-B6BB-2D90934326C5}" name="Cx(3)" dataDxfId="29"/>
    <tableColumn id="49" xr3:uid="{58CF963E-3E1F-4792-B681-7424D8B5B3AD}" name="Cx(4)" dataDxfId="28"/>
    <tableColumn id="50" xr3:uid="{9B90EF67-712E-4600-9F6C-9967583D3722}" name="Cx(5)" dataDxfId="27"/>
    <tableColumn id="51" xr3:uid="{D258DD64-EB95-42E1-B107-B19250AD3534}" name="Cx(6)" dataDxfId="26"/>
    <tableColumn id="52" xr3:uid="{0A31ED09-EB38-4E46-9F03-30BF9580881F}" name="Cx(7)" dataDxfId="25"/>
    <tableColumn id="53" xr3:uid="{ECF86222-F560-49E0-8F2D-F4BC98A1DF10}" name="Cx(8)" dataDxfId="24"/>
    <tableColumn id="54" xr3:uid="{DA038395-2897-4F5D-8CBF-F00CDB7ECD66}" name="Cx(9)" dataDxfId="23"/>
    <tableColumn id="55" xr3:uid="{D0D0A403-4357-4855-910F-0C98FC79B911}" name="Cx(10)" dataDxfId="22"/>
    <tableColumn id="56" xr3:uid="{2D2FA696-3C62-4CA5-B3C3-D4B2E35FF97B}" name="Cx(11)" dataDxfId="21"/>
    <tableColumn id="57" xr3:uid="{FAB31966-AD99-427D-B7D8-AFD9B90A7A3F}" name="Cx(12)" dataDxfId="20"/>
    <tableColumn id="58" xr3:uid="{9646C991-BD11-418A-896A-C3D3AE8694EA}" name="Mx(1)" dataDxfId="19"/>
    <tableColumn id="59" xr3:uid="{810186E4-B69D-458A-B5EE-0B52014FD097}" name="Mx(2)" dataDxfId="18"/>
    <tableColumn id="60" xr3:uid="{5CCE3DE6-965D-4618-9355-EBD9A116B388}" name="Mx(3)" dataDxfId="17"/>
    <tableColumn id="61" xr3:uid="{7EF152B6-8347-4203-BA7A-A4D8C90C4A25}" name="Mx(4)" dataDxfId="16"/>
    <tableColumn id="62" xr3:uid="{3FF8C47F-B098-4C35-9508-3D6D206B0F89}" name="Mx(5)" dataDxfId="15"/>
    <tableColumn id="63" xr3:uid="{3E0F9395-24D7-44C1-A5F7-4DF5B1734683}" name="Mx(6)" dataDxfId="14"/>
    <tableColumn id="64" xr3:uid="{47336D6C-B088-4361-B83F-64D554CA9F0E}" name="Mx(7)" dataDxfId="13"/>
    <tableColumn id="65" xr3:uid="{D19F7532-BAAA-499C-BB2C-071AFA945AB6}" name="Mx(8)" dataDxfId="12"/>
    <tableColumn id="66" xr3:uid="{C3B19AD0-5168-4837-BC16-D81B39460ABD}" name="Mx(9)" dataDxfId="11"/>
    <tableColumn id="67" xr3:uid="{150C8110-1A6B-4FA9-B720-F1467513CD56}" name="Mx(10)" dataDxfId="10"/>
    <tableColumn id="68" xr3:uid="{D42F321B-4070-4A05-9881-BFF3B51DD901}" name="Mx(11)" dataDxfId="9"/>
    <tableColumn id="69" xr3:uid="{C8642A21-92B3-467F-AFF7-1FB2FDBE964A}" name="Mx(12)" dataDxfId="8"/>
    <tableColumn id="70" xr3:uid="{7145FFF2-C796-4EA4-8BDC-0E5738BA023E}" name="SUMx" dataDxfId="7"/>
    <tableColumn id="76" xr3:uid="{238DF7C2-229E-4184-96B4-2EDFD2286BA5}" name="tVx" dataDxfId="6"/>
    <tableColumn id="75" xr3:uid="{1992D2DC-C36A-45E7-9C60-10816C8CD4BB}" name="tWx" dataDxfId="5"/>
    <tableColumn id="71" xr3:uid="{1E954117-37DA-4EEC-8117-56350DA19012}" name="月납 순보험료" dataDxfId="4"/>
    <tableColumn id="72" xr3:uid="{C84B0AED-13C3-4F62-87F4-69360BEB916B}" name="年납 순보험료" dataDxfId="3"/>
    <tableColumn id="77" xr3:uid="{A650BE1D-D298-4F69-9AB4-729BF8F76C76}" name="年납 기준순보험료" dataDxfId="2"/>
    <tableColumn id="73" xr3:uid="{22033907-3CB0-4947-A3DA-46DD81C1E572}" name="年납 β 순보험료" dataDxfId="1"/>
    <tableColumn id="74" xr3:uid="{BD948A0F-1B99-48E3-A155-97223A11097F}" name="月납 영업보험료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BAC0C-364D-4B82-B795-E268157E2692}">
  <sheetPr codeName="Sheet1">
    <tabColor theme="5" tint="-0.499984740745262"/>
  </sheetPr>
  <dimension ref="A1:X100"/>
  <sheetViews>
    <sheetView workbookViewId="0">
      <pane ySplit="3" topLeftCell="A4" activePane="bottomLeft" state="frozen"/>
      <selection pane="bottomLeft" activeCell="Q17" sqref="Q17"/>
    </sheetView>
  </sheetViews>
  <sheetFormatPr defaultRowHeight="17.399999999999999"/>
  <cols>
    <col min="1" max="1" width="9.296875" style="9" customWidth="1"/>
    <col min="2" max="2" width="10.3984375" style="9" customWidth="1"/>
    <col min="3" max="4" width="10.3984375" style="9" hidden="1" customWidth="1"/>
    <col min="5" max="7" width="0" style="9" hidden="1" customWidth="1"/>
    <col min="8" max="8" width="8.796875" style="9" hidden="1" customWidth="1"/>
    <col min="9" max="11" width="8.796875" style="9"/>
    <col min="12" max="12" width="14.796875" style="9" bestFit="1" customWidth="1"/>
    <col min="13" max="13" width="1" style="9" customWidth="1"/>
    <col min="14" max="14" width="2.19921875" style="10" customWidth="1"/>
    <col min="15" max="15" width="2.3984375" style="23" bestFit="1" customWidth="1"/>
    <col min="16" max="16" width="10.59765625" style="9" bestFit="1" customWidth="1"/>
    <col min="17" max="17" width="14.796875" style="9" bestFit="1" customWidth="1"/>
    <col min="18" max="18" width="8.796875" style="9" bestFit="1" customWidth="1"/>
    <col min="19" max="19" width="9" style="9" customWidth="1"/>
    <col min="20" max="20" width="1.59765625" style="9" customWidth="1"/>
    <col min="21" max="21" width="1.796875" style="10" customWidth="1"/>
    <col min="22" max="16384" width="8.796875" style="10"/>
  </cols>
  <sheetData>
    <row r="1" spans="1:24">
      <c r="A1" s="47" t="s">
        <v>52</v>
      </c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P1" s="47" t="s">
        <v>54</v>
      </c>
      <c r="Q1" s="48"/>
      <c r="R1" s="48"/>
      <c r="S1" s="48"/>
    </row>
    <row r="2" spans="1:24" s="43" customFormat="1">
      <c r="A2" s="42">
        <v>1</v>
      </c>
      <c r="B2" s="42">
        <f>A2+1</f>
        <v>2</v>
      </c>
      <c r="C2" s="42">
        <f t="shared" ref="C2:L2" si="0">B2+1</f>
        <v>3</v>
      </c>
      <c r="D2" s="42">
        <f t="shared" si="0"/>
        <v>4</v>
      </c>
      <c r="E2" s="42">
        <f t="shared" si="0"/>
        <v>5</v>
      </c>
      <c r="F2" s="42">
        <f t="shared" si="0"/>
        <v>6</v>
      </c>
      <c r="G2" s="42">
        <f t="shared" si="0"/>
        <v>7</v>
      </c>
      <c r="H2" s="42">
        <f t="shared" si="0"/>
        <v>8</v>
      </c>
      <c r="I2" s="42">
        <f t="shared" si="0"/>
        <v>9</v>
      </c>
      <c r="J2" s="42">
        <f t="shared" si="0"/>
        <v>10</v>
      </c>
      <c r="K2" s="42">
        <f t="shared" si="0"/>
        <v>11</v>
      </c>
      <c r="L2" s="42">
        <f t="shared" si="0"/>
        <v>12</v>
      </c>
      <c r="M2" s="42"/>
      <c r="O2" s="23"/>
      <c r="P2" s="42">
        <v>1</v>
      </c>
      <c r="Q2" s="42">
        <v>2</v>
      </c>
      <c r="R2" s="42">
        <v>3</v>
      </c>
      <c r="S2" s="42">
        <v>4</v>
      </c>
      <c r="T2" s="42"/>
      <c r="V2" s="55" t="s">
        <v>228</v>
      </c>
      <c r="X2" s="56"/>
    </row>
    <row r="3" spans="1:24">
      <c r="A3" s="5" t="s">
        <v>8</v>
      </c>
      <c r="B3" s="6" t="s">
        <v>17</v>
      </c>
      <c r="C3" s="7" t="s">
        <v>48</v>
      </c>
      <c r="D3" s="7" t="s">
        <v>49</v>
      </c>
      <c r="E3" s="7" t="s">
        <v>10</v>
      </c>
      <c r="F3" s="7" t="s">
        <v>11</v>
      </c>
      <c r="G3" s="7" t="s">
        <v>12</v>
      </c>
      <c r="H3" s="7" t="s">
        <v>13</v>
      </c>
      <c r="I3" s="2" t="s">
        <v>9</v>
      </c>
      <c r="J3" s="3" t="s">
        <v>15</v>
      </c>
      <c r="K3" s="3" t="s">
        <v>16</v>
      </c>
      <c r="L3" s="4" t="s">
        <v>14</v>
      </c>
      <c r="M3" s="12"/>
      <c r="P3" s="44" t="s">
        <v>8</v>
      </c>
      <c r="Q3" s="45" t="s">
        <v>14</v>
      </c>
      <c r="R3" s="45" t="s">
        <v>50</v>
      </c>
      <c r="S3" s="14" t="s">
        <v>51</v>
      </c>
    </row>
    <row r="4" spans="1:24">
      <c r="A4" s="9" t="str">
        <f>Tab위험률[[#This Row],[위험률코드]]</f>
        <v>Qx1</v>
      </c>
      <c r="B4" s="9" t="s">
        <v>234</v>
      </c>
      <c r="I4" s="9">
        <v>15</v>
      </c>
      <c r="J4" s="9">
        <v>0.1</v>
      </c>
      <c r="K4" s="9">
        <v>0.1</v>
      </c>
      <c r="O4" s="23">
        <v>1</v>
      </c>
      <c r="P4" s="1" t="s">
        <v>7</v>
      </c>
      <c r="Q4" s="1"/>
      <c r="R4" s="1">
        <f>MATCH(Tab위험률키[[#This Row],[위험률키]], Tab위험률[위험률키], 0)</f>
        <v>1</v>
      </c>
      <c r="S4" s="9">
        <f>COUNTIF(Tab위험률[위험률키],Tab위험률키[[#This Row],[위험률키]])</f>
        <v>97</v>
      </c>
    </row>
    <row r="5" spans="1:24">
      <c r="A5" s="9" t="str">
        <f>Tab위험률[[#This Row],[위험률코드]]</f>
        <v>Qx1</v>
      </c>
      <c r="B5" s="9" t="s">
        <v>234</v>
      </c>
      <c r="I5" s="9">
        <v>16</v>
      </c>
      <c r="J5" s="9">
        <v>0.1</v>
      </c>
      <c r="K5" s="9">
        <v>0.1</v>
      </c>
    </row>
    <row r="6" spans="1:24">
      <c r="A6" s="9" t="str">
        <f>Tab위험률[[#This Row],[위험률코드]]</f>
        <v>Qx1</v>
      </c>
      <c r="B6" s="9" t="s">
        <v>234</v>
      </c>
      <c r="I6" s="9">
        <v>17</v>
      </c>
      <c r="J6" s="9">
        <v>0.1</v>
      </c>
      <c r="K6" s="9">
        <v>0.1</v>
      </c>
      <c r="P6" s="46"/>
    </row>
    <row r="7" spans="1:24">
      <c r="A7" s="9" t="str">
        <f>Tab위험률[[#This Row],[위험률코드]]</f>
        <v>Qx1</v>
      </c>
      <c r="B7" s="9" t="s">
        <v>234</v>
      </c>
      <c r="I7" s="9">
        <v>18</v>
      </c>
      <c r="J7" s="9">
        <v>0.1</v>
      </c>
      <c r="K7" s="9">
        <v>0.1</v>
      </c>
    </row>
    <row r="8" spans="1:24">
      <c r="A8" s="9" t="str">
        <f>Tab위험률[[#This Row],[위험률코드]]</f>
        <v>Qx1</v>
      </c>
      <c r="B8" s="9" t="s">
        <v>234</v>
      </c>
      <c r="I8" s="9">
        <v>19</v>
      </c>
      <c r="J8" s="9">
        <v>0.1</v>
      </c>
      <c r="K8" s="9">
        <v>0.1</v>
      </c>
    </row>
    <row r="9" spans="1:24">
      <c r="A9" s="9" t="str">
        <f>Tab위험률[[#This Row],[위험률코드]]</f>
        <v>Qx1</v>
      </c>
      <c r="B9" s="9" t="s">
        <v>234</v>
      </c>
      <c r="I9" s="9">
        <v>20</v>
      </c>
      <c r="J9" s="9">
        <v>0.1</v>
      </c>
      <c r="K9" s="9">
        <v>0.1</v>
      </c>
    </row>
    <row r="10" spans="1:24">
      <c r="A10" s="9" t="str">
        <f>Tab위험률[[#This Row],[위험률코드]]</f>
        <v>Qx1</v>
      </c>
      <c r="B10" s="9" t="s">
        <v>234</v>
      </c>
      <c r="I10" s="9">
        <v>21</v>
      </c>
      <c r="J10" s="9">
        <v>0.1</v>
      </c>
      <c r="K10" s="9">
        <v>0.1</v>
      </c>
    </row>
    <row r="11" spans="1:24">
      <c r="A11" s="9" t="str">
        <f>Tab위험률[[#This Row],[위험률코드]]</f>
        <v>Qx1</v>
      </c>
      <c r="B11" s="9" t="s">
        <v>234</v>
      </c>
      <c r="I11" s="9">
        <v>22</v>
      </c>
      <c r="J11" s="9">
        <v>0.1</v>
      </c>
      <c r="K11" s="9">
        <v>0.1</v>
      </c>
    </row>
    <row r="12" spans="1:24">
      <c r="A12" s="9" t="str">
        <f>Tab위험률[[#This Row],[위험률코드]]</f>
        <v>Qx1</v>
      </c>
      <c r="B12" s="9" t="s">
        <v>234</v>
      </c>
      <c r="I12" s="9">
        <v>23</v>
      </c>
      <c r="J12" s="9">
        <v>0.1</v>
      </c>
      <c r="K12" s="9">
        <v>0.1</v>
      </c>
    </row>
    <row r="13" spans="1:24">
      <c r="A13" s="9" t="str">
        <f>Tab위험률[[#This Row],[위험률코드]]</f>
        <v>Qx1</v>
      </c>
      <c r="B13" s="9" t="s">
        <v>234</v>
      </c>
      <c r="I13" s="9">
        <v>24</v>
      </c>
      <c r="J13" s="9">
        <v>0.1</v>
      </c>
      <c r="K13" s="9">
        <v>0.1</v>
      </c>
    </row>
    <row r="14" spans="1:24">
      <c r="A14" s="9" t="str">
        <f>Tab위험률[[#This Row],[위험률코드]]</f>
        <v>Qx1</v>
      </c>
      <c r="B14" s="9" t="s">
        <v>234</v>
      </c>
      <c r="I14" s="9">
        <v>25</v>
      </c>
      <c r="J14" s="9">
        <v>0.1</v>
      </c>
      <c r="K14" s="9">
        <v>0.1</v>
      </c>
    </row>
    <row r="15" spans="1:24">
      <c r="A15" s="9" t="str">
        <f>Tab위험률[[#This Row],[위험률코드]]</f>
        <v>Qx1</v>
      </c>
      <c r="B15" s="9" t="s">
        <v>234</v>
      </c>
      <c r="I15" s="9">
        <v>26</v>
      </c>
      <c r="J15" s="9">
        <v>0.1</v>
      </c>
      <c r="K15" s="9">
        <v>0.1</v>
      </c>
    </row>
    <row r="16" spans="1:24">
      <c r="A16" s="9" t="str">
        <f>Tab위험률[[#This Row],[위험률코드]]</f>
        <v>Qx1</v>
      </c>
      <c r="B16" s="9" t="s">
        <v>234</v>
      </c>
      <c r="I16" s="9">
        <v>27</v>
      </c>
      <c r="J16" s="9">
        <v>0.1</v>
      </c>
      <c r="K16" s="9">
        <v>0.1</v>
      </c>
    </row>
    <row r="17" spans="1:11">
      <c r="A17" s="9" t="str">
        <f>Tab위험률[[#This Row],[위험률코드]]</f>
        <v>Qx1</v>
      </c>
      <c r="B17" s="9" t="s">
        <v>234</v>
      </c>
      <c r="I17" s="9">
        <v>28</v>
      </c>
      <c r="J17" s="9">
        <v>0.1</v>
      </c>
      <c r="K17" s="9">
        <v>0.1</v>
      </c>
    </row>
    <row r="18" spans="1:11">
      <c r="A18" s="9" t="str">
        <f>Tab위험률[[#This Row],[위험률코드]]</f>
        <v>Qx1</v>
      </c>
      <c r="B18" s="9" t="s">
        <v>234</v>
      </c>
      <c r="I18" s="9">
        <v>29</v>
      </c>
      <c r="J18" s="9">
        <v>0.1</v>
      </c>
      <c r="K18" s="9">
        <v>0.1</v>
      </c>
    </row>
    <row r="19" spans="1:11">
      <c r="A19" s="9" t="str">
        <f>Tab위험률[[#This Row],[위험률코드]]</f>
        <v>Qx1</v>
      </c>
      <c r="B19" s="9" t="s">
        <v>234</v>
      </c>
      <c r="I19" s="9">
        <v>30</v>
      </c>
      <c r="J19" s="9">
        <v>0.1</v>
      </c>
      <c r="K19" s="9">
        <v>0.1</v>
      </c>
    </row>
    <row r="20" spans="1:11">
      <c r="A20" s="9" t="str">
        <f>Tab위험률[[#This Row],[위험률코드]]</f>
        <v>Qx1</v>
      </c>
      <c r="B20" s="9" t="s">
        <v>234</v>
      </c>
      <c r="I20" s="9">
        <v>31</v>
      </c>
      <c r="J20" s="9">
        <v>0.1</v>
      </c>
      <c r="K20" s="9">
        <v>0.1</v>
      </c>
    </row>
    <row r="21" spans="1:11">
      <c r="A21" s="9" t="str">
        <f>Tab위험률[[#This Row],[위험률코드]]</f>
        <v>Qx1</v>
      </c>
      <c r="B21" s="9" t="s">
        <v>234</v>
      </c>
      <c r="I21" s="9">
        <v>32</v>
      </c>
      <c r="J21" s="9">
        <v>0.1</v>
      </c>
      <c r="K21" s="9">
        <v>0.1</v>
      </c>
    </row>
    <row r="22" spans="1:11">
      <c r="A22" s="9" t="str">
        <f>Tab위험률[[#This Row],[위험률코드]]</f>
        <v>Qx1</v>
      </c>
      <c r="B22" s="9" t="s">
        <v>234</v>
      </c>
      <c r="I22" s="9">
        <v>33</v>
      </c>
      <c r="J22" s="9">
        <v>0.1</v>
      </c>
      <c r="K22" s="9">
        <v>0.1</v>
      </c>
    </row>
    <row r="23" spans="1:11">
      <c r="A23" s="9" t="str">
        <f>Tab위험률[[#This Row],[위험률코드]]</f>
        <v>Qx1</v>
      </c>
      <c r="B23" s="9" t="s">
        <v>234</v>
      </c>
      <c r="I23" s="9">
        <v>34</v>
      </c>
      <c r="J23" s="9">
        <v>0.1</v>
      </c>
      <c r="K23" s="9">
        <v>0.1</v>
      </c>
    </row>
    <row r="24" spans="1:11">
      <c r="A24" s="9" t="str">
        <f>Tab위험률[[#This Row],[위험률코드]]</f>
        <v>Qx1</v>
      </c>
      <c r="B24" s="9" t="s">
        <v>234</v>
      </c>
      <c r="I24" s="9">
        <v>35</v>
      </c>
      <c r="J24" s="9">
        <v>0.1</v>
      </c>
      <c r="K24" s="9">
        <v>0.1</v>
      </c>
    </row>
    <row r="25" spans="1:11">
      <c r="A25" s="9" t="str">
        <f>Tab위험률[[#This Row],[위험률코드]]</f>
        <v>Qx1</v>
      </c>
      <c r="B25" s="9" t="s">
        <v>234</v>
      </c>
      <c r="I25" s="9">
        <v>36</v>
      </c>
      <c r="J25" s="9">
        <v>0.1</v>
      </c>
      <c r="K25" s="9">
        <v>0.1</v>
      </c>
    </row>
    <row r="26" spans="1:11">
      <c r="A26" s="9" t="str">
        <f>Tab위험률[[#This Row],[위험률코드]]</f>
        <v>Qx1</v>
      </c>
      <c r="B26" s="9" t="s">
        <v>234</v>
      </c>
      <c r="I26" s="9">
        <v>37</v>
      </c>
      <c r="J26" s="9">
        <v>0.1</v>
      </c>
      <c r="K26" s="9">
        <v>0.1</v>
      </c>
    </row>
    <row r="27" spans="1:11">
      <c r="A27" s="9" t="str">
        <f>Tab위험률[[#This Row],[위험률코드]]</f>
        <v>Qx1</v>
      </c>
      <c r="B27" s="9" t="s">
        <v>234</v>
      </c>
      <c r="I27" s="9">
        <v>38</v>
      </c>
      <c r="J27" s="9">
        <v>0.1</v>
      </c>
      <c r="K27" s="9">
        <v>0.1</v>
      </c>
    </row>
    <row r="28" spans="1:11">
      <c r="A28" s="9" t="str">
        <f>Tab위험률[[#This Row],[위험률코드]]</f>
        <v>Qx1</v>
      </c>
      <c r="B28" s="9" t="s">
        <v>234</v>
      </c>
      <c r="I28" s="9">
        <v>39</v>
      </c>
      <c r="J28" s="9">
        <v>0.1</v>
      </c>
      <c r="K28" s="9">
        <v>0.1</v>
      </c>
    </row>
    <row r="29" spans="1:11">
      <c r="A29" s="9" t="str">
        <f>Tab위험률[[#This Row],[위험률코드]]</f>
        <v>Qx1</v>
      </c>
      <c r="B29" s="9" t="s">
        <v>234</v>
      </c>
      <c r="I29" s="9">
        <v>40</v>
      </c>
      <c r="J29" s="9">
        <v>0.1</v>
      </c>
      <c r="K29" s="9">
        <v>0.1</v>
      </c>
    </row>
    <row r="30" spans="1:11">
      <c r="A30" s="9" t="str">
        <f>Tab위험률[[#This Row],[위험률코드]]</f>
        <v>Qx1</v>
      </c>
      <c r="B30" s="9" t="s">
        <v>234</v>
      </c>
      <c r="I30" s="9">
        <v>41</v>
      </c>
      <c r="J30" s="9">
        <v>0.1</v>
      </c>
      <c r="K30" s="9">
        <v>0.1</v>
      </c>
    </row>
    <row r="31" spans="1:11">
      <c r="A31" s="9" t="str">
        <f>Tab위험률[[#This Row],[위험률코드]]</f>
        <v>Qx1</v>
      </c>
      <c r="B31" s="9" t="s">
        <v>234</v>
      </c>
      <c r="I31" s="9">
        <v>42</v>
      </c>
      <c r="J31" s="9">
        <v>0.1</v>
      </c>
      <c r="K31" s="9">
        <v>0.1</v>
      </c>
    </row>
    <row r="32" spans="1:11">
      <c r="A32" s="9" t="str">
        <f>Tab위험률[[#This Row],[위험률코드]]</f>
        <v>Qx1</v>
      </c>
      <c r="B32" s="9" t="s">
        <v>234</v>
      </c>
      <c r="I32" s="9">
        <v>43</v>
      </c>
      <c r="J32" s="9">
        <v>0.1</v>
      </c>
      <c r="K32" s="9">
        <v>0.1</v>
      </c>
    </row>
    <row r="33" spans="1:11">
      <c r="A33" s="9" t="str">
        <f>Tab위험률[[#This Row],[위험률코드]]</f>
        <v>Qx1</v>
      </c>
      <c r="B33" s="9" t="s">
        <v>234</v>
      </c>
      <c r="I33" s="9">
        <v>44</v>
      </c>
      <c r="J33" s="9">
        <v>0.1</v>
      </c>
      <c r="K33" s="9">
        <v>0.1</v>
      </c>
    </row>
    <row r="34" spans="1:11">
      <c r="A34" s="9" t="str">
        <f>Tab위험률[[#This Row],[위험률코드]]</f>
        <v>Qx1</v>
      </c>
      <c r="B34" s="9" t="s">
        <v>234</v>
      </c>
      <c r="I34" s="9">
        <v>45</v>
      </c>
      <c r="J34" s="9">
        <v>0.1</v>
      </c>
      <c r="K34" s="9">
        <v>0.1</v>
      </c>
    </row>
    <row r="35" spans="1:11">
      <c r="A35" s="9" t="str">
        <f>Tab위험률[[#This Row],[위험률코드]]</f>
        <v>Qx1</v>
      </c>
      <c r="B35" s="9" t="s">
        <v>234</v>
      </c>
      <c r="I35" s="9">
        <v>46</v>
      </c>
      <c r="J35" s="9">
        <v>0.1</v>
      </c>
      <c r="K35" s="9">
        <v>0.1</v>
      </c>
    </row>
    <row r="36" spans="1:11">
      <c r="A36" s="9" t="str">
        <f>Tab위험률[[#This Row],[위험률코드]]</f>
        <v>Qx1</v>
      </c>
      <c r="B36" s="9" t="s">
        <v>234</v>
      </c>
      <c r="I36" s="9">
        <v>47</v>
      </c>
      <c r="J36" s="9">
        <v>0.1</v>
      </c>
      <c r="K36" s="9">
        <v>0.1</v>
      </c>
    </row>
    <row r="37" spans="1:11">
      <c r="A37" s="9" t="str">
        <f>Tab위험률[[#This Row],[위험률코드]]</f>
        <v>Qx1</v>
      </c>
      <c r="B37" s="9" t="s">
        <v>234</v>
      </c>
      <c r="I37" s="9">
        <v>48</v>
      </c>
      <c r="J37" s="9">
        <v>0.1</v>
      </c>
      <c r="K37" s="9">
        <v>0.1</v>
      </c>
    </row>
    <row r="38" spans="1:11">
      <c r="A38" s="9" t="str">
        <f>Tab위험률[[#This Row],[위험률코드]]</f>
        <v>Qx1</v>
      </c>
      <c r="B38" s="9" t="s">
        <v>234</v>
      </c>
      <c r="I38" s="9">
        <v>49</v>
      </c>
      <c r="J38" s="9">
        <v>0.1</v>
      </c>
      <c r="K38" s="9">
        <v>0.1</v>
      </c>
    </row>
    <row r="39" spans="1:11">
      <c r="A39" s="9" t="str">
        <f>Tab위험률[[#This Row],[위험률코드]]</f>
        <v>Qx1</v>
      </c>
      <c r="B39" s="9" t="s">
        <v>234</v>
      </c>
      <c r="I39" s="9">
        <v>50</v>
      </c>
      <c r="J39" s="9">
        <v>0.1</v>
      </c>
      <c r="K39" s="9">
        <v>0.1</v>
      </c>
    </row>
    <row r="40" spans="1:11">
      <c r="A40" s="9" t="str">
        <f>Tab위험률[[#This Row],[위험률코드]]</f>
        <v>Qx1</v>
      </c>
      <c r="B40" s="9" t="s">
        <v>234</v>
      </c>
      <c r="I40" s="9">
        <v>51</v>
      </c>
      <c r="J40" s="9">
        <v>0.1</v>
      </c>
      <c r="K40" s="9">
        <v>0.1</v>
      </c>
    </row>
    <row r="41" spans="1:11">
      <c r="A41" s="9" t="str">
        <f>Tab위험률[[#This Row],[위험률코드]]</f>
        <v>Qx1</v>
      </c>
      <c r="B41" s="9" t="s">
        <v>234</v>
      </c>
      <c r="I41" s="9">
        <v>52</v>
      </c>
      <c r="J41" s="9">
        <v>0.1</v>
      </c>
      <c r="K41" s="9">
        <v>0.1</v>
      </c>
    </row>
    <row r="42" spans="1:11">
      <c r="A42" s="9" t="str">
        <f>Tab위험률[[#This Row],[위험률코드]]</f>
        <v>Qx1</v>
      </c>
      <c r="B42" s="9" t="s">
        <v>234</v>
      </c>
      <c r="I42" s="9">
        <v>53</v>
      </c>
      <c r="J42" s="9">
        <v>0.1</v>
      </c>
      <c r="K42" s="9">
        <v>0.1</v>
      </c>
    </row>
    <row r="43" spans="1:11">
      <c r="A43" s="9" t="str">
        <f>Tab위험률[[#This Row],[위험률코드]]</f>
        <v>Qx1</v>
      </c>
      <c r="B43" s="9" t="s">
        <v>234</v>
      </c>
      <c r="I43" s="9">
        <v>54</v>
      </c>
      <c r="J43" s="9">
        <v>0.1</v>
      </c>
      <c r="K43" s="9">
        <v>0.1</v>
      </c>
    </row>
    <row r="44" spans="1:11">
      <c r="A44" s="9" t="str">
        <f>Tab위험률[[#This Row],[위험률코드]]</f>
        <v>Qx1</v>
      </c>
      <c r="B44" s="9" t="s">
        <v>234</v>
      </c>
      <c r="I44" s="9">
        <v>55</v>
      </c>
      <c r="J44" s="9">
        <v>0.1</v>
      </c>
      <c r="K44" s="9">
        <v>0.1</v>
      </c>
    </row>
    <row r="45" spans="1:11">
      <c r="A45" s="9" t="str">
        <f>Tab위험률[[#This Row],[위험률코드]]</f>
        <v>Qx1</v>
      </c>
      <c r="B45" s="9" t="s">
        <v>234</v>
      </c>
      <c r="I45" s="9">
        <v>56</v>
      </c>
      <c r="J45" s="9">
        <v>0.1</v>
      </c>
      <c r="K45" s="9">
        <v>0.1</v>
      </c>
    </row>
    <row r="46" spans="1:11">
      <c r="A46" s="9" t="str">
        <f>Tab위험률[[#This Row],[위험률코드]]</f>
        <v>Qx1</v>
      </c>
      <c r="B46" s="9" t="s">
        <v>234</v>
      </c>
      <c r="I46" s="9">
        <v>57</v>
      </c>
      <c r="J46" s="9">
        <v>0.1</v>
      </c>
      <c r="K46" s="9">
        <v>0.1</v>
      </c>
    </row>
    <row r="47" spans="1:11">
      <c r="A47" s="9" t="str">
        <f>Tab위험률[[#This Row],[위험률코드]]</f>
        <v>Qx1</v>
      </c>
      <c r="B47" s="9" t="s">
        <v>234</v>
      </c>
      <c r="I47" s="9">
        <v>58</v>
      </c>
      <c r="J47" s="9">
        <v>0.1</v>
      </c>
      <c r="K47" s="9">
        <v>0.1</v>
      </c>
    </row>
    <row r="48" spans="1:11">
      <c r="A48" s="9" t="str">
        <f>Tab위험률[[#This Row],[위험률코드]]</f>
        <v>Qx1</v>
      </c>
      <c r="B48" s="9" t="s">
        <v>234</v>
      </c>
      <c r="I48" s="9">
        <v>59</v>
      </c>
      <c r="J48" s="9">
        <v>0.1</v>
      </c>
      <c r="K48" s="9">
        <v>0.1</v>
      </c>
    </row>
    <row r="49" spans="1:11">
      <c r="A49" s="9" t="str">
        <f>Tab위험률[[#This Row],[위험률코드]]</f>
        <v>Qx1</v>
      </c>
      <c r="B49" s="9" t="s">
        <v>234</v>
      </c>
      <c r="I49" s="9">
        <v>60</v>
      </c>
      <c r="J49" s="9">
        <v>0.1</v>
      </c>
      <c r="K49" s="9">
        <v>0.1</v>
      </c>
    </row>
    <row r="50" spans="1:11">
      <c r="A50" s="9" t="str">
        <f>Tab위험률[[#This Row],[위험률코드]]</f>
        <v>Qx1</v>
      </c>
      <c r="B50" s="9" t="s">
        <v>234</v>
      </c>
      <c r="I50" s="9">
        <v>61</v>
      </c>
      <c r="J50" s="9">
        <v>0.1</v>
      </c>
      <c r="K50" s="9">
        <v>0.1</v>
      </c>
    </row>
    <row r="51" spans="1:11">
      <c r="A51" s="9" t="str">
        <f>Tab위험률[[#This Row],[위험률코드]]</f>
        <v>Qx1</v>
      </c>
      <c r="B51" s="9" t="s">
        <v>234</v>
      </c>
      <c r="I51" s="9">
        <v>62</v>
      </c>
      <c r="J51" s="9">
        <v>0.1</v>
      </c>
      <c r="K51" s="9">
        <v>0.1</v>
      </c>
    </row>
    <row r="52" spans="1:11">
      <c r="A52" s="9" t="str">
        <f>Tab위험률[[#This Row],[위험률코드]]</f>
        <v>Qx1</v>
      </c>
      <c r="B52" s="9" t="s">
        <v>234</v>
      </c>
      <c r="I52" s="9">
        <v>63</v>
      </c>
      <c r="J52" s="9">
        <v>0.1</v>
      </c>
      <c r="K52" s="9">
        <v>0.1</v>
      </c>
    </row>
    <row r="53" spans="1:11">
      <c r="A53" s="9" t="str">
        <f>Tab위험률[[#This Row],[위험률코드]]</f>
        <v>Qx1</v>
      </c>
      <c r="B53" s="9" t="s">
        <v>234</v>
      </c>
      <c r="I53" s="9">
        <v>64</v>
      </c>
      <c r="J53" s="9">
        <v>0.1</v>
      </c>
      <c r="K53" s="9">
        <v>0.1</v>
      </c>
    </row>
    <row r="54" spans="1:11">
      <c r="A54" s="9" t="str">
        <f>Tab위험률[[#This Row],[위험률코드]]</f>
        <v>Qx1</v>
      </c>
      <c r="B54" s="9" t="s">
        <v>234</v>
      </c>
      <c r="I54" s="9">
        <v>65</v>
      </c>
      <c r="J54" s="9">
        <v>0.1</v>
      </c>
      <c r="K54" s="9">
        <v>0.1</v>
      </c>
    </row>
    <row r="55" spans="1:11">
      <c r="A55" s="9" t="str">
        <f>Tab위험률[[#This Row],[위험률코드]]</f>
        <v>Qx1</v>
      </c>
      <c r="B55" s="9" t="s">
        <v>234</v>
      </c>
      <c r="I55" s="9">
        <v>66</v>
      </c>
      <c r="J55" s="9">
        <v>0.1</v>
      </c>
      <c r="K55" s="9">
        <v>0.1</v>
      </c>
    </row>
    <row r="56" spans="1:11">
      <c r="A56" s="9" t="str">
        <f>Tab위험률[[#This Row],[위험률코드]]</f>
        <v>Qx1</v>
      </c>
      <c r="B56" s="9" t="s">
        <v>234</v>
      </c>
      <c r="I56" s="9">
        <v>67</v>
      </c>
      <c r="J56" s="9">
        <v>0.1</v>
      </c>
      <c r="K56" s="9">
        <v>0.1</v>
      </c>
    </row>
    <row r="57" spans="1:11">
      <c r="A57" s="9" t="str">
        <f>Tab위험률[[#This Row],[위험률코드]]</f>
        <v>Qx1</v>
      </c>
      <c r="B57" s="9" t="s">
        <v>234</v>
      </c>
      <c r="I57" s="9">
        <v>68</v>
      </c>
      <c r="J57" s="9">
        <v>0.1</v>
      </c>
      <c r="K57" s="9">
        <v>0.1</v>
      </c>
    </row>
    <row r="58" spans="1:11">
      <c r="A58" s="9" t="str">
        <f>Tab위험률[[#This Row],[위험률코드]]</f>
        <v>Qx1</v>
      </c>
      <c r="B58" s="9" t="s">
        <v>234</v>
      </c>
      <c r="I58" s="9">
        <v>69</v>
      </c>
      <c r="J58" s="9">
        <v>0.1</v>
      </c>
      <c r="K58" s="9">
        <v>0.1</v>
      </c>
    </row>
    <row r="59" spans="1:11">
      <c r="A59" s="9" t="str">
        <f>Tab위험률[[#This Row],[위험률코드]]</f>
        <v>Qx1</v>
      </c>
      <c r="B59" s="9" t="s">
        <v>234</v>
      </c>
      <c r="I59" s="9">
        <v>70</v>
      </c>
      <c r="J59" s="9">
        <v>0.1</v>
      </c>
      <c r="K59" s="9">
        <v>0.1</v>
      </c>
    </row>
    <row r="60" spans="1:11">
      <c r="A60" s="9" t="str">
        <f>Tab위험률[[#This Row],[위험률코드]]</f>
        <v>Qx1</v>
      </c>
      <c r="B60" s="9" t="s">
        <v>234</v>
      </c>
      <c r="I60" s="9">
        <v>71</v>
      </c>
      <c r="J60" s="9">
        <v>0.1</v>
      </c>
      <c r="K60" s="9">
        <v>0.1</v>
      </c>
    </row>
    <row r="61" spans="1:11">
      <c r="A61" s="9" t="str">
        <f>Tab위험률[[#This Row],[위험률코드]]</f>
        <v>Qx1</v>
      </c>
      <c r="B61" s="9" t="s">
        <v>234</v>
      </c>
      <c r="I61" s="9">
        <v>72</v>
      </c>
      <c r="J61" s="9">
        <v>0.1</v>
      </c>
      <c r="K61" s="9">
        <v>0.1</v>
      </c>
    </row>
    <row r="62" spans="1:11">
      <c r="A62" s="9" t="str">
        <f>Tab위험률[[#This Row],[위험률코드]]</f>
        <v>Qx1</v>
      </c>
      <c r="B62" s="9" t="s">
        <v>234</v>
      </c>
      <c r="I62" s="9">
        <v>73</v>
      </c>
      <c r="J62" s="9">
        <v>0.1</v>
      </c>
      <c r="K62" s="9">
        <v>0.1</v>
      </c>
    </row>
    <row r="63" spans="1:11">
      <c r="A63" s="9" t="str">
        <f>Tab위험률[[#This Row],[위험률코드]]</f>
        <v>Qx1</v>
      </c>
      <c r="B63" s="9" t="s">
        <v>234</v>
      </c>
      <c r="I63" s="9">
        <v>74</v>
      </c>
      <c r="J63" s="9">
        <v>0.1</v>
      </c>
      <c r="K63" s="9">
        <v>0.1</v>
      </c>
    </row>
    <row r="64" spans="1:11">
      <c r="A64" s="9" t="str">
        <f>Tab위험률[[#This Row],[위험률코드]]</f>
        <v>Qx1</v>
      </c>
      <c r="B64" s="9" t="s">
        <v>234</v>
      </c>
      <c r="I64" s="9">
        <v>75</v>
      </c>
      <c r="J64" s="9">
        <v>0.1</v>
      </c>
      <c r="K64" s="9">
        <v>0.1</v>
      </c>
    </row>
    <row r="65" spans="1:11">
      <c r="A65" s="9" t="str">
        <f>Tab위험률[[#This Row],[위험률코드]]</f>
        <v>Qx1</v>
      </c>
      <c r="B65" s="9" t="s">
        <v>234</v>
      </c>
      <c r="I65" s="9">
        <v>76</v>
      </c>
      <c r="J65" s="9">
        <v>0.1</v>
      </c>
      <c r="K65" s="9">
        <v>0.1</v>
      </c>
    </row>
    <row r="66" spans="1:11">
      <c r="A66" s="9" t="str">
        <f>Tab위험률[[#This Row],[위험률코드]]</f>
        <v>Qx1</v>
      </c>
      <c r="B66" s="9" t="s">
        <v>234</v>
      </c>
      <c r="I66" s="9">
        <v>77</v>
      </c>
      <c r="J66" s="9">
        <v>0.1</v>
      </c>
      <c r="K66" s="9">
        <v>0.1</v>
      </c>
    </row>
    <row r="67" spans="1:11">
      <c r="A67" s="9" t="str">
        <f>Tab위험률[[#This Row],[위험률코드]]</f>
        <v>Qx1</v>
      </c>
      <c r="B67" s="9" t="s">
        <v>234</v>
      </c>
      <c r="I67" s="9">
        <v>78</v>
      </c>
      <c r="J67" s="9">
        <v>0.1</v>
      </c>
      <c r="K67" s="9">
        <v>0.1</v>
      </c>
    </row>
    <row r="68" spans="1:11">
      <c r="A68" s="9" t="str">
        <f>Tab위험률[[#This Row],[위험률코드]]</f>
        <v>Qx1</v>
      </c>
      <c r="B68" s="9" t="s">
        <v>234</v>
      </c>
      <c r="I68" s="9">
        <v>79</v>
      </c>
      <c r="J68" s="9">
        <v>0.1</v>
      </c>
      <c r="K68" s="9">
        <v>0.1</v>
      </c>
    </row>
    <row r="69" spans="1:11">
      <c r="A69" s="9" t="str">
        <f>Tab위험률[[#This Row],[위험률코드]]</f>
        <v>Qx1</v>
      </c>
      <c r="B69" s="9" t="s">
        <v>234</v>
      </c>
      <c r="I69" s="9">
        <v>80</v>
      </c>
      <c r="J69" s="9">
        <v>0.1</v>
      </c>
      <c r="K69" s="9">
        <v>0.1</v>
      </c>
    </row>
    <row r="70" spans="1:11">
      <c r="A70" s="9" t="str">
        <f>Tab위험률[[#This Row],[위험률코드]]</f>
        <v>Qx1</v>
      </c>
      <c r="B70" s="9" t="s">
        <v>234</v>
      </c>
      <c r="I70" s="9">
        <v>81</v>
      </c>
      <c r="J70" s="9">
        <v>0.1</v>
      </c>
      <c r="K70" s="9">
        <v>0.1</v>
      </c>
    </row>
    <row r="71" spans="1:11">
      <c r="A71" s="9" t="str">
        <f>Tab위험률[[#This Row],[위험률코드]]</f>
        <v>Qx1</v>
      </c>
      <c r="B71" s="9" t="s">
        <v>234</v>
      </c>
      <c r="I71" s="9">
        <v>82</v>
      </c>
      <c r="J71" s="9">
        <v>0.1</v>
      </c>
      <c r="K71" s="9">
        <v>0.1</v>
      </c>
    </row>
    <row r="72" spans="1:11">
      <c r="A72" s="9" t="str">
        <f>Tab위험률[[#This Row],[위험률코드]]</f>
        <v>Qx1</v>
      </c>
      <c r="B72" s="9" t="s">
        <v>234</v>
      </c>
      <c r="I72" s="9">
        <v>83</v>
      </c>
      <c r="J72" s="9">
        <v>0.1</v>
      </c>
      <c r="K72" s="9">
        <v>0.1</v>
      </c>
    </row>
    <row r="73" spans="1:11">
      <c r="A73" s="9" t="str">
        <f>Tab위험률[[#This Row],[위험률코드]]</f>
        <v>Qx1</v>
      </c>
      <c r="B73" s="9" t="s">
        <v>234</v>
      </c>
      <c r="I73" s="9">
        <v>84</v>
      </c>
      <c r="J73" s="9">
        <v>0.1</v>
      </c>
      <c r="K73" s="9">
        <v>0.1</v>
      </c>
    </row>
    <row r="74" spans="1:11">
      <c r="A74" s="9" t="str">
        <f>Tab위험률[[#This Row],[위험률코드]]</f>
        <v>Qx1</v>
      </c>
      <c r="B74" s="9" t="s">
        <v>234</v>
      </c>
      <c r="I74" s="9">
        <v>85</v>
      </c>
      <c r="J74" s="9">
        <v>0.1</v>
      </c>
      <c r="K74" s="9">
        <v>0.1</v>
      </c>
    </row>
    <row r="75" spans="1:11">
      <c r="A75" s="9" t="str">
        <f>Tab위험률[[#This Row],[위험률코드]]</f>
        <v>Qx1</v>
      </c>
      <c r="B75" s="9" t="s">
        <v>234</v>
      </c>
      <c r="I75" s="9">
        <v>86</v>
      </c>
      <c r="J75" s="9">
        <v>0.1</v>
      </c>
      <c r="K75" s="9">
        <v>0.1</v>
      </c>
    </row>
    <row r="76" spans="1:11">
      <c r="A76" s="9" t="str">
        <f>Tab위험률[[#This Row],[위험률코드]]</f>
        <v>Qx1</v>
      </c>
      <c r="B76" s="9" t="s">
        <v>234</v>
      </c>
      <c r="I76" s="9">
        <v>87</v>
      </c>
      <c r="J76" s="9">
        <v>0.1</v>
      </c>
      <c r="K76" s="9">
        <v>0.1</v>
      </c>
    </row>
    <row r="77" spans="1:11">
      <c r="A77" s="9" t="str">
        <f>Tab위험률[[#This Row],[위험률코드]]</f>
        <v>Qx1</v>
      </c>
      <c r="B77" s="9" t="s">
        <v>234</v>
      </c>
      <c r="I77" s="9">
        <v>88</v>
      </c>
      <c r="J77" s="9">
        <v>0.1</v>
      </c>
      <c r="K77" s="9">
        <v>0.1</v>
      </c>
    </row>
    <row r="78" spans="1:11">
      <c r="A78" s="9" t="str">
        <f>Tab위험률[[#This Row],[위험률코드]]</f>
        <v>Qx1</v>
      </c>
      <c r="B78" s="9" t="s">
        <v>234</v>
      </c>
      <c r="I78" s="9">
        <v>89</v>
      </c>
      <c r="J78" s="9">
        <v>0.1</v>
      </c>
      <c r="K78" s="9">
        <v>0.1</v>
      </c>
    </row>
    <row r="79" spans="1:11">
      <c r="A79" s="9" t="str">
        <f>Tab위험률[[#This Row],[위험률코드]]</f>
        <v>Qx1</v>
      </c>
      <c r="B79" s="9" t="s">
        <v>234</v>
      </c>
      <c r="I79" s="9">
        <v>90</v>
      </c>
      <c r="J79" s="9">
        <v>0.1</v>
      </c>
      <c r="K79" s="9">
        <v>0.1</v>
      </c>
    </row>
    <row r="80" spans="1:11">
      <c r="A80" s="9" t="str">
        <f>Tab위험률[[#This Row],[위험률코드]]</f>
        <v>Qx1</v>
      </c>
      <c r="B80" s="9" t="s">
        <v>234</v>
      </c>
      <c r="I80" s="9">
        <v>91</v>
      </c>
      <c r="J80" s="9">
        <v>0.1</v>
      </c>
      <c r="K80" s="9">
        <v>0.1</v>
      </c>
    </row>
    <row r="81" spans="1:11">
      <c r="A81" s="9" t="str">
        <f>Tab위험률[[#This Row],[위험률코드]]</f>
        <v>Qx1</v>
      </c>
      <c r="B81" s="9" t="s">
        <v>234</v>
      </c>
      <c r="I81" s="9">
        <v>92</v>
      </c>
      <c r="J81" s="9">
        <v>0.1</v>
      </c>
      <c r="K81" s="9">
        <v>0.1</v>
      </c>
    </row>
    <row r="82" spans="1:11">
      <c r="A82" s="9" t="str">
        <f>Tab위험률[[#This Row],[위험률코드]]</f>
        <v>Qx1</v>
      </c>
      <c r="B82" s="9" t="s">
        <v>234</v>
      </c>
      <c r="I82" s="9">
        <v>93</v>
      </c>
      <c r="J82" s="9">
        <v>0.1</v>
      </c>
      <c r="K82" s="9">
        <v>0.1</v>
      </c>
    </row>
    <row r="83" spans="1:11">
      <c r="A83" s="9" t="str">
        <f>Tab위험률[[#This Row],[위험률코드]]</f>
        <v>Qx1</v>
      </c>
      <c r="B83" s="9" t="s">
        <v>234</v>
      </c>
      <c r="I83" s="9">
        <v>94</v>
      </c>
      <c r="J83" s="9">
        <v>0.1</v>
      </c>
      <c r="K83" s="9">
        <v>0.1</v>
      </c>
    </row>
    <row r="84" spans="1:11">
      <c r="A84" s="9" t="str">
        <f>Tab위험률[[#This Row],[위험률코드]]</f>
        <v>Qx1</v>
      </c>
      <c r="B84" s="9" t="s">
        <v>234</v>
      </c>
      <c r="I84" s="9">
        <v>95</v>
      </c>
      <c r="J84" s="9">
        <v>0.1</v>
      </c>
      <c r="K84" s="9">
        <v>0.1</v>
      </c>
    </row>
    <row r="85" spans="1:11">
      <c r="A85" s="9" t="str">
        <f>Tab위험률[[#This Row],[위험률코드]]</f>
        <v>Qx1</v>
      </c>
      <c r="B85" s="9" t="s">
        <v>234</v>
      </c>
      <c r="I85" s="9">
        <v>96</v>
      </c>
      <c r="J85" s="9">
        <v>0.1</v>
      </c>
      <c r="K85" s="9">
        <v>0.1</v>
      </c>
    </row>
    <row r="86" spans="1:11">
      <c r="A86" s="9" t="str">
        <f>Tab위험률[[#This Row],[위험률코드]]</f>
        <v>Qx1</v>
      </c>
      <c r="B86" s="9" t="s">
        <v>234</v>
      </c>
      <c r="I86" s="9">
        <v>97</v>
      </c>
      <c r="J86" s="9">
        <v>0.1</v>
      </c>
      <c r="K86" s="9">
        <v>0.1</v>
      </c>
    </row>
    <row r="87" spans="1:11">
      <c r="A87" s="9" t="str">
        <f>Tab위험률[[#This Row],[위험률코드]]</f>
        <v>Qx1</v>
      </c>
      <c r="B87" s="9" t="s">
        <v>234</v>
      </c>
      <c r="I87" s="9">
        <v>98</v>
      </c>
      <c r="J87" s="9">
        <v>0.1</v>
      </c>
      <c r="K87" s="9">
        <v>0.1</v>
      </c>
    </row>
    <row r="88" spans="1:11">
      <c r="A88" s="9" t="str">
        <f>Tab위험률[[#This Row],[위험률코드]]</f>
        <v>Qx1</v>
      </c>
      <c r="B88" s="9" t="s">
        <v>234</v>
      </c>
      <c r="I88" s="9">
        <v>99</v>
      </c>
      <c r="J88" s="9">
        <v>0.1</v>
      </c>
      <c r="K88" s="9">
        <v>0.1</v>
      </c>
    </row>
    <row r="89" spans="1:11">
      <c r="A89" s="9" t="str">
        <f>Tab위험률[[#This Row],[위험률코드]]</f>
        <v>Qx1</v>
      </c>
      <c r="B89" s="9" t="s">
        <v>234</v>
      </c>
      <c r="I89" s="9">
        <v>100</v>
      </c>
      <c r="J89" s="9">
        <v>0.1</v>
      </c>
      <c r="K89" s="9">
        <v>0.1</v>
      </c>
    </row>
    <row r="90" spans="1:11">
      <c r="A90" s="9" t="str">
        <f>Tab위험률[[#This Row],[위험률코드]]</f>
        <v>Qx1</v>
      </c>
      <c r="B90" s="9" t="s">
        <v>234</v>
      </c>
      <c r="I90" s="9">
        <v>101</v>
      </c>
      <c r="J90" s="9">
        <v>0.1</v>
      </c>
      <c r="K90" s="9">
        <v>0.1</v>
      </c>
    </row>
    <row r="91" spans="1:11">
      <c r="A91" s="9" t="str">
        <f>Tab위험률[[#This Row],[위험률코드]]</f>
        <v>Qx1</v>
      </c>
      <c r="B91" s="9" t="s">
        <v>234</v>
      </c>
      <c r="I91" s="9">
        <v>102</v>
      </c>
      <c r="J91" s="9">
        <v>0.1</v>
      </c>
      <c r="K91" s="9">
        <v>0.1</v>
      </c>
    </row>
    <row r="92" spans="1:11">
      <c r="A92" s="9" t="str">
        <f>Tab위험률[[#This Row],[위험률코드]]</f>
        <v>Qx1</v>
      </c>
      <c r="B92" s="9" t="s">
        <v>234</v>
      </c>
      <c r="I92" s="9">
        <v>103</v>
      </c>
      <c r="J92" s="9">
        <v>0.1</v>
      </c>
      <c r="K92" s="9">
        <v>0.1</v>
      </c>
    </row>
    <row r="93" spans="1:11">
      <c r="A93" s="9" t="str">
        <f>Tab위험률[[#This Row],[위험률코드]]</f>
        <v>Qx1</v>
      </c>
      <c r="B93" s="9" t="s">
        <v>234</v>
      </c>
      <c r="I93" s="9">
        <v>104</v>
      </c>
      <c r="J93" s="9">
        <v>0.1</v>
      </c>
      <c r="K93" s="9">
        <v>0.1</v>
      </c>
    </row>
    <row r="94" spans="1:11">
      <c r="A94" s="9" t="str">
        <f>Tab위험률[[#This Row],[위험률코드]]</f>
        <v>Qx1</v>
      </c>
      <c r="B94" s="9" t="s">
        <v>234</v>
      </c>
      <c r="I94" s="9">
        <v>105</v>
      </c>
      <c r="J94" s="9">
        <v>0.1</v>
      </c>
      <c r="K94" s="9">
        <v>0.1</v>
      </c>
    </row>
    <row r="95" spans="1:11">
      <c r="A95" s="9" t="str">
        <f>Tab위험률[[#This Row],[위험률코드]]</f>
        <v>Qx1</v>
      </c>
      <c r="B95" s="9" t="s">
        <v>234</v>
      </c>
      <c r="I95" s="9">
        <v>106</v>
      </c>
      <c r="J95" s="9">
        <v>0.1</v>
      </c>
      <c r="K95" s="9">
        <v>0.1</v>
      </c>
    </row>
    <row r="96" spans="1:11">
      <c r="A96" s="9" t="str">
        <f>Tab위험률[[#This Row],[위험률코드]]</f>
        <v>Qx1</v>
      </c>
      <c r="B96" s="9" t="s">
        <v>234</v>
      </c>
      <c r="I96" s="9">
        <v>107</v>
      </c>
      <c r="J96" s="9">
        <v>0.1</v>
      </c>
      <c r="K96" s="9">
        <v>0.1</v>
      </c>
    </row>
    <row r="97" spans="1:11">
      <c r="A97" s="9" t="str">
        <f>Tab위험률[[#This Row],[위험률코드]]</f>
        <v>Qx1</v>
      </c>
      <c r="B97" s="9" t="s">
        <v>234</v>
      </c>
      <c r="I97" s="9">
        <v>108</v>
      </c>
      <c r="J97" s="9">
        <v>0.1</v>
      </c>
      <c r="K97" s="9">
        <v>0.1</v>
      </c>
    </row>
    <row r="98" spans="1:11">
      <c r="A98" s="9" t="str">
        <f>Tab위험률[[#This Row],[위험률코드]]</f>
        <v>Qx1</v>
      </c>
      <c r="B98" s="9" t="s">
        <v>234</v>
      </c>
      <c r="I98" s="9">
        <v>109</v>
      </c>
      <c r="J98" s="9">
        <v>0.1</v>
      </c>
      <c r="K98" s="9">
        <v>0.1</v>
      </c>
    </row>
    <row r="99" spans="1:11">
      <c r="A99" s="9" t="str">
        <f>Tab위험률[[#This Row],[위험률코드]]</f>
        <v>Qx1</v>
      </c>
      <c r="B99" s="9" t="s">
        <v>234</v>
      </c>
      <c r="I99" s="9">
        <v>110</v>
      </c>
      <c r="J99" s="9">
        <v>0.1</v>
      </c>
      <c r="K99" s="9">
        <v>0.1</v>
      </c>
    </row>
    <row r="100" spans="1:11">
      <c r="A100" s="9" t="str">
        <f>Tab위험률[[#This Row],[위험률코드]]</f>
        <v>Qx1</v>
      </c>
      <c r="B100" s="9" t="s">
        <v>234</v>
      </c>
      <c r="I100" s="9">
        <v>111</v>
      </c>
      <c r="J100" s="9">
        <v>0.1</v>
      </c>
      <c r="K100" s="9">
        <v>0.1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위험률사전테스트_남자">
                <anchor moveWithCells="1" sizeWithCells="1">
                  <from>
                    <xdr:col>21</xdr:col>
                    <xdr:colOff>45720</xdr:colOff>
                    <xdr:row>3</xdr:row>
                    <xdr:rowOff>38100</xdr:rowOff>
                  </from>
                  <to>
                    <xdr:col>23</xdr:col>
                    <xdr:colOff>327660</xdr:colOff>
                    <xdr:row>5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위험률사전테스트_여자">
                <anchor moveWithCells="1" sizeWithCells="1">
                  <from>
                    <xdr:col>21</xdr:col>
                    <xdr:colOff>53340</xdr:colOff>
                    <xdr:row>5</xdr:row>
                    <xdr:rowOff>121920</xdr:rowOff>
                  </from>
                  <to>
                    <xdr:col>23</xdr:col>
                    <xdr:colOff>320040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6DA1E-0574-4E46-B2D5-5908E3A3B39C}">
  <sheetPr codeName="Sheet6">
    <tabColor theme="9" tint="-0.499984740745262"/>
  </sheetPr>
  <dimension ref="A1:T71"/>
  <sheetViews>
    <sheetView tabSelected="1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J13" sqref="J13"/>
    </sheetView>
  </sheetViews>
  <sheetFormatPr defaultRowHeight="17.399999999999999"/>
  <cols>
    <col min="1" max="1" width="12.59765625" style="9" bestFit="1" customWidth="1"/>
    <col min="2" max="2" width="24.09765625" style="9" bestFit="1" customWidth="1"/>
    <col min="3" max="3" width="8.796875" style="9"/>
    <col min="4" max="6" width="8.796875" style="9" customWidth="1"/>
    <col min="7" max="7" width="8.796875" style="9"/>
    <col min="8" max="8" width="15.8984375" style="36" bestFit="1" customWidth="1"/>
    <col min="9" max="9" width="15.19921875" style="9" customWidth="1"/>
    <col min="10" max="10" width="14.796875" style="9" bestFit="1" customWidth="1"/>
    <col min="11" max="11" width="11.59765625" style="9" customWidth="1"/>
    <col min="12" max="12" width="15.19921875" style="9" customWidth="1"/>
    <col min="13" max="13" width="14.3984375" style="9" customWidth="1"/>
    <col min="14" max="14" width="11.59765625" style="9" customWidth="1"/>
    <col min="15" max="16" width="10.3984375" style="9" customWidth="1"/>
    <col min="17" max="17" width="18.796875" style="9" customWidth="1"/>
    <col min="18" max="19" width="13.3984375" style="9" customWidth="1"/>
    <col min="20" max="20" width="1.796875" style="9" customWidth="1"/>
    <col min="21" max="16384" width="8.796875" style="10"/>
  </cols>
  <sheetData>
    <row r="1" spans="1:20">
      <c r="A1" s="47" t="s">
        <v>53</v>
      </c>
      <c r="B1" s="48"/>
      <c r="C1" s="48"/>
      <c r="D1" s="48"/>
      <c r="E1" s="48"/>
      <c r="F1" s="48"/>
      <c r="G1" s="48"/>
      <c r="H1" s="49"/>
      <c r="I1" s="104" t="s">
        <v>227</v>
      </c>
      <c r="J1" s="48"/>
      <c r="K1" s="48"/>
      <c r="L1" s="48"/>
      <c r="M1" s="48"/>
      <c r="N1" s="48"/>
      <c r="O1" s="48"/>
      <c r="P1" s="48"/>
      <c r="Q1" s="48"/>
      <c r="R1" s="48"/>
      <c r="S1" s="48"/>
    </row>
    <row r="2" spans="1:20" s="37" customFormat="1">
      <c r="A2" s="23">
        <v>1</v>
      </c>
      <c r="B2" s="23">
        <v>2</v>
      </c>
      <c r="C2" s="23">
        <v>3</v>
      </c>
      <c r="D2" s="23">
        <v>4</v>
      </c>
      <c r="E2" s="23">
        <v>5</v>
      </c>
      <c r="F2" s="23">
        <v>6</v>
      </c>
      <c r="G2" s="23">
        <v>7</v>
      </c>
      <c r="H2" s="23">
        <v>8</v>
      </c>
      <c r="I2" s="23">
        <v>9</v>
      </c>
      <c r="J2" s="23">
        <v>10</v>
      </c>
      <c r="K2" s="23">
        <v>11</v>
      </c>
      <c r="L2" s="23">
        <v>12</v>
      </c>
      <c r="M2" s="23">
        <v>13</v>
      </c>
      <c r="N2" s="23">
        <v>14</v>
      </c>
      <c r="O2" s="23">
        <v>15</v>
      </c>
      <c r="P2" s="23">
        <v>16</v>
      </c>
      <c r="Q2" s="23">
        <v>17</v>
      </c>
      <c r="R2" s="23">
        <v>18</v>
      </c>
      <c r="S2" s="23">
        <v>19</v>
      </c>
      <c r="T2" s="23"/>
    </row>
    <row r="3" spans="1:20" s="14" customFormat="1">
      <c r="A3" s="24" t="s">
        <v>0</v>
      </c>
      <c r="B3" s="25" t="s">
        <v>6</v>
      </c>
      <c r="C3" s="25" t="s">
        <v>1</v>
      </c>
      <c r="D3" s="25" t="s">
        <v>2</v>
      </c>
      <c r="E3" s="25" t="s">
        <v>3</v>
      </c>
      <c r="F3" s="25" t="s">
        <v>4</v>
      </c>
      <c r="G3" s="26" t="s">
        <v>5</v>
      </c>
      <c r="H3" s="27" t="s">
        <v>55</v>
      </c>
      <c r="I3" s="28" t="s">
        <v>58</v>
      </c>
      <c r="J3" s="28" t="s">
        <v>20</v>
      </c>
      <c r="K3" s="28" t="s">
        <v>29</v>
      </c>
      <c r="L3" s="29" t="s">
        <v>56</v>
      </c>
      <c r="M3" s="29" t="s">
        <v>21</v>
      </c>
      <c r="N3" s="29" t="s">
        <v>26</v>
      </c>
      <c r="O3" s="29" t="s">
        <v>27</v>
      </c>
      <c r="P3" s="29" t="s">
        <v>28</v>
      </c>
      <c r="Q3" s="30" t="s">
        <v>57</v>
      </c>
      <c r="R3" s="30" t="s">
        <v>19</v>
      </c>
      <c r="S3" s="31" t="s">
        <v>30</v>
      </c>
      <c r="T3" s="13"/>
    </row>
    <row r="4" spans="1:20">
      <c r="A4" s="38">
        <v>1</v>
      </c>
      <c r="B4" s="105"/>
      <c r="C4" s="32"/>
      <c r="D4" s="32"/>
      <c r="E4" s="32"/>
      <c r="F4" s="32"/>
      <c r="G4" s="32" t="str">
        <f>Tab코드[[#This Row],[담보코드]]&amp;Tab코드[[#This Row],[sub1]]&amp;Tab코드[[#This Row],[sub2]]&amp;Tab코드[[#This Row],[sub3]]&amp;Tab코드[[#This Row],[sub4]]</f>
        <v>1</v>
      </c>
      <c r="H4" s="34">
        <v>0</v>
      </c>
      <c r="I4" s="32"/>
      <c r="J4" s="32" t="str">
        <f>_xlfn.IFNA(VLOOKUP(Tab코드[[#This Row],[탈퇴위험률키]], Tab위험률키[], 2, FALSE), "")</f>
        <v/>
      </c>
      <c r="K4" s="32"/>
      <c r="L4" s="32"/>
      <c r="M4" s="32" t="str">
        <f>_xlfn.IFNA(VLOOKUP(Tab코드[[#This Row],[급부위험률키]], Tab위험률키[], 2, FALSE), "")</f>
        <v/>
      </c>
      <c r="N4" s="32"/>
      <c r="O4" s="32"/>
      <c r="P4" s="32"/>
      <c r="Q4" s="32"/>
      <c r="R4" s="32" t="str">
        <f>_xlfn.IFNA(VLOOKUP(Tab코드[[#This Row],[납입면제위험률키]], Tab위험률키[], 2, FALSE), "")</f>
        <v/>
      </c>
      <c r="S4" s="39"/>
    </row>
    <row r="5" spans="1:20">
      <c r="A5" s="38">
        <v>1</v>
      </c>
      <c r="B5" s="105"/>
      <c r="C5" s="32"/>
      <c r="D5" s="32"/>
      <c r="E5" s="32"/>
      <c r="F5" s="32"/>
      <c r="G5" s="32" t="str">
        <f>Tab코드[[#This Row],[담보코드]]&amp;Tab코드[[#This Row],[sub1]]&amp;Tab코드[[#This Row],[sub2]]&amp;Tab코드[[#This Row],[sub3]]&amp;Tab코드[[#This Row],[sub4]]</f>
        <v>1</v>
      </c>
      <c r="H5" s="34">
        <v>1</v>
      </c>
      <c r="I5" s="32"/>
      <c r="J5" s="32" t="str">
        <f>_xlfn.IFNA(VLOOKUP(Tab코드[[#This Row],[탈퇴위험률키]], Tab위험률키[], 2, FALSE), "")</f>
        <v/>
      </c>
      <c r="K5" s="32"/>
      <c r="L5" s="32" t="s">
        <v>234</v>
      </c>
      <c r="M5" s="32">
        <f>_xlfn.IFNA(VLOOKUP(Tab코드[[#This Row],[급부위험률키]], Tab위험률키[], 2, FALSE), "")</f>
        <v>0</v>
      </c>
      <c r="N5" s="32">
        <v>1</v>
      </c>
      <c r="O5" s="32">
        <v>0.5</v>
      </c>
      <c r="P5" s="32">
        <v>1</v>
      </c>
      <c r="Q5" s="32"/>
      <c r="R5" s="32" t="str">
        <f>_xlfn.IFNA(VLOOKUP(Tab코드[[#This Row],[납입면제위험률키]], Tab위험률키[], 2, FALSE), "")</f>
        <v/>
      </c>
      <c r="S5" s="39"/>
    </row>
    <row r="6" spans="1:20">
      <c r="A6" s="38">
        <v>1</v>
      </c>
      <c r="B6" s="105"/>
      <c r="C6" s="32"/>
      <c r="D6" s="32"/>
      <c r="E6" s="32"/>
      <c r="F6" s="32"/>
      <c r="G6" s="32" t="str">
        <f>Tab코드[[#This Row],[담보코드]]&amp;Tab코드[[#This Row],[sub1]]&amp;Tab코드[[#This Row],[sub2]]&amp;Tab코드[[#This Row],[sub3]]&amp;Tab코드[[#This Row],[sub4]]</f>
        <v>1</v>
      </c>
      <c r="H6" s="34">
        <v>99</v>
      </c>
      <c r="I6" s="32"/>
      <c r="J6" s="32" t="str">
        <f>_xlfn.IFNA(VLOOKUP(Tab코드[[#This Row],[탈퇴위험률키]], Tab위험률키[], 2, FALSE), "")</f>
        <v/>
      </c>
      <c r="K6" s="32"/>
      <c r="L6" s="32"/>
      <c r="M6" s="32" t="str">
        <f>_xlfn.IFNA(VLOOKUP(Tab코드[[#This Row],[급부위험률키]], Tab위험률키[], 2, FALSE), "")</f>
        <v/>
      </c>
      <c r="N6" s="32"/>
      <c r="O6" s="32"/>
      <c r="P6" s="32"/>
      <c r="Q6" s="32" t="s">
        <v>234</v>
      </c>
      <c r="R6" s="32">
        <f>_xlfn.IFNA(VLOOKUP(Tab코드[[#This Row],[납입면제위험률키]], Tab위험률키[], 2, FALSE), "")</f>
        <v>0</v>
      </c>
      <c r="S6" s="39">
        <v>3</v>
      </c>
    </row>
    <row r="7" spans="1:20">
      <c r="A7" s="38"/>
      <c r="B7" s="32"/>
      <c r="C7" s="32"/>
      <c r="D7" s="32"/>
      <c r="E7" s="32"/>
      <c r="F7" s="32"/>
      <c r="G7" s="32"/>
      <c r="H7" s="34"/>
      <c r="I7" s="32"/>
      <c r="J7" s="32" t="str">
        <f>_xlfn.IFNA(VLOOKUP(Tab코드[[#This Row],[탈퇴위험률키]], Tab위험률키[], 2, FALSE), "")</f>
        <v/>
      </c>
      <c r="K7" s="32"/>
      <c r="L7" s="32"/>
      <c r="M7" s="32" t="str">
        <f>_xlfn.IFNA(VLOOKUP(Tab코드[[#This Row],[급부위험률키]], Tab위험률키[], 2, FALSE), "")</f>
        <v/>
      </c>
      <c r="N7" s="32"/>
      <c r="O7" s="32"/>
      <c r="P7" s="32"/>
      <c r="Q7" s="32"/>
      <c r="R7" s="32" t="str">
        <f>_xlfn.IFNA(VLOOKUP(Tab코드[[#This Row],[납입면제위험률키]], Tab위험률키[], 2, FALSE), "")</f>
        <v/>
      </c>
      <c r="S7" s="39"/>
    </row>
    <row r="8" spans="1:20">
      <c r="A8" s="38"/>
      <c r="B8" s="32"/>
      <c r="C8" s="32"/>
      <c r="D8" s="32"/>
      <c r="E8" s="32"/>
      <c r="F8" s="32"/>
      <c r="G8" s="32"/>
      <c r="H8" s="34"/>
      <c r="I8" s="32"/>
      <c r="J8" s="32" t="str">
        <f>_xlfn.IFNA(VLOOKUP(Tab코드[[#This Row],[탈퇴위험률키]], Tab위험률키[], 2, FALSE), "")</f>
        <v/>
      </c>
      <c r="K8" s="32"/>
      <c r="L8" s="32"/>
      <c r="M8" s="32" t="str">
        <f>_xlfn.IFNA(VLOOKUP(Tab코드[[#This Row],[급부위험률키]], Tab위험률키[], 2, FALSE), "")</f>
        <v/>
      </c>
      <c r="N8" s="32"/>
      <c r="O8" s="32"/>
      <c r="P8" s="32"/>
      <c r="Q8" s="32"/>
      <c r="R8" s="32" t="str">
        <f>_xlfn.IFNA(VLOOKUP(Tab코드[[#This Row],[납입면제위험률키]], Tab위험률키[], 2, FALSE), "")</f>
        <v/>
      </c>
      <c r="S8" s="39"/>
    </row>
    <row r="9" spans="1:20">
      <c r="A9" s="38"/>
      <c r="B9" s="32"/>
      <c r="C9" s="32"/>
      <c r="D9" s="32"/>
      <c r="E9" s="32"/>
      <c r="F9" s="32"/>
      <c r="G9" s="32"/>
      <c r="H9" s="34"/>
      <c r="I9" s="32"/>
      <c r="J9" s="32" t="str">
        <f>_xlfn.IFNA(VLOOKUP(Tab코드[[#This Row],[탈퇴위험률키]], Tab위험률키[], 2, FALSE), "")</f>
        <v/>
      </c>
      <c r="K9" s="32"/>
      <c r="L9" s="32"/>
      <c r="M9" s="32" t="str">
        <f>_xlfn.IFNA(VLOOKUP(Tab코드[[#This Row],[급부위험률키]], Tab위험률키[], 2, FALSE), "")</f>
        <v/>
      </c>
      <c r="N9" s="32"/>
      <c r="O9" s="32"/>
      <c r="P9" s="32"/>
      <c r="Q9" s="32"/>
      <c r="R9" s="32" t="str">
        <f>_xlfn.IFNA(VLOOKUP(Tab코드[[#This Row],[납입면제위험률키]], Tab위험률키[], 2, FALSE), "")</f>
        <v/>
      </c>
      <c r="S9" s="39"/>
    </row>
    <row r="10" spans="1:20">
      <c r="A10" s="38"/>
      <c r="B10" s="32"/>
      <c r="C10" s="32"/>
      <c r="D10" s="32"/>
      <c r="E10" s="32"/>
      <c r="F10" s="32"/>
      <c r="G10" s="32"/>
      <c r="H10" s="34"/>
      <c r="I10" s="32"/>
      <c r="J10" s="32" t="str">
        <f>_xlfn.IFNA(VLOOKUP(Tab코드[[#This Row],[탈퇴위험률키]], Tab위험률키[], 2, FALSE), "")</f>
        <v/>
      </c>
      <c r="K10" s="32"/>
      <c r="L10" s="32"/>
      <c r="M10" s="32" t="str">
        <f>_xlfn.IFNA(VLOOKUP(Tab코드[[#This Row],[급부위험률키]], Tab위험률키[], 2, FALSE), "")</f>
        <v/>
      </c>
      <c r="N10" s="32"/>
      <c r="O10" s="32"/>
      <c r="P10" s="32"/>
      <c r="Q10" s="32"/>
      <c r="R10" s="32" t="str">
        <f>_xlfn.IFNA(VLOOKUP(Tab코드[[#This Row],[납입면제위험률키]], Tab위험률키[], 2, FALSE), "")</f>
        <v/>
      </c>
      <c r="S10" s="39"/>
    </row>
    <row r="11" spans="1:20">
      <c r="A11" s="38"/>
      <c r="B11" s="32"/>
      <c r="C11" s="32"/>
      <c r="D11" s="32"/>
      <c r="E11" s="32"/>
      <c r="F11" s="32"/>
      <c r="G11" s="32"/>
      <c r="H11" s="34"/>
      <c r="I11" s="32"/>
      <c r="J11" s="32" t="str">
        <f>_xlfn.IFNA(VLOOKUP(Tab코드[[#This Row],[탈퇴위험률키]], Tab위험률키[], 2, FALSE), "")</f>
        <v/>
      </c>
      <c r="K11" s="32"/>
      <c r="L11" s="32"/>
      <c r="M11" s="32" t="str">
        <f>_xlfn.IFNA(VLOOKUP(Tab코드[[#This Row],[급부위험률키]], Tab위험률키[], 2, FALSE), "")</f>
        <v/>
      </c>
      <c r="N11" s="32"/>
      <c r="O11" s="32"/>
      <c r="P11" s="32"/>
      <c r="Q11" s="32"/>
      <c r="R11" s="32" t="str">
        <f>_xlfn.IFNA(VLOOKUP(Tab코드[[#This Row],[납입면제위험률키]], Tab위험률키[], 2, FALSE), "")</f>
        <v/>
      </c>
      <c r="S11" s="39"/>
    </row>
    <row r="12" spans="1:20">
      <c r="A12" s="38"/>
      <c r="B12" s="32"/>
      <c r="C12" s="32"/>
      <c r="D12" s="32"/>
      <c r="E12" s="32"/>
      <c r="F12" s="32"/>
      <c r="G12" s="32"/>
      <c r="H12" s="34"/>
      <c r="I12" s="32"/>
      <c r="J12" s="32" t="str">
        <f>_xlfn.IFNA(VLOOKUP(Tab코드[[#This Row],[탈퇴위험률키]], Tab위험률키[], 2, FALSE), "")</f>
        <v/>
      </c>
      <c r="K12" s="32"/>
      <c r="L12" s="32"/>
      <c r="M12" s="32" t="str">
        <f>_xlfn.IFNA(VLOOKUP(Tab코드[[#This Row],[급부위험률키]], Tab위험률키[], 2, FALSE), "")</f>
        <v/>
      </c>
      <c r="N12" s="32"/>
      <c r="O12" s="32"/>
      <c r="P12" s="32"/>
      <c r="Q12" s="32"/>
      <c r="R12" s="32" t="str">
        <f>_xlfn.IFNA(VLOOKUP(Tab코드[[#This Row],[납입면제위험률키]], Tab위험률키[], 2, FALSE), "")</f>
        <v/>
      </c>
      <c r="S12" s="39"/>
    </row>
    <row r="13" spans="1:20">
      <c r="A13" s="38"/>
      <c r="B13" s="32"/>
      <c r="C13" s="32"/>
      <c r="D13" s="32"/>
      <c r="E13" s="32"/>
      <c r="F13" s="32"/>
      <c r="G13" s="32"/>
      <c r="H13" s="34"/>
      <c r="I13" s="32"/>
      <c r="J13" s="32" t="str">
        <f>_xlfn.IFNA(VLOOKUP(Tab코드[[#This Row],[탈퇴위험률키]], Tab위험률키[], 2, FALSE), "")</f>
        <v/>
      </c>
      <c r="K13" s="32"/>
      <c r="L13" s="32"/>
      <c r="M13" s="32" t="str">
        <f>_xlfn.IFNA(VLOOKUP(Tab코드[[#This Row],[급부위험률키]], Tab위험률키[], 2, FALSE), "")</f>
        <v/>
      </c>
      <c r="N13" s="32"/>
      <c r="O13" s="32"/>
      <c r="P13" s="32"/>
      <c r="Q13" s="32"/>
      <c r="R13" s="32" t="str">
        <f>_xlfn.IFNA(VLOOKUP(Tab코드[[#This Row],[납입면제위험률키]], Tab위험률키[], 2, FALSE), "")</f>
        <v/>
      </c>
      <c r="S13" s="39"/>
    </row>
    <row r="14" spans="1:20">
      <c r="A14" s="38"/>
      <c r="B14" s="32"/>
      <c r="C14" s="32"/>
      <c r="D14" s="32"/>
      <c r="E14" s="32"/>
      <c r="F14" s="32"/>
      <c r="G14" s="32"/>
      <c r="H14" s="34"/>
      <c r="I14" s="32"/>
      <c r="J14" s="32" t="str">
        <f>_xlfn.IFNA(VLOOKUP(Tab코드[[#This Row],[탈퇴위험률키]], Tab위험률키[], 2, FALSE), "")</f>
        <v/>
      </c>
      <c r="K14" s="32"/>
      <c r="L14" s="32"/>
      <c r="M14" s="32" t="str">
        <f>_xlfn.IFNA(VLOOKUP(Tab코드[[#This Row],[급부위험률키]], Tab위험률키[], 2, FALSE), "")</f>
        <v/>
      </c>
      <c r="N14" s="32"/>
      <c r="O14" s="32"/>
      <c r="P14" s="32"/>
      <c r="Q14" s="32"/>
      <c r="R14" s="32" t="str">
        <f>_xlfn.IFNA(VLOOKUP(Tab코드[[#This Row],[납입면제위험률키]], Tab위험률키[], 2, FALSE), "")</f>
        <v/>
      </c>
      <c r="S14" s="39"/>
    </row>
    <row r="15" spans="1:20">
      <c r="A15" s="38"/>
      <c r="B15" s="32"/>
      <c r="C15" s="32"/>
      <c r="D15" s="32"/>
      <c r="E15" s="32"/>
      <c r="F15" s="32"/>
      <c r="G15" s="32"/>
      <c r="H15" s="34"/>
      <c r="I15" s="32"/>
      <c r="J15" s="32" t="str">
        <f>_xlfn.IFNA(VLOOKUP(Tab코드[[#This Row],[탈퇴위험률키]], Tab위험률키[], 2, FALSE), "")</f>
        <v/>
      </c>
      <c r="K15" s="32"/>
      <c r="L15" s="32"/>
      <c r="M15" s="32" t="str">
        <f>_xlfn.IFNA(VLOOKUP(Tab코드[[#This Row],[급부위험률키]], Tab위험률키[], 2, FALSE), "")</f>
        <v/>
      </c>
      <c r="N15" s="32"/>
      <c r="O15" s="32"/>
      <c r="P15" s="32"/>
      <c r="Q15" s="32"/>
      <c r="R15" s="32" t="str">
        <f>_xlfn.IFNA(VLOOKUP(Tab코드[[#This Row],[납입면제위험률키]], Tab위험률키[], 2, FALSE), "")</f>
        <v/>
      </c>
      <c r="S15" s="39"/>
    </row>
    <row r="16" spans="1:20">
      <c r="A16" s="38"/>
      <c r="B16" s="32"/>
      <c r="C16" s="32"/>
      <c r="D16" s="32"/>
      <c r="E16" s="32"/>
      <c r="F16" s="32"/>
      <c r="G16" s="32"/>
      <c r="H16" s="34"/>
      <c r="I16" s="32"/>
      <c r="J16" s="32" t="str">
        <f>_xlfn.IFNA(VLOOKUP(Tab코드[[#This Row],[탈퇴위험률키]], Tab위험률키[], 2, FALSE), "")</f>
        <v/>
      </c>
      <c r="K16" s="32"/>
      <c r="L16" s="32"/>
      <c r="M16" s="32" t="str">
        <f>_xlfn.IFNA(VLOOKUP(Tab코드[[#This Row],[급부위험률키]], Tab위험률키[], 2, FALSE), "")</f>
        <v/>
      </c>
      <c r="N16" s="32"/>
      <c r="O16" s="32"/>
      <c r="P16" s="32"/>
      <c r="Q16" s="32"/>
      <c r="R16" s="32" t="str">
        <f>_xlfn.IFNA(VLOOKUP(Tab코드[[#This Row],[납입면제위험률키]], Tab위험률키[], 2, FALSE), "")</f>
        <v/>
      </c>
      <c r="S16" s="39"/>
    </row>
    <row r="17" spans="1:19">
      <c r="A17" s="38"/>
      <c r="B17" s="32"/>
      <c r="C17" s="32"/>
      <c r="D17" s="32"/>
      <c r="E17" s="32"/>
      <c r="F17" s="32"/>
      <c r="G17" s="32"/>
      <c r="H17" s="34"/>
      <c r="I17" s="32"/>
      <c r="J17" s="32" t="str">
        <f>_xlfn.IFNA(VLOOKUP(Tab코드[[#This Row],[탈퇴위험률키]], Tab위험률키[], 2, FALSE), "")</f>
        <v/>
      </c>
      <c r="K17" s="32"/>
      <c r="L17" s="32"/>
      <c r="M17" s="32" t="str">
        <f>_xlfn.IFNA(VLOOKUP(Tab코드[[#This Row],[급부위험률키]], Tab위험률키[], 2, FALSE), "")</f>
        <v/>
      </c>
      <c r="N17" s="32"/>
      <c r="O17" s="32"/>
      <c r="P17" s="32"/>
      <c r="Q17" s="32"/>
      <c r="R17" s="32" t="str">
        <f>_xlfn.IFNA(VLOOKUP(Tab코드[[#This Row],[납입면제위험률키]], Tab위험률키[], 2, FALSE), "")</f>
        <v/>
      </c>
      <c r="S17" s="39"/>
    </row>
    <row r="18" spans="1:19">
      <c r="A18" s="38"/>
      <c r="B18" s="32"/>
      <c r="C18" s="32"/>
      <c r="D18" s="32"/>
      <c r="E18" s="32"/>
      <c r="F18" s="32"/>
      <c r="G18" s="32"/>
      <c r="H18" s="34"/>
      <c r="I18" s="32"/>
      <c r="J18" s="32" t="str">
        <f>_xlfn.IFNA(VLOOKUP(Tab코드[[#This Row],[탈퇴위험률키]], Tab위험률키[], 2, FALSE), "")</f>
        <v/>
      </c>
      <c r="K18" s="32"/>
      <c r="L18" s="32"/>
      <c r="M18" s="32" t="str">
        <f>_xlfn.IFNA(VLOOKUP(Tab코드[[#This Row],[급부위험률키]], Tab위험률키[], 2, FALSE), "")</f>
        <v/>
      </c>
      <c r="N18" s="32"/>
      <c r="O18" s="32"/>
      <c r="P18" s="32"/>
      <c r="Q18" s="32"/>
      <c r="R18" s="32" t="str">
        <f>_xlfn.IFNA(VLOOKUP(Tab코드[[#This Row],[납입면제위험률키]], Tab위험률키[], 2, FALSE), "")</f>
        <v/>
      </c>
      <c r="S18" s="39"/>
    </row>
    <row r="19" spans="1:19">
      <c r="A19" s="38"/>
      <c r="B19" s="32"/>
      <c r="C19" s="32"/>
      <c r="D19" s="32"/>
      <c r="E19" s="32"/>
      <c r="F19" s="32"/>
      <c r="G19" s="32"/>
      <c r="H19" s="34"/>
      <c r="I19" s="32"/>
      <c r="J19" s="32" t="str">
        <f>_xlfn.IFNA(VLOOKUP(Tab코드[[#This Row],[탈퇴위험률키]], Tab위험률키[], 2, FALSE), "")</f>
        <v/>
      </c>
      <c r="K19" s="32"/>
      <c r="L19" s="32"/>
      <c r="M19" s="32" t="str">
        <f>_xlfn.IFNA(VLOOKUP(Tab코드[[#This Row],[급부위험률키]], Tab위험률키[], 2, FALSE), "")</f>
        <v/>
      </c>
      <c r="N19" s="32"/>
      <c r="O19" s="32"/>
      <c r="P19" s="32"/>
      <c r="Q19" s="32"/>
      <c r="R19" s="32" t="str">
        <f>_xlfn.IFNA(VLOOKUP(Tab코드[[#This Row],[납입면제위험률키]], Tab위험률키[], 2, FALSE), "")</f>
        <v/>
      </c>
      <c r="S19" s="39"/>
    </row>
    <row r="20" spans="1:19">
      <c r="A20" s="38"/>
      <c r="B20" s="32"/>
      <c r="C20" s="32"/>
      <c r="D20" s="32"/>
      <c r="E20" s="32"/>
      <c r="F20" s="32"/>
      <c r="G20" s="32"/>
      <c r="H20" s="34"/>
      <c r="I20" s="32"/>
      <c r="J20" s="32" t="str">
        <f>_xlfn.IFNA(VLOOKUP(Tab코드[[#This Row],[탈퇴위험률키]], Tab위험률키[], 2, FALSE), "")</f>
        <v/>
      </c>
      <c r="K20" s="32"/>
      <c r="L20" s="32"/>
      <c r="M20" s="32" t="str">
        <f>_xlfn.IFNA(VLOOKUP(Tab코드[[#This Row],[급부위험률키]], Tab위험률키[], 2, FALSE), "")</f>
        <v/>
      </c>
      <c r="N20" s="32"/>
      <c r="O20" s="32"/>
      <c r="P20" s="32"/>
      <c r="Q20" s="32"/>
      <c r="R20" s="32" t="str">
        <f>_xlfn.IFNA(VLOOKUP(Tab코드[[#This Row],[납입면제위험률키]], Tab위험률키[], 2, FALSE), "")</f>
        <v/>
      </c>
      <c r="S20" s="39"/>
    </row>
    <row r="21" spans="1:19">
      <c r="A21" s="38"/>
      <c r="B21" s="32"/>
      <c r="C21" s="32"/>
      <c r="D21" s="32"/>
      <c r="E21" s="32"/>
      <c r="F21" s="32"/>
      <c r="G21" s="32"/>
      <c r="H21" s="34"/>
      <c r="I21" s="32"/>
      <c r="J21" s="32" t="str">
        <f>_xlfn.IFNA(VLOOKUP(Tab코드[[#This Row],[탈퇴위험률키]], Tab위험률키[], 2, FALSE), "")</f>
        <v/>
      </c>
      <c r="K21" s="32"/>
      <c r="L21" s="32"/>
      <c r="M21" s="32" t="str">
        <f>_xlfn.IFNA(VLOOKUP(Tab코드[[#This Row],[급부위험률키]], Tab위험률키[], 2, FALSE), "")</f>
        <v/>
      </c>
      <c r="N21" s="32"/>
      <c r="O21" s="32"/>
      <c r="P21" s="32"/>
      <c r="Q21" s="32"/>
      <c r="R21" s="32" t="str">
        <f>_xlfn.IFNA(VLOOKUP(Tab코드[[#This Row],[납입면제위험률키]], Tab위험률키[], 2, FALSE), "")</f>
        <v/>
      </c>
      <c r="S21" s="39"/>
    </row>
    <row r="22" spans="1:19">
      <c r="A22" s="38"/>
      <c r="B22" s="32"/>
      <c r="C22" s="32"/>
      <c r="D22" s="32"/>
      <c r="E22" s="32"/>
      <c r="F22" s="32"/>
      <c r="G22" s="32"/>
      <c r="H22" s="34"/>
      <c r="I22" s="32"/>
      <c r="J22" s="32" t="str">
        <f>_xlfn.IFNA(VLOOKUP(Tab코드[[#This Row],[탈퇴위험률키]], Tab위험률키[], 2, FALSE), "")</f>
        <v/>
      </c>
      <c r="K22" s="32"/>
      <c r="L22" s="32"/>
      <c r="M22" s="32" t="str">
        <f>_xlfn.IFNA(VLOOKUP(Tab코드[[#This Row],[급부위험률키]], Tab위험률키[], 2, FALSE), "")</f>
        <v/>
      </c>
      <c r="N22" s="32"/>
      <c r="O22" s="32"/>
      <c r="P22" s="32"/>
      <c r="Q22" s="32"/>
      <c r="R22" s="32" t="str">
        <f>_xlfn.IFNA(VLOOKUP(Tab코드[[#This Row],[납입면제위험률키]], Tab위험률키[], 2, FALSE), "")</f>
        <v/>
      </c>
      <c r="S22" s="39"/>
    </row>
    <row r="23" spans="1:19">
      <c r="A23" s="38"/>
      <c r="B23" s="32"/>
      <c r="C23" s="32"/>
      <c r="D23" s="32"/>
      <c r="E23" s="32"/>
      <c r="F23" s="32"/>
      <c r="G23" s="32"/>
      <c r="H23" s="34"/>
      <c r="I23" s="32"/>
      <c r="J23" s="32" t="str">
        <f>_xlfn.IFNA(VLOOKUP(Tab코드[[#This Row],[탈퇴위험률키]], Tab위험률키[], 2, FALSE), "")</f>
        <v/>
      </c>
      <c r="K23" s="32"/>
      <c r="L23" s="32"/>
      <c r="M23" s="32" t="str">
        <f>_xlfn.IFNA(VLOOKUP(Tab코드[[#This Row],[급부위험률키]], Tab위험률키[], 2, FALSE), "")</f>
        <v/>
      </c>
      <c r="N23" s="32"/>
      <c r="O23" s="32"/>
      <c r="P23" s="32"/>
      <c r="Q23" s="32"/>
      <c r="R23" s="32" t="str">
        <f>_xlfn.IFNA(VLOOKUP(Tab코드[[#This Row],[납입면제위험률키]], Tab위험률키[], 2, FALSE), "")</f>
        <v/>
      </c>
      <c r="S23" s="39"/>
    </row>
    <row r="24" spans="1:19">
      <c r="A24" s="38"/>
      <c r="B24" s="32"/>
      <c r="C24" s="32"/>
      <c r="D24" s="32"/>
      <c r="E24" s="32"/>
      <c r="F24" s="32"/>
      <c r="G24" s="32"/>
      <c r="H24" s="34"/>
      <c r="I24" s="32"/>
      <c r="J24" s="32" t="str">
        <f>_xlfn.IFNA(VLOOKUP(Tab코드[[#This Row],[탈퇴위험률키]], Tab위험률키[], 2, FALSE), "")</f>
        <v/>
      </c>
      <c r="K24" s="32"/>
      <c r="L24" s="32"/>
      <c r="M24" s="32" t="str">
        <f>_xlfn.IFNA(VLOOKUP(Tab코드[[#This Row],[급부위험률키]], Tab위험률키[], 2, FALSE), "")</f>
        <v/>
      </c>
      <c r="N24" s="32"/>
      <c r="O24" s="32"/>
      <c r="P24" s="32"/>
      <c r="Q24" s="32"/>
      <c r="R24" s="32" t="str">
        <f>_xlfn.IFNA(VLOOKUP(Tab코드[[#This Row],[납입면제위험률키]], Tab위험률키[], 2, FALSE), "")</f>
        <v/>
      </c>
      <c r="S24" s="39"/>
    </row>
    <row r="25" spans="1:19">
      <c r="A25" s="38"/>
      <c r="B25" s="32"/>
      <c r="C25" s="32"/>
      <c r="D25" s="32"/>
      <c r="E25" s="32"/>
      <c r="F25" s="32"/>
      <c r="G25" s="32"/>
      <c r="H25" s="34"/>
      <c r="I25" s="32"/>
      <c r="J25" s="32" t="str">
        <f>_xlfn.IFNA(VLOOKUP(Tab코드[[#This Row],[탈퇴위험률키]], Tab위험률키[], 2, FALSE), "")</f>
        <v/>
      </c>
      <c r="K25" s="32"/>
      <c r="L25" s="32"/>
      <c r="M25" s="32" t="str">
        <f>_xlfn.IFNA(VLOOKUP(Tab코드[[#This Row],[급부위험률키]], Tab위험률키[], 2, FALSE), "")</f>
        <v/>
      </c>
      <c r="N25" s="32"/>
      <c r="O25" s="32"/>
      <c r="P25" s="32"/>
      <c r="Q25" s="32"/>
      <c r="R25" s="32" t="str">
        <f>_xlfn.IFNA(VLOOKUP(Tab코드[[#This Row],[납입면제위험률키]], Tab위험률키[], 2, FALSE), "")</f>
        <v/>
      </c>
      <c r="S25" s="39"/>
    </row>
    <row r="26" spans="1:19">
      <c r="A26" s="38"/>
      <c r="B26" s="32"/>
      <c r="C26" s="32"/>
      <c r="D26" s="32"/>
      <c r="E26" s="32"/>
      <c r="F26" s="32"/>
      <c r="G26" s="32"/>
      <c r="H26" s="34"/>
      <c r="I26" s="32"/>
      <c r="J26" s="32" t="str">
        <f>_xlfn.IFNA(VLOOKUP(Tab코드[[#This Row],[탈퇴위험률키]], Tab위험률키[], 2, FALSE), "")</f>
        <v/>
      </c>
      <c r="K26" s="32"/>
      <c r="L26" s="32"/>
      <c r="M26" s="32" t="str">
        <f>_xlfn.IFNA(VLOOKUP(Tab코드[[#This Row],[급부위험률키]], Tab위험률키[], 2, FALSE), "")</f>
        <v/>
      </c>
      <c r="N26" s="32"/>
      <c r="O26" s="32"/>
      <c r="P26" s="32"/>
      <c r="Q26" s="32"/>
      <c r="R26" s="32" t="str">
        <f>_xlfn.IFNA(VLOOKUP(Tab코드[[#This Row],[납입면제위험률키]], Tab위험률키[], 2, FALSE), "")</f>
        <v/>
      </c>
      <c r="S26" s="39"/>
    </row>
    <row r="27" spans="1:19">
      <c r="A27" s="38"/>
      <c r="B27" s="32"/>
      <c r="C27" s="32"/>
      <c r="D27" s="32"/>
      <c r="E27" s="32"/>
      <c r="F27" s="32"/>
      <c r="G27" s="32"/>
      <c r="H27" s="34"/>
      <c r="I27" s="32"/>
      <c r="J27" s="32" t="str">
        <f>_xlfn.IFNA(VLOOKUP(Tab코드[[#This Row],[탈퇴위험률키]], Tab위험률키[], 2, FALSE), "")</f>
        <v/>
      </c>
      <c r="K27" s="32"/>
      <c r="L27" s="32"/>
      <c r="M27" s="32" t="str">
        <f>_xlfn.IFNA(VLOOKUP(Tab코드[[#This Row],[급부위험률키]], Tab위험률키[], 2, FALSE), "")</f>
        <v/>
      </c>
      <c r="N27" s="32"/>
      <c r="O27" s="32"/>
      <c r="P27" s="32"/>
      <c r="Q27" s="32"/>
      <c r="R27" s="32" t="str">
        <f>_xlfn.IFNA(VLOOKUP(Tab코드[[#This Row],[납입면제위험률키]], Tab위험률키[], 2, FALSE), "")</f>
        <v/>
      </c>
      <c r="S27" s="39"/>
    </row>
    <row r="28" spans="1:19">
      <c r="A28" s="38"/>
      <c r="B28" s="32"/>
      <c r="C28" s="32"/>
      <c r="D28" s="32"/>
      <c r="E28" s="32"/>
      <c r="F28" s="32"/>
      <c r="G28" s="32"/>
      <c r="H28" s="34"/>
      <c r="I28" s="32"/>
      <c r="J28" s="32" t="str">
        <f>_xlfn.IFNA(VLOOKUP(Tab코드[[#This Row],[탈퇴위험률키]], Tab위험률키[], 2, FALSE), "")</f>
        <v/>
      </c>
      <c r="K28" s="32"/>
      <c r="L28" s="32"/>
      <c r="M28" s="32" t="str">
        <f>_xlfn.IFNA(VLOOKUP(Tab코드[[#This Row],[급부위험률키]], Tab위험률키[], 2, FALSE), "")</f>
        <v/>
      </c>
      <c r="N28" s="32"/>
      <c r="O28" s="32"/>
      <c r="P28" s="32"/>
      <c r="Q28" s="32"/>
      <c r="R28" s="32" t="str">
        <f>_xlfn.IFNA(VLOOKUP(Tab코드[[#This Row],[납입면제위험률키]], Tab위험률키[], 2, FALSE), "")</f>
        <v/>
      </c>
      <c r="S28" s="39"/>
    </row>
    <row r="29" spans="1:19">
      <c r="A29" s="38"/>
      <c r="B29" s="32"/>
      <c r="C29" s="32"/>
      <c r="D29" s="32"/>
      <c r="E29" s="32"/>
      <c r="F29" s="32"/>
      <c r="G29" s="32"/>
      <c r="H29" s="34"/>
      <c r="I29" s="32"/>
      <c r="J29" s="32" t="str">
        <f>_xlfn.IFNA(VLOOKUP(Tab코드[[#This Row],[탈퇴위험률키]], Tab위험률키[], 2, FALSE), "")</f>
        <v/>
      </c>
      <c r="K29" s="32"/>
      <c r="L29" s="32"/>
      <c r="M29" s="32" t="str">
        <f>_xlfn.IFNA(VLOOKUP(Tab코드[[#This Row],[급부위험률키]], Tab위험률키[], 2, FALSE), "")</f>
        <v/>
      </c>
      <c r="N29" s="32"/>
      <c r="O29" s="32"/>
      <c r="P29" s="32"/>
      <c r="Q29" s="32"/>
      <c r="R29" s="32" t="str">
        <f>_xlfn.IFNA(VLOOKUP(Tab코드[[#This Row],[납입면제위험률키]], Tab위험률키[], 2, FALSE), "")</f>
        <v/>
      </c>
      <c r="S29" s="39"/>
    </row>
    <row r="30" spans="1:19">
      <c r="A30" s="38"/>
      <c r="B30" s="32"/>
      <c r="C30" s="32"/>
      <c r="D30" s="32"/>
      <c r="E30" s="32"/>
      <c r="F30" s="32"/>
      <c r="G30" s="32"/>
      <c r="H30" s="34"/>
      <c r="I30" s="32"/>
      <c r="J30" s="32" t="str">
        <f>_xlfn.IFNA(VLOOKUP(Tab코드[[#This Row],[탈퇴위험률키]], Tab위험률키[], 2, FALSE), "")</f>
        <v/>
      </c>
      <c r="K30" s="32"/>
      <c r="L30" s="32"/>
      <c r="M30" s="32" t="str">
        <f>_xlfn.IFNA(VLOOKUP(Tab코드[[#This Row],[급부위험률키]], Tab위험률키[], 2, FALSE), "")</f>
        <v/>
      </c>
      <c r="N30" s="32"/>
      <c r="O30" s="32"/>
      <c r="P30" s="32"/>
      <c r="Q30" s="32"/>
      <c r="R30" s="32" t="str">
        <f>_xlfn.IFNA(VLOOKUP(Tab코드[[#This Row],[납입면제위험률키]], Tab위험률키[], 2, FALSE), "")</f>
        <v/>
      </c>
      <c r="S30" s="39"/>
    </row>
    <row r="31" spans="1:19">
      <c r="A31" s="38"/>
      <c r="B31" s="32"/>
      <c r="C31" s="32"/>
      <c r="D31" s="32"/>
      <c r="E31" s="32"/>
      <c r="F31" s="32"/>
      <c r="G31" s="32"/>
      <c r="H31" s="34"/>
      <c r="I31" s="32"/>
      <c r="J31" s="32" t="str">
        <f>_xlfn.IFNA(VLOOKUP(Tab코드[[#This Row],[탈퇴위험률키]], Tab위험률키[], 2, FALSE), "")</f>
        <v/>
      </c>
      <c r="K31" s="32"/>
      <c r="L31" s="32"/>
      <c r="M31" s="32" t="str">
        <f>_xlfn.IFNA(VLOOKUP(Tab코드[[#This Row],[급부위험률키]], Tab위험률키[], 2, FALSE), "")</f>
        <v/>
      </c>
      <c r="N31" s="32"/>
      <c r="O31" s="32"/>
      <c r="P31" s="32"/>
      <c r="Q31" s="32"/>
      <c r="R31" s="32" t="str">
        <f>_xlfn.IFNA(VLOOKUP(Tab코드[[#This Row],[납입면제위험률키]], Tab위험률키[], 2, FALSE), "")</f>
        <v/>
      </c>
      <c r="S31" s="39"/>
    </row>
    <row r="32" spans="1:19">
      <c r="A32" s="38"/>
      <c r="B32" s="32"/>
      <c r="C32" s="32"/>
      <c r="D32" s="32"/>
      <c r="E32" s="32"/>
      <c r="F32" s="32"/>
      <c r="G32" s="32"/>
      <c r="H32" s="34"/>
      <c r="I32" s="32"/>
      <c r="J32" s="32" t="str">
        <f>_xlfn.IFNA(VLOOKUP(Tab코드[[#This Row],[탈퇴위험률키]], Tab위험률키[], 2, FALSE), "")</f>
        <v/>
      </c>
      <c r="K32" s="32"/>
      <c r="L32" s="32"/>
      <c r="M32" s="32" t="str">
        <f>_xlfn.IFNA(VLOOKUP(Tab코드[[#This Row],[급부위험률키]], Tab위험률키[], 2, FALSE), "")</f>
        <v/>
      </c>
      <c r="N32" s="32"/>
      <c r="O32" s="32"/>
      <c r="P32" s="32"/>
      <c r="Q32" s="32"/>
      <c r="R32" s="32" t="str">
        <f>_xlfn.IFNA(VLOOKUP(Tab코드[[#This Row],[납입면제위험률키]], Tab위험률키[], 2, FALSE), "")</f>
        <v/>
      </c>
      <c r="S32" s="39"/>
    </row>
    <row r="33" spans="1:19">
      <c r="A33" s="38"/>
      <c r="B33" s="32"/>
      <c r="C33" s="32"/>
      <c r="D33" s="32"/>
      <c r="E33" s="32"/>
      <c r="F33" s="32"/>
      <c r="G33" s="32"/>
      <c r="H33" s="34"/>
      <c r="I33" s="32"/>
      <c r="J33" s="32" t="str">
        <f>_xlfn.IFNA(VLOOKUP(Tab코드[[#This Row],[탈퇴위험률키]], Tab위험률키[], 2, FALSE), "")</f>
        <v/>
      </c>
      <c r="K33" s="32"/>
      <c r="L33" s="32"/>
      <c r="M33" s="32" t="str">
        <f>_xlfn.IFNA(VLOOKUP(Tab코드[[#This Row],[급부위험률키]], Tab위험률키[], 2, FALSE), "")</f>
        <v/>
      </c>
      <c r="N33" s="32"/>
      <c r="O33" s="32"/>
      <c r="P33" s="32"/>
      <c r="Q33" s="32"/>
      <c r="R33" s="32" t="str">
        <f>_xlfn.IFNA(VLOOKUP(Tab코드[[#This Row],[납입면제위험률키]], Tab위험률키[], 2, FALSE), "")</f>
        <v/>
      </c>
      <c r="S33" s="39"/>
    </row>
    <row r="34" spans="1:19">
      <c r="A34" s="38"/>
      <c r="B34" s="32"/>
      <c r="C34" s="32"/>
      <c r="D34" s="32"/>
      <c r="E34" s="32"/>
      <c r="F34" s="32"/>
      <c r="G34" s="32"/>
      <c r="H34" s="34"/>
      <c r="I34" s="32"/>
      <c r="J34" s="32" t="str">
        <f>_xlfn.IFNA(VLOOKUP(Tab코드[[#This Row],[탈퇴위험률키]], Tab위험률키[], 2, FALSE), "")</f>
        <v/>
      </c>
      <c r="K34" s="32"/>
      <c r="L34" s="32"/>
      <c r="M34" s="32" t="str">
        <f>_xlfn.IFNA(VLOOKUP(Tab코드[[#This Row],[급부위험률키]], Tab위험률키[], 2, FALSE), "")</f>
        <v/>
      </c>
      <c r="N34" s="32"/>
      <c r="O34" s="32"/>
      <c r="P34" s="32"/>
      <c r="Q34" s="32"/>
      <c r="R34" s="32" t="str">
        <f>_xlfn.IFNA(VLOOKUP(Tab코드[[#This Row],[납입면제위험률키]], Tab위험률키[], 2, FALSE), "")</f>
        <v/>
      </c>
      <c r="S34" s="39"/>
    </row>
    <row r="35" spans="1:19">
      <c r="A35" s="38"/>
      <c r="B35" s="32"/>
      <c r="C35" s="32"/>
      <c r="D35" s="32"/>
      <c r="E35" s="32"/>
      <c r="F35" s="32"/>
      <c r="G35" s="32"/>
      <c r="H35" s="34"/>
      <c r="I35" s="32"/>
      <c r="J35" s="32" t="str">
        <f>_xlfn.IFNA(VLOOKUP(Tab코드[[#This Row],[탈퇴위험률키]], Tab위험률키[], 2, FALSE), "")</f>
        <v/>
      </c>
      <c r="K35" s="32"/>
      <c r="L35" s="32"/>
      <c r="M35" s="32" t="str">
        <f>_xlfn.IFNA(VLOOKUP(Tab코드[[#This Row],[급부위험률키]], Tab위험률키[], 2, FALSE), "")</f>
        <v/>
      </c>
      <c r="N35" s="32"/>
      <c r="O35" s="32"/>
      <c r="P35" s="32"/>
      <c r="Q35" s="32"/>
      <c r="R35" s="32" t="str">
        <f>_xlfn.IFNA(VLOOKUP(Tab코드[[#This Row],[납입면제위험률키]], Tab위험률키[], 2, FALSE), "")</f>
        <v/>
      </c>
      <c r="S35" s="39"/>
    </row>
    <row r="36" spans="1:19">
      <c r="A36" s="38"/>
      <c r="B36" s="32"/>
      <c r="C36" s="32"/>
      <c r="D36" s="32"/>
      <c r="E36" s="32"/>
      <c r="F36" s="32"/>
      <c r="G36" s="32"/>
      <c r="H36" s="34"/>
      <c r="I36" s="32"/>
      <c r="J36" s="32" t="str">
        <f>_xlfn.IFNA(VLOOKUP(Tab코드[[#This Row],[탈퇴위험률키]], Tab위험률키[], 2, FALSE), "")</f>
        <v/>
      </c>
      <c r="K36" s="32"/>
      <c r="L36" s="32"/>
      <c r="M36" s="32" t="str">
        <f>_xlfn.IFNA(VLOOKUP(Tab코드[[#This Row],[급부위험률키]], Tab위험률키[], 2, FALSE), "")</f>
        <v/>
      </c>
      <c r="N36" s="32"/>
      <c r="O36" s="32"/>
      <c r="P36" s="32"/>
      <c r="Q36" s="32"/>
      <c r="R36" s="32" t="str">
        <f>_xlfn.IFNA(VLOOKUP(Tab코드[[#This Row],[납입면제위험률키]], Tab위험률키[], 2, FALSE), "")</f>
        <v/>
      </c>
      <c r="S36" s="39"/>
    </row>
    <row r="37" spans="1:19">
      <c r="A37" s="38"/>
      <c r="B37" s="32"/>
      <c r="C37" s="32"/>
      <c r="D37" s="32"/>
      <c r="E37" s="32"/>
      <c r="F37" s="32"/>
      <c r="G37" s="32"/>
      <c r="H37" s="34"/>
      <c r="I37" s="32"/>
      <c r="J37" s="32" t="str">
        <f>_xlfn.IFNA(VLOOKUP(Tab코드[[#This Row],[탈퇴위험률키]], Tab위험률키[], 2, FALSE), "")</f>
        <v/>
      </c>
      <c r="K37" s="32"/>
      <c r="L37" s="32"/>
      <c r="M37" s="32" t="str">
        <f>_xlfn.IFNA(VLOOKUP(Tab코드[[#This Row],[급부위험률키]], Tab위험률키[], 2, FALSE), "")</f>
        <v/>
      </c>
      <c r="N37" s="32"/>
      <c r="O37" s="32"/>
      <c r="P37" s="32"/>
      <c r="Q37" s="32"/>
      <c r="R37" s="32" t="str">
        <f>_xlfn.IFNA(VLOOKUP(Tab코드[[#This Row],[납입면제위험률키]], Tab위험률키[], 2, FALSE), "")</f>
        <v/>
      </c>
      <c r="S37" s="39"/>
    </row>
    <row r="38" spans="1:19">
      <c r="A38" s="38"/>
      <c r="B38" s="32"/>
      <c r="C38" s="32"/>
      <c r="D38" s="32"/>
      <c r="E38" s="32"/>
      <c r="F38" s="32"/>
      <c r="G38" s="32"/>
      <c r="H38" s="34"/>
      <c r="I38" s="32"/>
      <c r="J38" s="32" t="str">
        <f>_xlfn.IFNA(VLOOKUP(Tab코드[[#This Row],[탈퇴위험률키]], Tab위험률키[], 2, FALSE), "")</f>
        <v/>
      </c>
      <c r="K38" s="32"/>
      <c r="L38" s="32"/>
      <c r="M38" s="32" t="str">
        <f>_xlfn.IFNA(VLOOKUP(Tab코드[[#This Row],[급부위험률키]], Tab위험률키[], 2, FALSE), "")</f>
        <v/>
      </c>
      <c r="N38" s="32"/>
      <c r="O38" s="32"/>
      <c r="P38" s="32"/>
      <c r="Q38" s="32"/>
      <c r="R38" s="32" t="str">
        <f>_xlfn.IFNA(VLOOKUP(Tab코드[[#This Row],[납입면제위험률키]], Tab위험률키[], 2, FALSE), "")</f>
        <v/>
      </c>
      <c r="S38" s="39"/>
    </row>
    <row r="39" spans="1:19">
      <c r="A39" s="38"/>
      <c r="B39" s="32"/>
      <c r="C39" s="32"/>
      <c r="D39" s="32"/>
      <c r="E39" s="32"/>
      <c r="F39" s="32"/>
      <c r="G39" s="32"/>
      <c r="H39" s="34"/>
      <c r="I39" s="32"/>
      <c r="J39" s="32" t="str">
        <f>_xlfn.IFNA(VLOOKUP(Tab코드[[#This Row],[탈퇴위험률키]], Tab위험률키[], 2, FALSE), "")</f>
        <v/>
      </c>
      <c r="K39" s="32"/>
      <c r="L39" s="32"/>
      <c r="M39" s="32" t="str">
        <f>_xlfn.IFNA(VLOOKUP(Tab코드[[#This Row],[급부위험률키]], Tab위험률키[], 2, FALSE), "")</f>
        <v/>
      </c>
      <c r="N39" s="32"/>
      <c r="O39" s="32"/>
      <c r="P39" s="32"/>
      <c r="Q39" s="32"/>
      <c r="R39" s="32" t="str">
        <f>_xlfn.IFNA(VLOOKUP(Tab코드[[#This Row],[납입면제위험률키]], Tab위험률키[], 2, FALSE), "")</f>
        <v/>
      </c>
      <c r="S39" s="39"/>
    </row>
    <row r="40" spans="1:19">
      <c r="A40" s="38"/>
      <c r="B40" s="32"/>
      <c r="C40" s="32"/>
      <c r="D40" s="32"/>
      <c r="E40" s="32"/>
      <c r="F40" s="32"/>
      <c r="G40" s="32"/>
      <c r="H40" s="34"/>
      <c r="I40" s="32"/>
      <c r="J40" s="32" t="str">
        <f>_xlfn.IFNA(VLOOKUP(Tab코드[[#This Row],[탈퇴위험률키]], Tab위험률키[], 2, FALSE), "")</f>
        <v/>
      </c>
      <c r="K40" s="32"/>
      <c r="L40" s="32"/>
      <c r="M40" s="32" t="str">
        <f>_xlfn.IFNA(VLOOKUP(Tab코드[[#This Row],[급부위험률키]], Tab위험률키[], 2, FALSE), "")</f>
        <v/>
      </c>
      <c r="N40" s="32"/>
      <c r="O40" s="32"/>
      <c r="P40" s="32"/>
      <c r="Q40" s="32"/>
      <c r="R40" s="32" t="str">
        <f>_xlfn.IFNA(VLOOKUP(Tab코드[[#This Row],[납입면제위험률키]], Tab위험률키[], 2, FALSE), "")</f>
        <v/>
      </c>
      <c r="S40" s="39"/>
    </row>
    <row r="41" spans="1:19">
      <c r="A41" s="38"/>
      <c r="B41" s="32"/>
      <c r="C41" s="32"/>
      <c r="D41" s="32"/>
      <c r="E41" s="32"/>
      <c r="F41" s="32"/>
      <c r="G41" s="32"/>
      <c r="H41" s="34"/>
      <c r="I41" s="32"/>
      <c r="J41" s="32" t="str">
        <f>_xlfn.IFNA(VLOOKUP(Tab코드[[#This Row],[탈퇴위험률키]], Tab위험률키[], 2, FALSE), "")</f>
        <v/>
      </c>
      <c r="K41" s="32"/>
      <c r="L41" s="32"/>
      <c r="M41" s="32" t="str">
        <f>_xlfn.IFNA(VLOOKUP(Tab코드[[#This Row],[급부위험률키]], Tab위험률키[], 2, FALSE), "")</f>
        <v/>
      </c>
      <c r="N41" s="32"/>
      <c r="O41" s="32"/>
      <c r="P41" s="32"/>
      <c r="Q41" s="32"/>
      <c r="R41" s="32" t="str">
        <f>_xlfn.IFNA(VLOOKUP(Tab코드[[#This Row],[납입면제위험률키]], Tab위험률키[], 2, FALSE), "")</f>
        <v/>
      </c>
      <c r="S41" s="39"/>
    </row>
    <row r="42" spans="1:19">
      <c r="A42" s="38"/>
      <c r="B42" s="32"/>
      <c r="C42" s="32"/>
      <c r="D42" s="32"/>
      <c r="E42" s="32"/>
      <c r="F42" s="32"/>
      <c r="G42" s="32"/>
      <c r="H42" s="34"/>
      <c r="I42" s="32"/>
      <c r="J42" s="32" t="str">
        <f>_xlfn.IFNA(VLOOKUP(Tab코드[[#This Row],[탈퇴위험률키]], Tab위험률키[], 2, FALSE), "")</f>
        <v/>
      </c>
      <c r="K42" s="32"/>
      <c r="L42" s="32"/>
      <c r="M42" s="32" t="str">
        <f>_xlfn.IFNA(VLOOKUP(Tab코드[[#This Row],[급부위험률키]], Tab위험률키[], 2, FALSE), "")</f>
        <v/>
      </c>
      <c r="N42" s="32"/>
      <c r="O42" s="32"/>
      <c r="P42" s="32"/>
      <c r="Q42" s="32"/>
      <c r="R42" s="32" t="str">
        <f>_xlfn.IFNA(VLOOKUP(Tab코드[[#This Row],[납입면제위험률키]], Tab위험률키[], 2, FALSE), "")</f>
        <v/>
      </c>
      <c r="S42" s="39"/>
    </row>
    <row r="43" spans="1:19">
      <c r="A43" s="38"/>
      <c r="B43" s="32"/>
      <c r="C43" s="32"/>
      <c r="D43" s="32"/>
      <c r="E43" s="32"/>
      <c r="F43" s="32"/>
      <c r="G43" s="32"/>
      <c r="H43" s="34"/>
      <c r="I43" s="32"/>
      <c r="J43" s="32" t="str">
        <f>_xlfn.IFNA(VLOOKUP(Tab코드[[#This Row],[탈퇴위험률키]], Tab위험률키[], 2, FALSE), "")</f>
        <v/>
      </c>
      <c r="K43" s="32"/>
      <c r="L43" s="32"/>
      <c r="M43" s="32" t="str">
        <f>_xlfn.IFNA(VLOOKUP(Tab코드[[#This Row],[급부위험률키]], Tab위험률키[], 2, FALSE), "")</f>
        <v/>
      </c>
      <c r="N43" s="32"/>
      <c r="O43" s="32"/>
      <c r="P43" s="32"/>
      <c r="Q43" s="32"/>
      <c r="R43" s="32" t="str">
        <f>_xlfn.IFNA(VLOOKUP(Tab코드[[#This Row],[납입면제위험률키]], Tab위험률키[], 2, FALSE), "")</f>
        <v/>
      </c>
      <c r="S43" s="39"/>
    </row>
    <row r="44" spans="1:19">
      <c r="A44" s="38"/>
      <c r="B44" s="32"/>
      <c r="C44" s="32"/>
      <c r="D44" s="32"/>
      <c r="E44" s="32"/>
      <c r="F44" s="32"/>
      <c r="G44" s="32"/>
      <c r="H44" s="34"/>
      <c r="I44" s="32"/>
      <c r="J44" s="32" t="str">
        <f>_xlfn.IFNA(VLOOKUP(Tab코드[[#This Row],[탈퇴위험률키]], Tab위험률키[], 2, FALSE), "")</f>
        <v/>
      </c>
      <c r="K44" s="32"/>
      <c r="L44" s="32"/>
      <c r="M44" s="32" t="str">
        <f>_xlfn.IFNA(VLOOKUP(Tab코드[[#This Row],[급부위험률키]], Tab위험률키[], 2, FALSE), "")</f>
        <v/>
      </c>
      <c r="N44" s="32"/>
      <c r="O44" s="32"/>
      <c r="P44" s="32"/>
      <c r="Q44" s="32"/>
      <c r="R44" s="32" t="str">
        <f>_xlfn.IFNA(VLOOKUP(Tab코드[[#This Row],[납입면제위험률키]], Tab위험률키[], 2, FALSE), "")</f>
        <v/>
      </c>
      <c r="S44" s="39"/>
    </row>
    <row r="45" spans="1:19">
      <c r="A45" s="38"/>
      <c r="B45" s="32"/>
      <c r="C45" s="32"/>
      <c r="D45" s="32"/>
      <c r="E45" s="32"/>
      <c r="F45" s="32"/>
      <c r="G45" s="32"/>
      <c r="H45" s="34"/>
      <c r="I45" s="32"/>
      <c r="J45" s="32" t="str">
        <f>_xlfn.IFNA(VLOOKUP(Tab코드[[#This Row],[탈퇴위험률키]], Tab위험률키[], 2, FALSE), "")</f>
        <v/>
      </c>
      <c r="K45" s="32"/>
      <c r="L45" s="32"/>
      <c r="M45" s="32" t="str">
        <f>_xlfn.IFNA(VLOOKUP(Tab코드[[#This Row],[급부위험률키]], Tab위험률키[], 2, FALSE), "")</f>
        <v/>
      </c>
      <c r="N45" s="32"/>
      <c r="O45" s="32"/>
      <c r="P45" s="32"/>
      <c r="Q45" s="32"/>
      <c r="R45" s="32" t="str">
        <f>_xlfn.IFNA(VLOOKUP(Tab코드[[#This Row],[납입면제위험률키]], Tab위험률키[], 2, FALSE), "")</f>
        <v/>
      </c>
      <c r="S45" s="39"/>
    </row>
    <row r="46" spans="1:19">
      <c r="A46" s="38"/>
      <c r="B46" s="32"/>
      <c r="C46" s="32"/>
      <c r="D46" s="32"/>
      <c r="E46" s="32"/>
      <c r="F46" s="32"/>
      <c r="G46" s="32"/>
      <c r="H46" s="34"/>
      <c r="I46" s="32"/>
      <c r="J46" s="32" t="str">
        <f>_xlfn.IFNA(VLOOKUP(Tab코드[[#This Row],[탈퇴위험률키]], Tab위험률키[], 2, FALSE), "")</f>
        <v/>
      </c>
      <c r="K46" s="32"/>
      <c r="L46" s="32"/>
      <c r="M46" s="32" t="str">
        <f>_xlfn.IFNA(VLOOKUP(Tab코드[[#This Row],[급부위험률키]], Tab위험률키[], 2, FALSE), "")</f>
        <v/>
      </c>
      <c r="N46" s="32"/>
      <c r="O46" s="32"/>
      <c r="P46" s="32"/>
      <c r="Q46" s="32"/>
      <c r="R46" s="32" t="str">
        <f>_xlfn.IFNA(VLOOKUP(Tab코드[[#This Row],[납입면제위험률키]], Tab위험률키[], 2, FALSE), "")</f>
        <v/>
      </c>
      <c r="S46" s="39"/>
    </row>
    <row r="47" spans="1:19">
      <c r="A47" s="38"/>
      <c r="B47" s="32"/>
      <c r="C47" s="32"/>
      <c r="D47" s="32"/>
      <c r="E47" s="32"/>
      <c r="F47" s="32"/>
      <c r="G47" s="32"/>
      <c r="H47" s="34"/>
      <c r="I47" s="32"/>
      <c r="J47" s="32" t="str">
        <f>_xlfn.IFNA(VLOOKUP(Tab코드[[#This Row],[탈퇴위험률키]], Tab위험률키[], 2, FALSE), "")</f>
        <v/>
      </c>
      <c r="K47" s="32"/>
      <c r="L47" s="32"/>
      <c r="M47" s="32" t="str">
        <f>_xlfn.IFNA(VLOOKUP(Tab코드[[#This Row],[급부위험률키]], Tab위험률키[], 2, FALSE), "")</f>
        <v/>
      </c>
      <c r="N47" s="32"/>
      <c r="O47" s="32"/>
      <c r="P47" s="32"/>
      <c r="Q47" s="32"/>
      <c r="R47" s="32" t="str">
        <f>_xlfn.IFNA(VLOOKUP(Tab코드[[#This Row],[납입면제위험률키]], Tab위험률키[], 2, FALSE), "")</f>
        <v/>
      </c>
      <c r="S47" s="39"/>
    </row>
    <row r="48" spans="1:19">
      <c r="A48" s="38"/>
      <c r="B48" s="32"/>
      <c r="C48" s="32"/>
      <c r="D48" s="32"/>
      <c r="E48" s="32"/>
      <c r="F48" s="32"/>
      <c r="G48" s="32"/>
      <c r="H48" s="34"/>
      <c r="I48" s="32"/>
      <c r="J48" s="32" t="str">
        <f>_xlfn.IFNA(VLOOKUP(Tab코드[[#This Row],[탈퇴위험률키]], Tab위험률키[], 2, FALSE), "")</f>
        <v/>
      </c>
      <c r="K48" s="32"/>
      <c r="L48" s="32"/>
      <c r="M48" s="32" t="str">
        <f>_xlfn.IFNA(VLOOKUP(Tab코드[[#This Row],[급부위험률키]], Tab위험률키[], 2, FALSE), "")</f>
        <v/>
      </c>
      <c r="N48" s="32"/>
      <c r="O48" s="32"/>
      <c r="P48" s="32"/>
      <c r="Q48" s="32"/>
      <c r="R48" s="32" t="str">
        <f>_xlfn.IFNA(VLOOKUP(Tab코드[[#This Row],[납입면제위험률키]], Tab위험률키[], 2, FALSE), "")</f>
        <v/>
      </c>
      <c r="S48" s="39"/>
    </row>
    <row r="49" spans="1:19">
      <c r="A49" s="38"/>
      <c r="B49" s="32"/>
      <c r="C49" s="32"/>
      <c r="D49" s="32"/>
      <c r="E49" s="32"/>
      <c r="F49" s="32"/>
      <c r="G49" s="32"/>
      <c r="H49" s="34"/>
      <c r="I49" s="32"/>
      <c r="J49" s="32" t="str">
        <f>_xlfn.IFNA(VLOOKUP(Tab코드[[#This Row],[탈퇴위험률키]], Tab위험률키[], 2, FALSE), "")</f>
        <v/>
      </c>
      <c r="K49" s="32"/>
      <c r="L49" s="32"/>
      <c r="M49" s="32" t="str">
        <f>_xlfn.IFNA(VLOOKUP(Tab코드[[#This Row],[급부위험률키]], Tab위험률키[], 2, FALSE), "")</f>
        <v/>
      </c>
      <c r="N49" s="32"/>
      <c r="O49" s="32"/>
      <c r="P49" s="32"/>
      <c r="Q49" s="32"/>
      <c r="R49" s="32" t="str">
        <f>_xlfn.IFNA(VLOOKUP(Tab코드[[#This Row],[납입면제위험률키]], Tab위험률키[], 2, FALSE), "")</f>
        <v/>
      </c>
      <c r="S49" s="39"/>
    </row>
    <row r="50" spans="1:19">
      <c r="A50" s="38"/>
      <c r="B50" s="32"/>
      <c r="C50" s="32"/>
      <c r="D50" s="32"/>
      <c r="E50" s="32"/>
      <c r="F50" s="32"/>
      <c r="G50" s="32"/>
      <c r="H50" s="34"/>
      <c r="I50" s="32"/>
      <c r="J50" s="32" t="str">
        <f>_xlfn.IFNA(VLOOKUP(Tab코드[[#This Row],[탈퇴위험률키]], Tab위험률키[], 2, FALSE), "")</f>
        <v/>
      </c>
      <c r="K50" s="32"/>
      <c r="L50" s="32"/>
      <c r="M50" s="32" t="str">
        <f>_xlfn.IFNA(VLOOKUP(Tab코드[[#This Row],[급부위험률키]], Tab위험률키[], 2, FALSE), "")</f>
        <v/>
      </c>
      <c r="N50" s="32"/>
      <c r="O50" s="32"/>
      <c r="P50" s="32"/>
      <c r="Q50" s="32"/>
      <c r="R50" s="32" t="str">
        <f>_xlfn.IFNA(VLOOKUP(Tab코드[[#This Row],[납입면제위험률키]], Tab위험률키[], 2, FALSE), "")</f>
        <v/>
      </c>
      <c r="S50" s="39"/>
    </row>
    <row r="51" spans="1:19">
      <c r="A51" s="38"/>
      <c r="B51" s="32"/>
      <c r="C51" s="32"/>
      <c r="D51" s="32"/>
      <c r="E51" s="32"/>
      <c r="F51" s="32"/>
      <c r="G51" s="32"/>
      <c r="H51" s="34"/>
      <c r="I51" s="32"/>
      <c r="J51" s="32" t="str">
        <f>_xlfn.IFNA(VLOOKUP(Tab코드[[#This Row],[탈퇴위험률키]], Tab위험률키[], 2, FALSE), "")</f>
        <v/>
      </c>
      <c r="K51" s="32"/>
      <c r="L51" s="32"/>
      <c r="M51" s="32" t="str">
        <f>_xlfn.IFNA(VLOOKUP(Tab코드[[#This Row],[급부위험률키]], Tab위험률키[], 2, FALSE), "")</f>
        <v/>
      </c>
      <c r="N51" s="32"/>
      <c r="O51" s="32"/>
      <c r="P51" s="32"/>
      <c r="Q51" s="32"/>
      <c r="R51" s="32" t="str">
        <f>_xlfn.IFNA(VLOOKUP(Tab코드[[#This Row],[납입면제위험률키]], Tab위험률키[], 2, FALSE), "")</f>
        <v/>
      </c>
      <c r="S51" s="39"/>
    </row>
    <row r="52" spans="1:19">
      <c r="A52" s="38"/>
      <c r="B52" s="32"/>
      <c r="C52" s="32"/>
      <c r="D52" s="32"/>
      <c r="E52" s="32"/>
      <c r="F52" s="32"/>
      <c r="G52" s="32"/>
      <c r="H52" s="34"/>
      <c r="I52" s="32"/>
      <c r="J52" s="32" t="str">
        <f>_xlfn.IFNA(VLOOKUP(Tab코드[[#This Row],[탈퇴위험률키]], Tab위험률키[], 2, FALSE), "")</f>
        <v/>
      </c>
      <c r="K52" s="32"/>
      <c r="L52" s="32"/>
      <c r="M52" s="32" t="str">
        <f>_xlfn.IFNA(VLOOKUP(Tab코드[[#This Row],[급부위험률키]], Tab위험률키[], 2, FALSE), "")</f>
        <v/>
      </c>
      <c r="N52" s="32"/>
      <c r="O52" s="32"/>
      <c r="P52" s="32"/>
      <c r="Q52" s="32"/>
      <c r="R52" s="32" t="str">
        <f>_xlfn.IFNA(VLOOKUP(Tab코드[[#This Row],[납입면제위험률키]], Tab위험률키[], 2, FALSE), "")</f>
        <v/>
      </c>
      <c r="S52" s="39"/>
    </row>
    <row r="53" spans="1:19">
      <c r="A53" s="38"/>
      <c r="B53" s="32"/>
      <c r="C53" s="32"/>
      <c r="D53" s="32"/>
      <c r="E53" s="32"/>
      <c r="F53" s="32"/>
      <c r="G53" s="32"/>
      <c r="H53" s="34"/>
      <c r="I53" s="32"/>
      <c r="J53" s="32" t="str">
        <f>_xlfn.IFNA(VLOOKUP(Tab코드[[#This Row],[탈퇴위험률키]], Tab위험률키[], 2, FALSE), "")</f>
        <v/>
      </c>
      <c r="K53" s="32"/>
      <c r="L53" s="32"/>
      <c r="M53" s="32" t="str">
        <f>_xlfn.IFNA(VLOOKUP(Tab코드[[#This Row],[급부위험률키]], Tab위험률키[], 2, FALSE), "")</f>
        <v/>
      </c>
      <c r="N53" s="32"/>
      <c r="O53" s="32"/>
      <c r="P53" s="32"/>
      <c r="Q53" s="32"/>
      <c r="R53" s="32" t="str">
        <f>_xlfn.IFNA(VLOOKUP(Tab코드[[#This Row],[납입면제위험률키]], Tab위험률키[], 2, FALSE), "")</f>
        <v/>
      </c>
      <c r="S53" s="39"/>
    </row>
    <row r="54" spans="1:19">
      <c r="A54" s="38"/>
      <c r="B54" s="32"/>
      <c r="C54" s="32"/>
      <c r="D54" s="32"/>
      <c r="E54" s="32"/>
      <c r="F54" s="32"/>
      <c r="G54" s="32"/>
      <c r="H54" s="34"/>
      <c r="I54" s="32"/>
      <c r="J54" s="32" t="str">
        <f>_xlfn.IFNA(VLOOKUP(Tab코드[[#This Row],[탈퇴위험률키]], Tab위험률키[], 2, FALSE), "")</f>
        <v/>
      </c>
      <c r="K54" s="32"/>
      <c r="L54" s="32"/>
      <c r="M54" s="32" t="str">
        <f>_xlfn.IFNA(VLOOKUP(Tab코드[[#This Row],[급부위험률키]], Tab위험률키[], 2, FALSE), "")</f>
        <v/>
      </c>
      <c r="N54" s="32"/>
      <c r="O54" s="32"/>
      <c r="P54" s="32"/>
      <c r="Q54" s="32"/>
      <c r="R54" s="32" t="str">
        <f>_xlfn.IFNA(VLOOKUP(Tab코드[[#This Row],[납입면제위험률키]], Tab위험률키[], 2, FALSE), "")</f>
        <v/>
      </c>
      <c r="S54" s="39"/>
    </row>
    <row r="55" spans="1:19">
      <c r="A55" s="38"/>
      <c r="B55" s="32"/>
      <c r="C55" s="32"/>
      <c r="D55" s="32"/>
      <c r="E55" s="32"/>
      <c r="F55" s="32"/>
      <c r="G55" s="32"/>
      <c r="H55" s="34"/>
      <c r="I55" s="32"/>
      <c r="J55" s="32" t="str">
        <f>_xlfn.IFNA(VLOOKUP(Tab코드[[#This Row],[탈퇴위험률키]], Tab위험률키[], 2, FALSE), "")</f>
        <v/>
      </c>
      <c r="K55" s="32"/>
      <c r="L55" s="32"/>
      <c r="M55" s="32" t="str">
        <f>_xlfn.IFNA(VLOOKUP(Tab코드[[#This Row],[급부위험률키]], Tab위험률키[], 2, FALSE), "")</f>
        <v/>
      </c>
      <c r="N55" s="32"/>
      <c r="O55" s="32"/>
      <c r="P55" s="32"/>
      <c r="Q55" s="32"/>
      <c r="R55" s="32" t="str">
        <f>_xlfn.IFNA(VLOOKUP(Tab코드[[#This Row],[납입면제위험률키]], Tab위험률키[], 2, FALSE), "")</f>
        <v/>
      </c>
      <c r="S55" s="39"/>
    </row>
    <row r="56" spans="1:19">
      <c r="A56" s="38"/>
      <c r="B56" s="32"/>
      <c r="C56" s="32"/>
      <c r="D56" s="32"/>
      <c r="E56" s="32"/>
      <c r="F56" s="32"/>
      <c r="G56" s="32"/>
      <c r="H56" s="34"/>
      <c r="I56" s="32"/>
      <c r="J56" s="32" t="str">
        <f>_xlfn.IFNA(VLOOKUP(Tab코드[[#This Row],[탈퇴위험률키]], Tab위험률키[], 2, FALSE), "")</f>
        <v/>
      </c>
      <c r="K56" s="32"/>
      <c r="L56" s="32"/>
      <c r="M56" s="32" t="str">
        <f>_xlfn.IFNA(VLOOKUP(Tab코드[[#This Row],[급부위험률키]], Tab위험률키[], 2, FALSE), "")</f>
        <v/>
      </c>
      <c r="N56" s="32"/>
      <c r="O56" s="32"/>
      <c r="P56" s="32"/>
      <c r="Q56" s="32"/>
      <c r="R56" s="32" t="str">
        <f>_xlfn.IFNA(VLOOKUP(Tab코드[[#This Row],[납입면제위험률키]], Tab위험률키[], 2, FALSE), "")</f>
        <v/>
      </c>
      <c r="S56" s="39"/>
    </row>
    <row r="57" spans="1:19">
      <c r="A57" s="38"/>
      <c r="B57" s="32"/>
      <c r="C57" s="32"/>
      <c r="D57" s="32"/>
      <c r="E57" s="32"/>
      <c r="F57" s="32"/>
      <c r="G57" s="32"/>
      <c r="H57" s="34"/>
      <c r="I57" s="32"/>
      <c r="J57" s="32" t="str">
        <f>_xlfn.IFNA(VLOOKUP(Tab코드[[#This Row],[탈퇴위험률키]], Tab위험률키[], 2, FALSE), "")</f>
        <v/>
      </c>
      <c r="K57" s="32"/>
      <c r="L57" s="32"/>
      <c r="M57" s="32" t="str">
        <f>_xlfn.IFNA(VLOOKUP(Tab코드[[#This Row],[급부위험률키]], Tab위험률키[], 2, FALSE), "")</f>
        <v/>
      </c>
      <c r="N57" s="32"/>
      <c r="O57" s="32"/>
      <c r="P57" s="32"/>
      <c r="Q57" s="32"/>
      <c r="R57" s="32" t="str">
        <f>_xlfn.IFNA(VLOOKUP(Tab코드[[#This Row],[납입면제위험률키]], Tab위험률키[], 2, FALSE), "")</f>
        <v/>
      </c>
      <c r="S57" s="39"/>
    </row>
    <row r="58" spans="1:19">
      <c r="A58" s="38"/>
      <c r="B58" s="32"/>
      <c r="C58" s="32"/>
      <c r="D58" s="32"/>
      <c r="E58" s="32"/>
      <c r="F58" s="32"/>
      <c r="G58" s="32"/>
      <c r="H58" s="34"/>
      <c r="I58" s="32"/>
      <c r="J58" s="32" t="str">
        <f>_xlfn.IFNA(VLOOKUP(Tab코드[[#This Row],[탈퇴위험률키]], Tab위험률키[], 2, FALSE), "")</f>
        <v/>
      </c>
      <c r="K58" s="32"/>
      <c r="L58" s="32"/>
      <c r="M58" s="32" t="str">
        <f>_xlfn.IFNA(VLOOKUP(Tab코드[[#This Row],[급부위험률키]], Tab위험률키[], 2, FALSE), "")</f>
        <v/>
      </c>
      <c r="N58" s="32"/>
      <c r="O58" s="32"/>
      <c r="P58" s="32"/>
      <c r="Q58" s="32"/>
      <c r="R58" s="32" t="str">
        <f>_xlfn.IFNA(VLOOKUP(Tab코드[[#This Row],[납입면제위험률키]], Tab위험률키[], 2, FALSE), "")</f>
        <v/>
      </c>
      <c r="S58" s="39"/>
    </row>
    <row r="59" spans="1:19">
      <c r="A59" s="38"/>
      <c r="B59" s="32"/>
      <c r="C59" s="32"/>
      <c r="D59" s="32"/>
      <c r="E59" s="32"/>
      <c r="F59" s="32"/>
      <c r="G59" s="32"/>
      <c r="H59" s="34"/>
      <c r="I59" s="32"/>
      <c r="J59" s="32" t="str">
        <f>_xlfn.IFNA(VLOOKUP(Tab코드[[#This Row],[탈퇴위험률키]], Tab위험률키[], 2, FALSE), "")</f>
        <v/>
      </c>
      <c r="K59" s="32"/>
      <c r="L59" s="32"/>
      <c r="M59" s="32" t="str">
        <f>_xlfn.IFNA(VLOOKUP(Tab코드[[#This Row],[급부위험률키]], Tab위험률키[], 2, FALSE), "")</f>
        <v/>
      </c>
      <c r="N59" s="32"/>
      <c r="O59" s="32"/>
      <c r="P59" s="32"/>
      <c r="Q59" s="32"/>
      <c r="R59" s="32" t="str">
        <f>_xlfn.IFNA(VLOOKUP(Tab코드[[#This Row],[납입면제위험률키]], Tab위험률키[], 2, FALSE), "")</f>
        <v/>
      </c>
      <c r="S59" s="39"/>
    </row>
    <row r="60" spans="1:19">
      <c r="A60" s="38"/>
      <c r="B60" s="32"/>
      <c r="C60" s="32"/>
      <c r="D60" s="32"/>
      <c r="E60" s="32"/>
      <c r="F60" s="32"/>
      <c r="G60" s="32"/>
      <c r="H60" s="34"/>
      <c r="I60" s="32"/>
      <c r="J60" s="32" t="str">
        <f>_xlfn.IFNA(VLOOKUP(Tab코드[[#This Row],[탈퇴위험률키]], Tab위험률키[], 2, FALSE), "")</f>
        <v/>
      </c>
      <c r="K60" s="32"/>
      <c r="L60" s="32"/>
      <c r="M60" s="32" t="str">
        <f>_xlfn.IFNA(VLOOKUP(Tab코드[[#This Row],[급부위험률키]], Tab위험률키[], 2, FALSE), "")</f>
        <v/>
      </c>
      <c r="N60" s="32"/>
      <c r="O60" s="32"/>
      <c r="P60" s="32"/>
      <c r="Q60" s="32"/>
      <c r="R60" s="32" t="str">
        <f>_xlfn.IFNA(VLOOKUP(Tab코드[[#This Row],[납입면제위험률키]], Tab위험률키[], 2, FALSE), "")</f>
        <v/>
      </c>
      <c r="S60" s="39"/>
    </row>
    <row r="61" spans="1:19">
      <c r="A61" s="38"/>
      <c r="B61" s="32"/>
      <c r="C61" s="32"/>
      <c r="D61" s="32"/>
      <c r="E61" s="32"/>
      <c r="F61" s="32"/>
      <c r="G61" s="32"/>
      <c r="H61" s="34"/>
      <c r="I61" s="32"/>
      <c r="J61" s="32" t="str">
        <f>_xlfn.IFNA(VLOOKUP(Tab코드[[#This Row],[탈퇴위험률키]], Tab위험률키[], 2, FALSE), "")</f>
        <v/>
      </c>
      <c r="K61" s="32"/>
      <c r="L61" s="32"/>
      <c r="M61" s="32" t="str">
        <f>_xlfn.IFNA(VLOOKUP(Tab코드[[#This Row],[급부위험률키]], Tab위험률키[], 2, FALSE), "")</f>
        <v/>
      </c>
      <c r="N61" s="32"/>
      <c r="O61" s="32"/>
      <c r="P61" s="32"/>
      <c r="Q61" s="32"/>
      <c r="R61" s="32" t="str">
        <f>_xlfn.IFNA(VLOOKUP(Tab코드[[#This Row],[납입면제위험률키]], Tab위험률키[], 2, FALSE), "")</f>
        <v/>
      </c>
      <c r="S61" s="39"/>
    </row>
    <row r="62" spans="1:19">
      <c r="A62" s="38"/>
      <c r="B62" s="32"/>
      <c r="C62" s="32"/>
      <c r="D62" s="32"/>
      <c r="E62" s="32"/>
      <c r="F62" s="32"/>
      <c r="G62" s="32"/>
      <c r="H62" s="34"/>
      <c r="I62" s="32"/>
      <c r="J62" s="32" t="str">
        <f>_xlfn.IFNA(VLOOKUP(Tab코드[[#This Row],[탈퇴위험률키]], Tab위험률키[], 2, FALSE), "")</f>
        <v/>
      </c>
      <c r="K62" s="32"/>
      <c r="L62" s="32"/>
      <c r="M62" s="32" t="str">
        <f>_xlfn.IFNA(VLOOKUP(Tab코드[[#This Row],[급부위험률키]], Tab위험률키[], 2, FALSE), "")</f>
        <v/>
      </c>
      <c r="N62" s="32"/>
      <c r="O62" s="32"/>
      <c r="P62" s="32"/>
      <c r="Q62" s="32"/>
      <c r="R62" s="32" t="str">
        <f>_xlfn.IFNA(VLOOKUP(Tab코드[[#This Row],[납입면제위험률키]], Tab위험률키[], 2, FALSE), "")</f>
        <v/>
      </c>
      <c r="S62" s="39"/>
    </row>
    <row r="63" spans="1:19">
      <c r="A63" s="38"/>
      <c r="B63" s="32"/>
      <c r="C63" s="32"/>
      <c r="D63" s="32"/>
      <c r="E63" s="32"/>
      <c r="F63" s="32"/>
      <c r="G63" s="32"/>
      <c r="H63" s="34"/>
      <c r="I63" s="32"/>
      <c r="J63" s="32" t="str">
        <f>_xlfn.IFNA(VLOOKUP(Tab코드[[#This Row],[탈퇴위험률키]], Tab위험률키[], 2, FALSE), "")</f>
        <v/>
      </c>
      <c r="K63" s="32"/>
      <c r="L63" s="32"/>
      <c r="M63" s="32" t="str">
        <f>_xlfn.IFNA(VLOOKUP(Tab코드[[#This Row],[급부위험률키]], Tab위험률키[], 2, FALSE), "")</f>
        <v/>
      </c>
      <c r="N63" s="32"/>
      <c r="O63" s="32"/>
      <c r="P63" s="32"/>
      <c r="Q63" s="32"/>
      <c r="R63" s="32" t="str">
        <f>_xlfn.IFNA(VLOOKUP(Tab코드[[#This Row],[납입면제위험률키]], Tab위험률키[], 2, FALSE), "")</f>
        <v/>
      </c>
      <c r="S63" s="39"/>
    </row>
    <row r="64" spans="1:19">
      <c r="A64" s="38"/>
      <c r="B64" s="32"/>
      <c r="C64" s="32"/>
      <c r="D64" s="32"/>
      <c r="E64" s="32"/>
      <c r="F64" s="32"/>
      <c r="G64" s="32"/>
      <c r="H64" s="34"/>
      <c r="I64" s="32"/>
      <c r="J64" s="32" t="str">
        <f>_xlfn.IFNA(VLOOKUP(Tab코드[[#This Row],[탈퇴위험률키]], Tab위험률키[], 2, FALSE), "")</f>
        <v/>
      </c>
      <c r="K64" s="32"/>
      <c r="L64" s="32"/>
      <c r="M64" s="32" t="str">
        <f>_xlfn.IFNA(VLOOKUP(Tab코드[[#This Row],[급부위험률키]], Tab위험률키[], 2, FALSE), "")</f>
        <v/>
      </c>
      <c r="N64" s="32"/>
      <c r="O64" s="32"/>
      <c r="P64" s="32"/>
      <c r="Q64" s="32"/>
      <c r="R64" s="32" t="str">
        <f>_xlfn.IFNA(VLOOKUP(Tab코드[[#This Row],[납입면제위험률키]], Tab위험률키[], 2, FALSE), "")</f>
        <v/>
      </c>
      <c r="S64" s="39"/>
    </row>
    <row r="65" spans="1:19">
      <c r="A65" s="38"/>
      <c r="B65" s="32"/>
      <c r="C65" s="32"/>
      <c r="D65" s="32"/>
      <c r="E65" s="32"/>
      <c r="F65" s="32"/>
      <c r="G65" s="32"/>
      <c r="H65" s="34"/>
      <c r="I65" s="32"/>
      <c r="J65" s="32" t="str">
        <f>_xlfn.IFNA(VLOOKUP(Tab코드[[#This Row],[탈퇴위험률키]], Tab위험률키[], 2, FALSE), "")</f>
        <v/>
      </c>
      <c r="K65" s="32"/>
      <c r="L65" s="32"/>
      <c r="M65" s="32" t="str">
        <f>_xlfn.IFNA(VLOOKUP(Tab코드[[#This Row],[급부위험률키]], Tab위험률키[], 2, FALSE), "")</f>
        <v/>
      </c>
      <c r="N65" s="32"/>
      <c r="O65" s="32"/>
      <c r="P65" s="32"/>
      <c r="Q65" s="32"/>
      <c r="R65" s="32" t="str">
        <f>_xlfn.IFNA(VLOOKUP(Tab코드[[#This Row],[납입면제위험률키]], Tab위험률키[], 2, FALSE), "")</f>
        <v/>
      </c>
      <c r="S65" s="39"/>
    </row>
    <row r="66" spans="1:19">
      <c r="A66" s="38"/>
      <c r="B66" s="32"/>
      <c r="C66" s="32"/>
      <c r="D66" s="32"/>
      <c r="E66" s="32"/>
      <c r="F66" s="32"/>
      <c r="G66" s="32"/>
      <c r="H66" s="34"/>
      <c r="I66" s="32"/>
      <c r="J66" s="32" t="str">
        <f>_xlfn.IFNA(VLOOKUP(Tab코드[[#This Row],[탈퇴위험률키]], Tab위험률키[], 2, FALSE), "")</f>
        <v/>
      </c>
      <c r="K66" s="32"/>
      <c r="L66" s="32"/>
      <c r="M66" s="32" t="str">
        <f>_xlfn.IFNA(VLOOKUP(Tab코드[[#This Row],[급부위험률키]], Tab위험률키[], 2, FALSE), "")</f>
        <v/>
      </c>
      <c r="N66" s="32"/>
      <c r="O66" s="32"/>
      <c r="P66" s="32"/>
      <c r="Q66" s="32"/>
      <c r="R66" s="32" t="str">
        <f>_xlfn.IFNA(VLOOKUP(Tab코드[[#This Row],[납입면제위험률키]], Tab위험률키[], 2, FALSE), "")</f>
        <v/>
      </c>
      <c r="S66" s="39"/>
    </row>
    <row r="67" spans="1:19">
      <c r="A67" s="38"/>
      <c r="B67" s="32"/>
      <c r="C67" s="32"/>
      <c r="D67" s="32"/>
      <c r="E67" s="32"/>
      <c r="F67" s="32"/>
      <c r="G67" s="32"/>
      <c r="H67" s="34"/>
      <c r="I67" s="32"/>
      <c r="J67" s="32" t="str">
        <f>_xlfn.IFNA(VLOOKUP(Tab코드[[#This Row],[탈퇴위험률키]], Tab위험률키[], 2, FALSE), "")</f>
        <v/>
      </c>
      <c r="K67" s="32"/>
      <c r="L67" s="32"/>
      <c r="M67" s="32" t="str">
        <f>_xlfn.IFNA(VLOOKUP(Tab코드[[#This Row],[급부위험률키]], Tab위험률키[], 2, FALSE), "")</f>
        <v/>
      </c>
      <c r="N67" s="32"/>
      <c r="O67" s="32"/>
      <c r="P67" s="32"/>
      <c r="Q67" s="32"/>
      <c r="R67" s="32" t="str">
        <f>_xlfn.IFNA(VLOOKUP(Tab코드[[#This Row],[납입면제위험률키]], Tab위험률키[], 2, FALSE), "")</f>
        <v/>
      </c>
      <c r="S67" s="39"/>
    </row>
    <row r="68" spans="1:19">
      <c r="A68" s="38"/>
      <c r="B68" s="32"/>
      <c r="C68" s="32"/>
      <c r="D68" s="32"/>
      <c r="E68" s="32"/>
      <c r="F68" s="32"/>
      <c r="G68" s="32"/>
      <c r="H68" s="34"/>
      <c r="I68" s="32"/>
      <c r="J68" s="32" t="str">
        <f>_xlfn.IFNA(VLOOKUP(Tab코드[[#This Row],[탈퇴위험률키]], Tab위험률키[], 2, FALSE), "")</f>
        <v/>
      </c>
      <c r="K68" s="32"/>
      <c r="L68" s="32"/>
      <c r="M68" s="32" t="str">
        <f>_xlfn.IFNA(VLOOKUP(Tab코드[[#This Row],[급부위험률키]], Tab위험률키[], 2, FALSE), "")</f>
        <v/>
      </c>
      <c r="N68" s="32"/>
      <c r="O68" s="32"/>
      <c r="P68" s="32"/>
      <c r="Q68" s="32"/>
      <c r="R68" s="32" t="str">
        <f>_xlfn.IFNA(VLOOKUP(Tab코드[[#This Row],[납입면제위험률키]], Tab위험률키[], 2, FALSE), "")</f>
        <v/>
      </c>
      <c r="S68" s="39"/>
    </row>
    <row r="69" spans="1:19">
      <c r="A69" s="38"/>
      <c r="B69" s="32"/>
      <c r="C69" s="32"/>
      <c r="D69" s="32"/>
      <c r="E69" s="32"/>
      <c r="F69" s="32"/>
      <c r="G69" s="32"/>
      <c r="H69" s="34"/>
      <c r="I69" s="32"/>
      <c r="J69" s="32" t="str">
        <f>_xlfn.IFNA(VLOOKUP(Tab코드[[#This Row],[탈퇴위험률키]], Tab위험률키[], 2, FALSE), "")</f>
        <v/>
      </c>
      <c r="K69" s="32"/>
      <c r="L69" s="32"/>
      <c r="M69" s="32" t="str">
        <f>_xlfn.IFNA(VLOOKUP(Tab코드[[#This Row],[급부위험률키]], Tab위험률키[], 2, FALSE), "")</f>
        <v/>
      </c>
      <c r="N69" s="32"/>
      <c r="O69" s="32"/>
      <c r="P69" s="32"/>
      <c r="Q69" s="32"/>
      <c r="R69" s="32" t="str">
        <f>_xlfn.IFNA(VLOOKUP(Tab코드[[#This Row],[납입면제위험률키]], Tab위험률키[], 2, FALSE), "")</f>
        <v/>
      </c>
      <c r="S69" s="39"/>
    </row>
    <row r="70" spans="1:19">
      <c r="A70" s="38"/>
      <c r="B70" s="32"/>
      <c r="C70" s="32"/>
      <c r="D70" s="32"/>
      <c r="E70" s="32"/>
      <c r="F70" s="32"/>
      <c r="G70" s="32"/>
      <c r="H70" s="34"/>
      <c r="I70" s="32"/>
      <c r="J70" s="32" t="str">
        <f>_xlfn.IFNA(VLOOKUP(Tab코드[[#This Row],[탈퇴위험률키]], Tab위험률키[], 2, FALSE), "")</f>
        <v/>
      </c>
      <c r="K70" s="32"/>
      <c r="L70" s="32"/>
      <c r="M70" s="32" t="str">
        <f>_xlfn.IFNA(VLOOKUP(Tab코드[[#This Row],[급부위험률키]], Tab위험률키[], 2, FALSE), "")</f>
        <v/>
      </c>
      <c r="N70" s="32"/>
      <c r="O70" s="32"/>
      <c r="P70" s="32"/>
      <c r="Q70" s="32"/>
      <c r="R70" s="32" t="str">
        <f>_xlfn.IFNA(VLOOKUP(Tab코드[[#This Row],[납입면제위험률키]], Tab위험률키[], 2, FALSE), "")</f>
        <v/>
      </c>
      <c r="S70" s="39"/>
    </row>
    <row r="71" spans="1:19">
      <c r="A71" s="40"/>
      <c r="B71" s="33"/>
      <c r="C71" s="33"/>
      <c r="D71" s="33"/>
      <c r="E71" s="33"/>
      <c r="F71" s="33"/>
      <c r="G71" s="33"/>
      <c r="H71" s="35"/>
      <c r="I71" s="32"/>
      <c r="J71" s="32" t="str">
        <f>_xlfn.IFNA(VLOOKUP(Tab코드[[#This Row],[탈퇴위험률키]], Tab위험률키[], 2, FALSE), "")</f>
        <v/>
      </c>
      <c r="K71" s="32"/>
      <c r="L71" s="32"/>
      <c r="M71" s="32" t="str">
        <f>_xlfn.IFNA(VLOOKUP(Tab코드[[#This Row],[급부위험률키]], Tab위험률키[], 2, FALSE), "")</f>
        <v/>
      </c>
      <c r="N71" s="32"/>
      <c r="O71" s="32"/>
      <c r="P71" s="32"/>
      <c r="Q71" s="33"/>
      <c r="R71" s="33" t="str">
        <f>_xlfn.IFNA(VLOOKUP(Tab코드[[#This Row],[납입면제위험률키]], Tab위험률키[], 2, FALSE), "")</f>
        <v/>
      </c>
      <c r="S71" s="41"/>
    </row>
  </sheetData>
  <phoneticPr fontId="1" type="noConversion"/>
  <conditionalFormatting sqref="I4:P71">
    <cfRule type="expression" dxfId="217" priority="3">
      <formula>$H4 = 99</formula>
    </cfRule>
  </conditionalFormatting>
  <conditionalFormatting sqref="L4:P71">
    <cfRule type="expression" dxfId="216" priority="2">
      <formula>$H4=0</formula>
    </cfRule>
  </conditionalFormatting>
  <conditionalFormatting sqref="Q4:S71">
    <cfRule type="expression" dxfId="215" priority="1">
      <formula>$H4&lt;&gt;99</formula>
    </cfRule>
  </conditionalFormatting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6C390-D7C3-4B87-9A84-99392086FFB1}">
  <sheetPr codeName="Sheet3">
    <tabColor theme="4" tint="-0.499984740745262"/>
  </sheetPr>
  <dimension ref="A1:DI45"/>
  <sheetViews>
    <sheetView topLeftCell="O1" workbookViewId="0">
      <selection activeCell="AA4" sqref="AA4:DH35"/>
    </sheetView>
  </sheetViews>
  <sheetFormatPr defaultRowHeight="17.399999999999999" outlineLevelCol="1"/>
  <cols>
    <col min="1" max="1" width="3.3984375" style="51" bestFit="1" customWidth="1"/>
    <col min="2" max="2" width="9.796875" style="10" customWidth="1" outlineLevel="1"/>
    <col min="3" max="3" width="24.09765625" style="8" customWidth="1" outlineLevel="1"/>
    <col min="4" max="7" width="8.796875" style="8" customWidth="1" outlineLevel="1"/>
    <col min="8" max="8" width="8.69921875" style="8" customWidth="1" outlineLevel="1"/>
    <col min="9" max="12" width="8.796875" style="8" customWidth="1" outlineLevel="1"/>
    <col min="13" max="13" width="9.296875" style="8" customWidth="1" outlineLevel="1"/>
    <col min="14" max="14" width="9.19921875" style="8" customWidth="1" outlineLevel="1"/>
    <col min="15" max="19" width="8.796875" style="8" customWidth="1" outlineLevel="1"/>
    <col min="20" max="20" width="11.3984375" style="8" customWidth="1" outlineLevel="1"/>
    <col min="21" max="21" width="8.796875" style="8" customWidth="1" outlineLevel="1"/>
    <col min="22" max="22" width="14.3984375" style="8" customWidth="1" outlineLevel="1"/>
    <col min="23" max="23" width="9.09765625" style="8" customWidth="1" outlineLevel="1"/>
    <col min="24" max="24" width="2.59765625" style="8" customWidth="1"/>
    <col min="25" max="25" width="10.3984375" style="55" bestFit="1" customWidth="1"/>
    <col min="26" max="26" width="3.796875" style="8" customWidth="1"/>
    <col min="27" max="28" width="14" style="8" customWidth="1" outlineLevel="1"/>
    <col min="29" max="29" width="15.59765625" style="8" customWidth="1" outlineLevel="1"/>
    <col min="30" max="30" width="15.796875" style="8" customWidth="1" outlineLevel="1"/>
    <col min="31" max="51" width="8.796875" style="8" outlineLevel="1"/>
    <col min="52" max="71" width="0" style="8" hidden="1" customWidth="1" outlineLevel="1"/>
    <col min="72" max="92" width="8.796875" style="8" outlineLevel="1"/>
    <col min="93" max="112" width="0" style="8" hidden="1" customWidth="1" outlineLevel="1"/>
    <col min="113" max="113" width="0.69921875" style="8" customWidth="1"/>
    <col min="114" max="16384" width="8.796875" style="8"/>
  </cols>
  <sheetData>
    <row r="1" spans="1:113">
      <c r="A1" s="23"/>
      <c r="B1" s="47" t="s">
        <v>146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1"/>
      <c r="Z1" s="1"/>
      <c r="AA1" s="52" t="s">
        <v>60</v>
      </c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1"/>
    </row>
    <row r="2" spans="1:113" s="51" customFormat="1">
      <c r="A2" s="23"/>
      <c r="B2" s="23">
        <v>1</v>
      </c>
      <c r="C2" s="23">
        <f>B2+1</f>
        <v>2</v>
      </c>
      <c r="D2" s="23">
        <f t="shared" ref="D2:W2" si="0">C2+1</f>
        <v>3</v>
      </c>
      <c r="E2" s="23">
        <f t="shared" si="0"/>
        <v>4</v>
      </c>
      <c r="F2" s="23">
        <f t="shared" si="0"/>
        <v>5</v>
      </c>
      <c r="G2" s="23">
        <f t="shared" si="0"/>
        <v>6</v>
      </c>
      <c r="H2" s="23">
        <f t="shared" si="0"/>
        <v>7</v>
      </c>
      <c r="I2" s="23">
        <f t="shared" si="0"/>
        <v>8</v>
      </c>
      <c r="J2" s="23">
        <f t="shared" si="0"/>
        <v>9</v>
      </c>
      <c r="K2" s="23">
        <f t="shared" si="0"/>
        <v>10</v>
      </c>
      <c r="L2" s="23">
        <f t="shared" si="0"/>
        <v>11</v>
      </c>
      <c r="M2" s="23">
        <f t="shared" si="0"/>
        <v>12</v>
      </c>
      <c r="N2" s="23">
        <f t="shared" si="0"/>
        <v>13</v>
      </c>
      <c r="O2" s="23">
        <f t="shared" si="0"/>
        <v>14</v>
      </c>
      <c r="P2" s="23">
        <f t="shared" si="0"/>
        <v>15</v>
      </c>
      <c r="Q2" s="23">
        <f t="shared" si="0"/>
        <v>16</v>
      </c>
      <c r="R2" s="23">
        <f t="shared" si="0"/>
        <v>17</v>
      </c>
      <c r="S2" s="23">
        <f t="shared" si="0"/>
        <v>18</v>
      </c>
      <c r="T2" s="23">
        <f t="shared" si="0"/>
        <v>19</v>
      </c>
      <c r="U2" s="23">
        <f t="shared" si="0"/>
        <v>20</v>
      </c>
      <c r="V2" s="23">
        <f t="shared" si="0"/>
        <v>21</v>
      </c>
      <c r="W2" s="23">
        <f t="shared" si="0"/>
        <v>22</v>
      </c>
      <c r="X2" s="23"/>
      <c r="Y2" s="55" t="s">
        <v>225</v>
      </c>
      <c r="Z2" s="23"/>
      <c r="AA2" s="23">
        <v>1</v>
      </c>
      <c r="AB2" s="23">
        <f>AA2+1</f>
        <v>2</v>
      </c>
      <c r="AC2" s="23">
        <f t="shared" ref="AC2:CN2" si="1">AB2+1</f>
        <v>3</v>
      </c>
      <c r="AD2" s="23">
        <f t="shared" si="1"/>
        <v>4</v>
      </c>
      <c r="AE2" s="23">
        <f t="shared" si="1"/>
        <v>5</v>
      </c>
      <c r="AF2" s="23">
        <f t="shared" si="1"/>
        <v>6</v>
      </c>
      <c r="AG2" s="23">
        <f t="shared" si="1"/>
        <v>7</v>
      </c>
      <c r="AH2" s="23">
        <f t="shared" si="1"/>
        <v>8</v>
      </c>
      <c r="AI2" s="23">
        <f t="shared" si="1"/>
        <v>9</v>
      </c>
      <c r="AJ2" s="23">
        <f t="shared" si="1"/>
        <v>10</v>
      </c>
      <c r="AK2" s="23">
        <f t="shared" si="1"/>
        <v>11</v>
      </c>
      <c r="AL2" s="23">
        <f t="shared" si="1"/>
        <v>12</v>
      </c>
      <c r="AM2" s="23">
        <f t="shared" si="1"/>
        <v>13</v>
      </c>
      <c r="AN2" s="23">
        <f t="shared" si="1"/>
        <v>14</v>
      </c>
      <c r="AO2" s="23">
        <f t="shared" si="1"/>
        <v>15</v>
      </c>
      <c r="AP2" s="23">
        <f t="shared" si="1"/>
        <v>16</v>
      </c>
      <c r="AQ2" s="23">
        <f t="shared" si="1"/>
        <v>17</v>
      </c>
      <c r="AR2" s="23">
        <f t="shared" si="1"/>
        <v>18</v>
      </c>
      <c r="AS2" s="23">
        <f t="shared" si="1"/>
        <v>19</v>
      </c>
      <c r="AT2" s="23">
        <f t="shared" si="1"/>
        <v>20</v>
      </c>
      <c r="AU2" s="23">
        <f t="shared" si="1"/>
        <v>21</v>
      </c>
      <c r="AV2" s="23">
        <f t="shared" si="1"/>
        <v>22</v>
      </c>
      <c r="AW2" s="23">
        <f t="shared" si="1"/>
        <v>23</v>
      </c>
      <c r="AX2" s="23">
        <f t="shared" si="1"/>
        <v>24</v>
      </c>
      <c r="AY2" s="23">
        <f t="shared" si="1"/>
        <v>25</v>
      </c>
      <c r="AZ2" s="23">
        <f t="shared" si="1"/>
        <v>26</v>
      </c>
      <c r="BA2" s="23">
        <f t="shared" si="1"/>
        <v>27</v>
      </c>
      <c r="BB2" s="23">
        <f t="shared" si="1"/>
        <v>28</v>
      </c>
      <c r="BC2" s="23">
        <f t="shared" si="1"/>
        <v>29</v>
      </c>
      <c r="BD2" s="23">
        <f t="shared" si="1"/>
        <v>30</v>
      </c>
      <c r="BE2" s="23">
        <f t="shared" si="1"/>
        <v>31</v>
      </c>
      <c r="BF2" s="23">
        <f t="shared" si="1"/>
        <v>32</v>
      </c>
      <c r="BG2" s="23">
        <f t="shared" si="1"/>
        <v>33</v>
      </c>
      <c r="BH2" s="23">
        <f t="shared" si="1"/>
        <v>34</v>
      </c>
      <c r="BI2" s="23">
        <f t="shared" si="1"/>
        <v>35</v>
      </c>
      <c r="BJ2" s="23">
        <f t="shared" si="1"/>
        <v>36</v>
      </c>
      <c r="BK2" s="23">
        <f t="shared" si="1"/>
        <v>37</v>
      </c>
      <c r="BL2" s="23">
        <f t="shared" si="1"/>
        <v>38</v>
      </c>
      <c r="BM2" s="23">
        <f t="shared" si="1"/>
        <v>39</v>
      </c>
      <c r="BN2" s="23">
        <f t="shared" si="1"/>
        <v>40</v>
      </c>
      <c r="BO2" s="23">
        <f t="shared" si="1"/>
        <v>41</v>
      </c>
      <c r="BP2" s="23">
        <f t="shared" si="1"/>
        <v>42</v>
      </c>
      <c r="BQ2" s="23">
        <f t="shared" si="1"/>
        <v>43</v>
      </c>
      <c r="BR2" s="23">
        <f t="shared" si="1"/>
        <v>44</v>
      </c>
      <c r="BS2" s="23">
        <f t="shared" si="1"/>
        <v>45</v>
      </c>
      <c r="BT2" s="23">
        <f t="shared" si="1"/>
        <v>46</v>
      </c>
      <c r="BU2" s="23">
        <f t="shared" si="1"/>
        <v>47</v>
      </c>
      <c r="BV2" s="23">
        <f t="shared" si="1"/>
        <v>48</v>
      </c>
      <c r="BW2" s="23">
        <f t="shared" si="1"/>
        <v>49</v>
      </c>
      <c r="BX2" s="23">
        <f t="shared" si="1"/>
        <v>50</v>
      </c>
      <c r="BY2" s="23">
        <f t="shared" si="1"/>
        <v>51</v>
      </c>
      <c r="BZ2" s="23">
        <f t="shared" si="1"/>
        <v>52</v>
      </c>
      <c r="CA2" s="23">
        <f t="shared" si="1"/>
        <v>53</v>
      </c>
      <c r="CB2" s="23">
        <f t="shared" si="1"/>
        <v>54</v>
      </c>
      <c r="CC2" s="23">
        <f t="shared" si="1"/>
        <v>55</v>
      </c>
      <c r="CD2" s="23">
        <f t="shared" si="1"/>
        <v>56</v>
      </c>
      <c r="CE2" s="23">
        <f t="shared" si="1"/>
        <v>57</v>
      </c>
      <c r="CF2" s="23">
        <f t="shared" si="1"/>
        <v>58</v>
      </c>
      <c r="CG2" s="23">
        <f t="shared" si="1"/>
        <v>59</v>
      </c>
      <c r="CH2" s="23">
        <f t="shared" si="1"/>
        <v>60</v>
      </c>
      <c r="CI2" s="23">
        <f t="shared" si="1"/>
        <v>61</v>
      </c>
      <c r="CJ2" s="23">
        <f t="shared" si="1"/>
        <v>62</v>
      </c>
      <c r="CK2" s="23">
        <f t="shared" si="1"/>
        <v>63</v>
      </c>
      <c r="CL2" s="23">
        <f t="shared" si="1"/>
        <v>64</v>
      </c>
      <c r="CM2" s="23">
        <f t="shared" si="1"/>
        <v>65</v>
      </c>
      <c r="CN2" s="23">
        <f t="shared" si="1"/>
        <v>66</v>
      </c>
      <c r="CO2" s="23">
        <f t="shared" ref="CO2:DH2" si="2">CN2+1</f>
        <v>67</v>
      </c>
      <c r="CP2" s="23">
        <f t="shared" si="2"/>
        <v>68</v>
      </c>
      <c r="CQ2" s="23">
        <f t="shared" si="2"/>
        <v>69</v>
      </c>
      <c r="CR2" s="23">
        <f t="shared" si="2"/>
        <v>70</v>
      </c>
      <c r="CS2" s="23">
        <f t="shared" si="2"/>
        <v>71</v>
      </c>
      <c r="CT2" s="23">
        <f t="shared" si="2"/>
        <v>72</v>
      </c>
      <c r="CU2" s="23">
        <f t="shared" si="2"/>
        <v>73</v>
      </c>
      <c r="CV2" s="23">
        <f t="shared" si="2"/>
        <v>74</v>
      </c>
      <c r="CW2" s="23">
        <f t="shared" si="2"/>
        <v>75</v>
      </c>
      <c r="CX2" s="23">
        <f t="shared" si="2"/>
        <v>76</v>
      </c>
      <c r="CY2" s="23">
        <f t="shared" si="2"/>
        <v>77</v>
      </c>
      <c r="CZ2" s="23">
        <f t="shared" si="2"/>
        <v>78</v>
      </c>
      <c r="DA2" s="23">
        <f t="shared" si="2"/>
        <v>79</v>
      </c>
      <c r="DB2" s="23">
        <f t="shared" si="2"/>
        <v>80</v>
      </c>
      <c r="DC2" s="23">
        <f t="shared" si="2"/>
        <v>81</v>
      </c>
      <c r="DD2" s="23">
        <f t="shared" si="2"/>
        <v>82</v>
      </c>
      <c r="DE2" s="23">
        <f t="shared" si="2"/>
        <v>83</v>
      </c>
      <c r="DF2" s="23">
        <f t="shared" si="2"/>
        <v>84</v>
      </c>
      <c r="DG2" s="23">
        <f t="shared" si="2"/>
        <v>85</v>
      </c>
      <c r="DH2" s="23">
        <f t="shared" si="2"/>
        <v>86</v>
      </c>
      <c r="DI2" s="23"/>
    </row>
    <row r="3" spans="1:113" s="10" customFormat="1">
      <c r="A3" s="23" t="s">
        <v>59</v>
      </c>
      <c r="B3" s="17" t="s">
        <v>0</v>
      </c>
      <c r="C3" s="18" t="s">
        <v>6</v>
      </c>
      <c r="D3" s="18" t="s">
        <v>1</v>
      </c>
      <c r="E3" s="18" t="s">
        <v>2</v>
      </c>
      <c r="F3" s="18" t="s">
        <v>3</v>
      </c>
      <c r="G3" s="18" t="s">
        <v>4</v>
      </c>
      <c r="H3" s="26" t="s">
        <v>5</v>
      </c>
      <c r="I3" s="19" t="s">
        <v>22</v>
      </c>
      <c r="J3" s="19" t="s">
        <v>9</v>
      </c>
      <c r="K3" s="19" t="s">
        <v>23</v>
      </c>
      <c r="L3" s="19" t="s">
        <v>24</v>
      </c>
      <c r="M3" s="19" t="s">
        <v>25</v>
      </c>
      <c r="N3" s="20" t="s">
        <v>18</v>
      </c>
      <c r="O3" s="21" t="s">
        <v>38</v>
      </c>
      <c r="P3" s="22" t="s">
        <v>39</v>
      </c>
      <c r="Q3" s="22" t="s">
        <v>40</v>
      </c>
      <c r="R3" s="22" t="s">
        <v>41</v>
      </c>
      <c r="S3" s="22" t="s">
        <v>42</v>
      </c>
      <c r="T3" s="22" t="s">
        <v>43</v>
      </c>
      <c r="U3" s="22" t="s">
        <v>44</v>
      </c>
      <c r="V3" s="22" t="s">
        <v>45</v>
      </c>
      <c r="W3" s="22" t="s">
        <v>46</v>
      </c>
      <c r="X3" s="9"/>
      <c r="Y3" s="56"/>
      <c r="Z3" s="9"/>
      <c r="AA3" s="57" t="s">
        <v>61</v>
      </c>
      <c r="AB3" s="57" t="s">
        <v>62</v>
      </c>
      <c r="AC3" s="58" t="s">
        <v>217</v>
      </c>
      <c r="AD3" s="57" t="s">
        <v>63</v>
      </c>
      <c r="AE3" s="59" t="s">
        <v>64</v>
      </c>
      <c r="AF3" s="59" t="s">
        <v>65</v>
      </c>
      <c r="AG3" s="59" t="s">
        <v>66</v>
      </c>
      <c r="AH3" s="59" t="s">
        <v>67</v>
      </c>
      <c r="AI3" s="59" t="s">
        <v>68</v>
      </c>
      <c r="AJ3" s="59" t="s">
        <v>69</v>
      </c>
      <c r="AK3" s="59" t="s">
        <v>70</v>
      </c>
      <c r="AL3" s="59" t="s">
        <v>71</v>
      </c>
      <c r="AM3" s="59" t="s">
        <v>72</v>
      </c>
      <c r="AN3" s="59" t="s">
        <v>73</v>
      </c>
      <c r="AO3" s="59" t="s">
        <v>74</v>
      </c>
      <c r="AP3" s="59" t="s">
        <v>75</v>
      </c>
      <c r="AQ3" s="59" t="s">
        <v>76</v>
      </c>
      <c r="AR3" s="59" t="s">
        <v>77</v>
      </c>
      <c r="AS3" s="59" t="s">
        <v>78</v>
      </c>
      <c r="AT3" s="59" t="s">
        <v>79</v>
      </c>
      <c r="AU3" s="59" t="s">
        <v>80</v>
      </c>
      <c r="AV3" s="59" t="s">
        <v>81</v>
      </c>
      <c r="AW3" s="59" t="s">
        <v>82</v>
      </c>
      <c r="AX3" s="59" t="s">
        <v>83</v>
      </c>
      <c r="AY3" s="59" t="s">
        <v>84</v>
      </c>
      <c r="AZ3" s="59" t="s">
        <v>85</v>
      </c>
      <c r="BA3" s="59" t="s">
        <v>86</v>
      </c>
      <c r="BB3" s="59" t="s">
        <v>87</v>
      </c>
      <c r="BC3" s="59" t="s">
        <v>88</v>
      </c>
      <c r="BD3" s="59" t="s">
        <v>89</v>
      </c>
      <c r="BE3" s="59" t="s">
        <v>90</v>
      </c>
      <c r="BF3" s="59" t="s">
        <v>91</v>
      </c>
      <c r="BG3" s="59" t="s">
        <v>92</v>
      </c>
      <c r="BH3" s="59" t="s">
        <v>93</v>
      </c>
      <c r="BI3" s="59" t="s">
        <v>94</v>
      </c>
      <c r="BJ3" s="59" t="s">
        <v>95</v>
      </c>
      <c r="BK3" s="59" t="s">
        <v>96</v>
      </c>
      <c r="BL3" s="59" t="s">
        <v>97</v>
      </c>
      <c r="BM3" s="59" t="s">
        <v>98</v>
      </c>
      <c r="BN3" s="59" t="s">
        <v>99</v>
      </c>
      <c r="BO3" s="59" t="s">
        <v>100</v>
      </c>
      <c r="BP3" s="59" t="s">
        <v>101</v>
      </c>
      <c r="BQ3" s="59" t="s">
        <v>102</v>
      </c>
      <c r="BR3" s="59" t="s">
        <v>103</v>
      </c>
      <c r="BS3" s="59" t="s">
        <v>104</v>
      </c>
      <c r="BT3" s="60" t="s">
        <v>105</v>
      </c>
      <c r="BU3" s="60" t="s">
        <v>106</v>
      </c>
      <c r="BV3" s="60" t="s">
        <v>107</v>
      </c>
      <c r="BW3" s="60" t="s">
        <v>108</v>
      </c>
      <c r="BX3" s="60" t="s">
        <v>109</v>
      </c>
      <c r="BY3" s="60" t="s">
        <v>110</v>
      </c>
      <c r="BZ3" s="60" t="s">
        <v>111</v>
      </c>
      <c r="CA3" s="60" t="s">
        <v>112</v>
      </c>
      <c r="CB3" s="60" t="s">
        <v>113</v>
      </c>
      <c r="CC3" s="60" t="s">
        <v>114</v>
      </c>
      <c r="CD3" s="60" t="s">
        <v>115</v>
      </c>
      <c r="CE3" s="60" t="s">
        <v>116</v>
      </c>
      <c r="CF3" s="60" t="s">
        <v>117</v>
      </c>
      <c r="CG3" s="60" t="s">
        <v>118</v>
      </c>
      <c r="CH3" s="60" t="s">
        <v>119</v>
      </c>
      <c r="CI3" s="60" t="s">
        <v>120</v>
      </c>
      <c r="CJ3" s="60" t="s">
        <v>121</v>
      </c>
      <c r="CK3" s="60" t="s">
        <v>122</v>
      </c>
      <c r="CL3" s="60" t="s">
        <v>123</v>
      </c>
      <c r="CM3" s="60" t="s">
        <v>124</v>
      </c>
      <c r="CN3" s="60" t="s">
        <v>125</v>
      </c>
      <c r="CO3" s="60" t="s">
        <v>126</v>
      </c>
      <c r="CP3" s="60" t="s">
        <v>127</v>
      </c>
      <c r="CQ3" s="60" t="s">
        <v>128</v>
      </c>
      <c r="CR3" s="60" t="s">
        <v>129</v>
      </c>
      <c r="CS3" s="60" t="s">
        <v>130</v>
      </c>
      <c r="CT3" s="60" t="s">
        <v>131</v>
      </c>
      <c r="CU3" s="60" t="s">
        <v>132</v>
      </c>
      <c r="CV3" s="60" t="s">
        <v>133</v>
      </c>
      <c r="CW3" s="60" t="s">
        <v>134</v>
      </c>
      <c r="CX3" s="60" t="s">
        <v>135</v>
      </c>
      <c r="CY3" s="60" t="s">
        <v>136</v>
      </c>
      <c r="CZ3" s="60" t="s">
        <v>137</v>
      </c>
      <c r="DA3" s="60" t="s">
        <v>138</v>
      </c>
      <c r="DB3" s="60" t="s">
        <v>139</v>
      </c>
      <c r="DC3" s="60" t="s">
        <v>140</v>
      </c>
      <c r="DD3" s="60" t="s">
        <v>141</v>
      </c>
      <c r="DE3" s="60" t="s">
        <v>142</v>
      </c>
      <c r="DF3" s="60" t="s">
        <v>143</v>
      </c>
      <c r="DG3" s="60" t="s">
        <v>144</v>
      </c>
      <c r="DH3" s="60" t="s">
        <v>145</v>
      </c>
      <c r="DI3" s="1"/>
    </row>
    <row r="4" spans="1:113">
      <c r="A4" s="23">
        <v>1</v>
      </c>
      <c r="B4" s="38">
        <v>1</v>
      </c>
      <c r="C4" s="11" t="s">
        <v>235</v>
      </c>
      <c r="D4" s="11"/>
      <c r="E4" s="11"/>
      <c r="F4" s="11"/>
      <c r="G4" s="11"/>
      <c r="H4" s="15" t="str">
        <f>B4&amp;D4&amp;E4&amp;F4&amp;G4</f>
        <v>1</v>
      </c>
      <c r="I4" s="1">
        <v>1</v>
      </c>
      <c r="J4" s="1">
        <v>40</v>
      </c>
      <c r="K4" s="1">
        <v>10</v>
      </c>
      <c r="L4" s="1">
        <f>Tab대상건[[#This Row],[n]]</f>
        <v>10</v>
      </c>
      <c r="M4" s="1"/>
      <c r="N4" s="16">
        <f t="shared" ref="N4:N15" si="3">100000</f>
        <v>100000</v>
      </c>
      <c r="O4" s="1">
        <f>0.1</f>
        <v>0.1</v>
      </c>
      <c r="P4" s="1">
        <f>0.1</f>
        <v>0.1</v>
      </c>
      <c r="Q4" s="1">
        <f t="shared" ref="Q4:Q15" si="4">0.1</f>
        <v>0.1</v>
      </c>
      <c r="R4" s="1">
        <f t="shared" ref="R4:R15" si="5">0.1</f>
        <v>0.1</v>
      </c>
      <c r="S4" s="1">
        <f t="shared" ref="S4:S15" si="6">0.1</f>
        <v>0.1</v>
      </c>
      <c r="T4" s="1">
        <f t="shared" ref="T4:T15" si="7">0.1</f>
        <v>0.1</v>
      </c>
      <c r="U4" s="1">
        <f t="shared" ref="U4:U15" si="8">0.1</f>
        <v>0.1</v>
      </c>
      <c r="V4" s="1">
        <f t="shared" ref="V4:V15" si="9">0.1</f>
        <v>0.1</v>
      </c>
      <c r="W4" s="1">
        <f t="shared" ref="W4:W15" si="10">0.1</f>
        <v>0.1</v>
      </c>
      <c r="X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</row>
    <row r="5" spans="1:113">
      <c r="A5" s="23">
        <v>2</v>
      </c>
      <c r="B5" s="38">
        <v>1</v>
      </c>
      <c r="C5" s="11" t="s">
        <v>235</v>
      </c>
      <c r="D5" s="11"/>
      <c r="E5" s="11"/>
      <c r="F5" s="11"/>
      <c r="G5" s="11"/>
      <c r="H5" s="15" t="str">
        <f t="shared" ref="H5:H15" si="11">B5&amp;D5&amp;E5&amp;F5&amp;G5</f>
        <v>1</v>
      </c>
      <c r="I5" s="1">
        <v>1</v>
      </c>
      <c r="J5" s="1">
        <v>50</v>
      </c>
      <c r="K5" s="1">
        <v>10</v>
      </c>
      <c r="L5" s="1">
        <f>Tab대상건[[#This Row],[n]]</f>
        <v>10</v>
      </c>
      <c r="M5" s="1"/>
      <c r="N5" s="16">
        <f t="shared" si="3"/>
        <v>100000</v>
      </c>
      <c r="O5" s="1">
        <f t="shared" ref="O5:O15" si="12">0.1</f>
        <v>0.1</v>
      </c>
      <c r="P5" s="1">
        <f>0.1</f>
        <v>0.1</v>
      </c>
      <c r="Q5" s="1">
        <f t="shared" si="4"/>
        <v>0.1</v>
      </c>
      <c r="R5" s="1">
        <f t="shared" si="5"/>
        <v>0.1</v>
      </c>
      <c r="S5" s="1">
        <f t="shared" si="6"/>
        <v>0.1</v>
      </c>
      <c r="T5" s="1">
        <f t="shared" si="7"/>
        <v>0.1</v>
      </c>
      <c r="U5" s="1">
        <f t="shared" si="8"/>
        <v>0.1</v>
      </c>
      <c r="V5" s="1">
        <f t="shared" si="9"/>
        <v>0.1</v>
      </c>
      <c r="W5" s="1">
        <f t="shared" si="10"/>
        <v>0.1</v>
      </c>
      <c r="X5" s="1"/>
      <c r="Y5" s="56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</row>
    <row r="6" spans="1:113">
      <c r="A6" s="23">
        <v>3</v>
      </c>
      <c r="B6" s="38">
        <v>1</v>
      </c>
      <c r="C6" s="11" t="s">
        <v>235</v>
      </c>
      <c r="D6" s="11"/>
      <c r="E6" s="11"/>
      <c r="F6" s="11"/>
      <c r="G6" s="11"/>
      <c r="H6" s="15" t="str">
        <f t="shared" si="11"/>
        <v>1</v>
      </c>
      <c r="I6" s="1">
        <v>1</v>
      </c>
      <c r="J6" s="1">
        <v>60</v>
      </c>
      <c r="K6" s="1">
        <v>10</v>
      </c>
      <c r="L6" s="1">
        <f>Tab대상건[[#This Row],[n]]</f>
        <v>10</v>
      </c>
      <c r="M6" s="1"/>
      <c r="N6" s="16">
        <f t="shared" si="3"/>
        <v>100000</v>
      </c>
      <c r="O6" s="1">
        <f t="shared" si="12"/>
        <v>0.1</v>
      </c>
      <c r="P6" s="1">
        <f t="shared" ref="P6:P15" si="13">0.1</f>
        <v>0.1</v>
      </c>
      <c r="Q6" s="1">
        <f t="shared" si="4"/>
        <v>0.1</v>
      </c>
      <c r="R6" s="1">
        <f t="shared" si="5"/>
        <v>0.1</v>
      </c>
      <c r="S6" s="1">
        <f t="shared" si="6"/>
        <v>0.1</v>
      </c>
      <c r="T6" s="1">
        <f t="shared" si="7"/>
        <v>0.1</v>
      </c>
      <c r="U6" s="1">
        <f t="shared" si="8"/>
        <v>0.1</v>
      </c>
      <c r="V6" s="1">
        <f t="shared" si="9"/>
        <v>0.1</v>
      </c>
      <c r="W6" s="1">
        <f t="shared" si="10"/>
        <v>0.1</v>
      </c>
      <c r="X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</row>
    <row r="7" spans="1:113">
      <c r="A7" s="23">
        <v>4</v>
      </c>
      <c r="B7" s="38">
        <v>1</v>
      </c>
      <c r="C7" s="11" t="s">
        <v>235</v>
      </c>
      <c r="D7" s="11"/>
      <c r="E7" s="11"/>
      <c r="F7" s="11"/>
      <c r="G7" s="11"/>
      <c r="H7" s="15" t="str">
        <f t="shared" si="11"/>
        <v>1</v>
      </c>
      <c r="I7" s="1">
        <v>1</v>
      </c>
      <c r="J7" s="1">
        <v>70</v>
      </c>
      <c r="K7" s="1">
        <v>10</v>
      </c>
      <c r="L7" s="1">
        <f>Tab대상건[[#This Row],[n]]</f>
        <v>10</v>
      </c>
      <c r="M7" s="1"/>
      <c r="N7" s="16">
        <f t="shared" si="3"/>
        <v>100000</v>
      </c>
      <c r="O7" s="1">
        <f t="shared" si="12"/>
        <v>0.1</v>
      </c>
      <c r="P7" s="1">
        <f t="shared" si="13"/>
        <v>0.1</v>
      </c>
      <c r="Q7" s="1">
        <f t="shared" si="4"/>
        <v>0.1</v>
      </c>
      <c r="R7" s="1">
        <f t="shared" si="5"/>
        <v>0.1</v>
      </c>
      <c r="S7" s="1">
        <f t="shared" si="6"/>
        <v>0.1</v>
      </c>
      <c r="T7" s="1">
        <f t="shared" si="7"/>
        <v>0.1</v>
      </c>
      <c r="U7" s="1">
        <f t="shared" si="8"/>
        <v>0.1</v>
      </c>
      <c r="V7" s="1">
        <f t="shared" si="9"/>
        <v>0.1</v>
      </c>
      <c r="W7" s="1">
        <f t="shared" si="10"/>
        <v>0.1</v>
      </c>
      <c r="X7" s="54"/>
      <c r="Y7" s="56" t="s">
        <v>226</v>
      </c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</row>
    <row r="8" spans="1:113">
      <c r="A8" s="23">
        <v>5</v>
      </c>
      <c r="B8" s="38">
        <v>1</v>
      </c>
      <c r="C8" s="11" t="s">
        <v>235</v>
      </c>
      <c r="D8" s="11"/>
      <c r="E8" s="11"/>
      <c r="F8" s="11"/>
      <c r="G8" s="11"/>
      <c r="H8" s="15" t="str">
        <f t="shared" si="11"/>
        <v>1</v>
      </c>
      <c r="I8" s="1">
        <v>1</v>
      </c>
      <c r="J8" s="1">
        <v>80</v>
      </c>
      <c r="K8" s="1">
        <v>10</v>
      </c>
      <c r="L8" s="1">
        <f>Tab대상건[[#This Row],[n]]</f>
        <v>10</v>
      </c>
      <c r="M8" s="1"/>
      <c r="N8" s="16">
        <f t="shared" si="3"/>
        <v>100000</v>
      </c>
      <c r="O8" s="1">
        <f t="shared" si="12"/>
        <v>0.1</v>
      </c>
      <c r="P8" s="1">
        <f t="shared" si="13"/>
        <v>0.1</v>
      </c>
      <c r="Q8" s="1">
        <f t="shared" si="4"/>
        <v>0.1</v>
      </c>
      <c r="R8" s="1">
        <f t="shared" si="5"/>
        <v>0.1</v>
      </c>
      <c r="S8" s="1">
        <f t="shared" si="6"/>
        <v>0.1</v>
      </c>
      <c r="T8" s="1">
        <f t="shared" si="7"/>
        <v>0.1</v>
      </c>
      <c r="U8" s="1">
        <f t="shared" si="8"/>
        <v>0.1</v>
      </c>
      <c r="V8" s="1">
        <f t="shared" si="9"/>
        <v>0.1</v>
      </c>
      <c r="W8" s="1">
        <f t="shared" si="10"/>
        <v>0.1</v>
      </c>
      <c r="X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</row>
    <row r="9" spans="1:113">
      <c r="A9" s="23">
        <v>6</v>
      </c>
      <c r="B9" s="38">
        <v>1</v>
      </c>
      <c r="C9" s="11" t="s">
        <v>235</v>
      </c>
      <c r="D9" s="11"/>
      <c r="E9" s="11"/>
      <c r="F9" s="11"/>
      <c r="G9" s="11"/>
      <c r="H9" s="15" t="str">
        <f t="shared" si="11"/>
        <v>1</v>
      </c>
      <c r="I9" s="1">
        <v>1</v>
      </c>
      <c r="J9" s="1">
        <v>90</v>
      </c>
      <c r="K9" s="1">
        <v>10</v>
      </c>
      <c r="L9" s="1">
        <f>Tab대상건[[#This Row],[n]]</f>
        <v>10</v>
      </c>
      <c r="M9" s="1"/>
      <c r="N9" s="16">
        <f t="shared" si="3"/>
        <v>100000</v>
      </c>
      <c r="O9" s="1">
        <f t="shared" si="12"/>
        <v>0.1</v>
      </c>
      <c r="P9" s="1">
        <f t="shared" si="13"/>
        <v>0.1</v>
      </c>
      <c r="Q9" s="1">
        <f t="shared" si="4"/>
        <v>0.1</v>
      </c>
      <c r="R9" s="1">
        <f t="shared" si="5"/>
        <v>0.1</v>
      </c>
      <c r="S9" s="1">
        <f t="shared" si="6"/>
        <v>0.1</v>
      </c>
      <c r="T9" s="1">
        <f t="shared" si="7"/>
        <v>0.1</v>
      </c>
      <c r="U9" s="1">
        <f t="shared" si="8"/>
        <v>0.1</v>
      </c>
      <c r="V9" s="1">
        <f t="shared" si="9"/>
        <v>0.1</v>
      </c>
      <c r="W9" s="1">
        <f t="shared" si="10"/>
        <v>0.1</v>
      </c>
      <c r="X9" s="1"/>
      <c r="Y9" s="56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</row>
    <row r="10" spans="1:113">
      <c r="A10" s="23">
        <v>7</v>
      </c>
      <c r="B10" s="38">
        <v>1</v>
      </c>
      <c r="C10" s="11" t="s">
        <v>235</v>
      </c>
      <c r="D10" s="11"/>
      <c r="E10" s="11"/>
      <c r="F10" s="11"/>
      <c r="G10" s="11"/>
      <c r="H10" s="15" t="str">
        <f t="shared" si="11"/>
        <v>1</v>
      </c>
      <c r="I10" s="1">
        <v>2</v>
      </c>
      <c r="J10" s="1">
        <v>40</v>
      </c>
      <c r="K10" s="1">
        <v>10</v>
      </c>
      <c r="L10" s="1">
        <f>Tab대상건[[#This Row],[n]]</f>
        <v>10</v>
      </c>
      <c r="M10" s="1"/>
      <c r="N10" s="16">
        <f t="shared" si="3"/>
        <v>100000</v>
      </c>
      <c r="O10" s="1">
        <f t="shared" si="12"/>
        <v>0.1</v>
      </c>
      <c r="P10" s="1">
        <f t="shared" si="13"/>
        <v>0.1</v>
      </c>
      <c r="Q10" s="1">
        <f t="shared" si="4"/>
        <v>0.1</v>
      </c>
      <c r="R10" s="1">
        <f t="shared" si="5"/>
        <v>0.1</v>
      </c>
      <c r="S10" s="1">
        <f t="shared" si="6"/>
        <v>0.1</v>
      </c>
      <c r="T10" s="1">
        <f t="shared" si="7"/>
        <v>0.1</v>
      </c>
      <c r="U10" s="1">
        <f t="shared" si="8"/>
        <v>0.1</v>
      </c>
      <c r="V10" s="1">
        <f t="shared" si="9"/>
        <v>0.1</v>
      </c>
      <c r="W10" s="1">
        <f t="shared" si="10"/>
        <v>0.1</v>
      </c>
      <c r="X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</row>
    <row r="11" spans="1:113">
      <c r="A11" s="23">
        <v>8</v>
      </c>
      <c r="B11" s="38">
        <v>1</v>
      </c>
      <c r="C11" s="11" t="s">
        <v>235</v>
      </c>
      <c r="D11" s="11"/>
      <c r="E11" s="11"/>
      <c r="F11" s="11"/>
      <c r="G11" s="11"/>
      <c r="H11" s="15" t="str">
        <f t="shared" si="11"/>
        <v>1</v>
      </c>
      <c r="I11" s="1">
        <v>2</v>
      </c>
      <c r="J11" s="1">
        <v>50</v>
      </c>
      <c r="K11" s="1">
        <v>10</v>
      </c>
      <c r="L11" s="1">
        <f>Tab대상건[[#This Row],[n]]</f>
        <v>10</v>
      </c>
      <c r="M11" s="1"/>
      <c r="N11" s="16">
        <f t="shared" si="3"/>
        <v>100000</v>
      </c>
      <c r="O11" s="1">
        <f t="shared" si="12"/>
        <v>0.1</v>
      </c>
      <c r="P11" s="1">
        <f t="shared" si="13"/>
        <v>0.1</v>
      </c>
      <c r="Q11" s="1">
        <f t="shared" si="4"/>
        <v>0.1</v>
      </c>
      <c r="R11" s="1">
        <f t="shared" si="5"/>
        <v>0.1</v>
      </c>
      <c r="S11" s="1">
        <f t="shared" si="6"/>
        <v>0.1</v>
      </c>
      <c r="T11" s="1">
        <f t="shared" si="7"/>
        <v>0.1</v>
      </c>
      <c r="U11" s="1">
        <f t="shared" si="8"/>
        <v>0.1</v>
      </c>
      <c r="V11" s="1">
        <f t="shared" si="9"/>
        <v>0.1</v>
      </c>
      <c r="W11" s="1">
        <f t="shared" si="10"/>
        <v>0.1</v>
      </c>
      <c r="X11" s="1"/>
      <c r="Y11" s="56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</row>
    <row r="12" spans="1:113">
      <c r="A12" s="23">
        <v>9</v>
      </c>
      <c r="B12" s="38">
        <v>1</v>
      </c>
      <c r="C12" s="11" t="s">
        <v>235</v>
      </c>
      <c r="D12" s="11"/>
      <c r="E12" s="11"/>
      <c r="F12" s="11"/>
      <c r="G12" s="11"/>
      <c r="H12" s="15" t="str">
        <f t="shared" si="11"/>
        <v>1</v>
      </c>
      <c r="I12" s="1">
        <v>2</v>
      </c>
      <c r="J12" s="1">
        <v>60</v>
      </c>
      <c r="K12" s="1">
        <v>10</v>
      </c>
      <c r="L12" s="1">
        <f>Tab대상건[[#This Row],[n]]</f>
        <v>10</v>
      </c>
      <c r="M12" s="1"/>
      <c r="N12" s="16">
        <f t="shared" si="3"/>
        <v>100000</v>
      </c>
      <c r="O12" s="1">
        <f t="shared" si="12"/>
        <v>0.1</v>
      </c>
      <c r="P12" s="1">
        <f t="shared" si="13"/>
        <v>0.1</v>
      </c>
      <c r="Q12" s="1">
        <f t="shared" si="4"/>
        <v>0.1</v>
      </c>
      <c r="R12" s="1">
        <f t="shared" si="5"/>
        <v>0.1</v>
      </c>
      <c r="S12" s="1">
        <f t="shared" si="6"/>
        <v>0.1</v>
      </c>
      <c r="T12" s="1">
        <f t="shared" si="7"/>
        <v>0.1</v>
      </c>
      <c r="U12" s="1">
        <f t="shared" si="8"/>
        <v>0.1</v>
      </c>
      <c r="V12" s="1">
        <f t="shared" si="9"/>
        <v>0.1</v>
      </c>
      <c r="W12" s="1">
        <f t="shared" si="10"/>
        <v>0.1</v>
      </c>
      <c r="X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</row>
    <row r="13" spans="1:113">
      <c r="A13" s="23">
        <v>10</v>
      </c>
      <c r="B13" s="38">
        <v>1</v>
      </c>
      <c r="C13" s="11" t="s">
        <v>235</v>
      </c>
      <c r="D13" s="11"/>
      <c r="E13" s="11"/>
      <c r="F13" s="11"/>
      <c r="G13" s="11"/>
      <c r="H13" s="15" t="str">
        <f t="shared" si="11"/>
        <v>1</v>
      </c>
      <c r="I13" s="1">
        <v>2</v>
      </c>
      <c r="J13" s="1">
        <v>70</v>
      </c>
      <c r="K13" s="1">
        <v>10</v>
      </c>
      <c r="L13" s="1">
        <f>Tab대상건[[#This Row],[n]]</f>
        <v>10</v>
      </c>
      <c r="M13" s="1"/>
      <c r="N13" s="16">
        <f t="shared" si="3"/>
        <v>100000</v>
      </c>
      <c r="O13" s="1">
        <f t="shared" si="12"/>
        <v>0.1</v>
      </c>
      <c r="P13" s="1">
        <f t="shared" si="13"/>
        <v>0.1</v>
      </c>
      <c r="Q13" s="1">
        <f t="shared" si="4"/>
        <v>0.1</v>
      </c>
      <c r="R13" s="1">
        <f t="shared" si="5"/>
        <v>0.1</v>
      </c>
      <c r="S13" s="1">
        <f t="shared" si="6"/>
        <v>0.1</v>
      </c>
      <c r="T13" s="1">
        <f t="shared" si="7"/>
        <v>0.1</v>
      </c>
      <c r="U13" s="1">
        <f t="shared" si="8"/>
        <v>0.1</v>
      </c>
      <c r="V13" s="1">
        <f t="shared" si="9"/>
        <v>0.1</v>
      </c>
      <c r="W13" s="1">
        <f t="shared" si="10"/>
        <v>0.1</v>
      </c>
      <c r="X13" s="1"/>
      <c r="Y13" s="56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</row>
    <row r="14" spans="1:113">
      <c r="A14" s="23">
        <v>11</v>
      </c>
      <c r="B14" s="38">
        <v>1</v>
      </c>
      <c r="C14" s="11" t="s">
        <v>235</v>
      </c>
      <c r="D14" s="11"/>
      <c r="E14" s="11"/>
      <c r="F14" s="11"/>
      <c r="G14" s="11"/>
      <c r="H14" s="15" t="str">
        <f t="shared" si="11"/>
        <v>1</v>
      </c>
      <c r="I14" s="1">
        <v>2</v>
      </c>
      <c r="J14" s="1">
        <v>80</v>
      </c>
      <c r="K14" s="1">
        <v>10</v>
      </c>
      <c r="L14" s="1">
        <f>Tab대상건[[#This Row],[n]]</f>
        <v>10</v>
      </c>
      <c r="M14" s="1"/>
      <c r="N14" s="16">
        <f t="shared" si="3"/>
        <v>100000</v>
      </c>
      <c r="O14" s="1">
        <f t="shared" si="12"/>
        <v>0.1</v>
      </c>
      <c r="P14" s="1">
        <f t="shared" si="13"/>
        <v>0.1</v>
      </c>
      <c r="Q14" s="1">
        <f t="shared" si="4"/>
        <v>0.1</v>
      </c>
      <c r="R14" s="1">
        <f t="shared" si="5"/>
        <v>0.1</v>
      </c>
      <c r="S14" s="1">
        <f t="shared" si="6"/>
        <v>0.1</v>
      </c>
      <c r="T14" s="1">
        <f t="shared" si="7"/>
        <v>0.1</v>
      </c>
      <c r="U14" s="1">
        <f t="shared" si="8"/>
        <v>0.1</v>
      </c>
      <c r="V14" s="1">
        <f t="shared" si="9"/>
        <v>0.1</v>
      </c>
      <c r="W14" s="1">
        <f t="shared" si="10"/>
        <v>0.1</v>
      </c>
      <c r="X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</row>
    <row r="15" spans="1:113">
      <c r="A15" s="23">
        <v>12</v>
      </c>
      <c r="B15" s="38">
        <v>1</v>
      </c>
      <c r="C15" s="11" t="s">
        <v>235</v>
      </c>
      <c r="D15" s="11"/>
      <c r="E15" s="11"/>
      <c r="F15" s="11"/>
      <c r="G15" s="11"/>
      <c r="H15" s="15" t="str">
        <f t="shared" si="11"/>
        <v>1</v>
      </c>
      <c r="I15" s="1">
        <v>2</v>
      </c>
      <c r="J15" s="1">
        <v>90</v>
      </c>
      <c r="K15" s="1">
        <v>10</v>
      </c>
      <c r="L15" s="1">
        <f>Tab대상건[[#This Row],[n]]</f>
        <v>10</v>
      </c>
      <c r="M15" s="1"/>
      <c r="N15" s="16">
        <f t="shared" si="3"/>
        <v>100000</v>
      </c>
      <c r="O15" s="1">
        <f t="shared" si="12"/>
        <v>0.1</v>
      </c>
      <c r="P15" s="1">
        <f t="shared" si="13"/>
        <v>0.1</v>
      </c>
      <c r="Q15" s="1">
        <f t="shared" si="4"/>
        <v>0.1</v>
      </c>
      <c r="R15" s="1">
        <f t="shared" si="5"/>
        <v>0.1</v>
      </c>
      <c r="S15" s="1">
        <f t="shared" si="6"/>
        <v>0.1</v>
      </c>
      <c r="T15" s="1">
        <f t="shared" si="7"/>
        <v>0.1</v>
      </c>
      <c r="U15" s="1">
        <f t="shared" si="8"/>
        <v>0.1</v>
      </c>
      <c r="V15" s="1">
        <f t="shared" si="9"/>
        <v>0.1</v>
      </c>
      <c r="W15" s="1">
        <f t="shared" si="10"/>
        <v>0.1</v>
      </c>
      <c r="X15" s="1"/>
      <c r="Y15" s="56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</row>
    <row r="16" spans="1:113">
      <c r="A16" s="23">
        <v>13</v>
      </c>
      <c r="B16" s="38"/>
      <c r="C16" s="11"/>
      <c r="D16" s="11"/>
      <c r="E16" s="11"/>
      <c r="F16" s="11"/>
      <c r="G16" s="11"/>
      <c r="H16" s="15"/>
      <c r="I16" s="1"/>
      <c r="J16" s="1"/>
      <c r="K16" s="1"/>
      <c r="L16" s="1"/>
      <c r="M16" s="1"/>
      <c r="N16" s="16"/>
      <c r="O16" s="1"/>
      <c r="P16" s="1"/>
      <c r="Q16" s="1"/>
      <c r="R16" s="1"/>
      <c r="S16" s="1"/>
      <c r="T16" s="1"/>
      <c r="U16" s="1"/>
      <c r="V16" s="1"/>
      <c r="W16" s="1"/>
      <c r="X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</row>
    <row r="17" spans="1:113">
      <c r="A17" s="23">
        <v>14</v>
      </c>
      <c r="B17" s="38"/>
      <c r="C17" s="11"/>
      <c r="D17" s="11"/>
      <c r="E17" s="11"/>
      <c r="F17" s="11"/>
      <c r="G17" s="11"/>
      <c r="H17" s="15"/>
      <c r="I17" s="1"/>
      <c r="J17" s="1"/>
      <c r="K17" s="1"/>
      <c r="L17" s="1"/>
      <c r="M17" s="1"/>
      <c r="N17" s="16"/>
      <c r="O17" s="1"/>
      <c r="P17" s="1"/>
      <c r="Q17" s="1"/>
      <c r="R17" s="1"/>
      <c r="S17" s="1"/>
      <c r="T17" s="1"/>
      <c r="U17" s="1"/>
      <c r="V17" s="1"/>
      <c r="W17" s="1"/>
      <c r="X17" s="1"/>
      <c r="Y17" s="56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</row>
    <row r="18" spans="1:113">
      <c r="A18" s="23">
        <v>15</v>
      </c>
      <c r="B18" s="38"/>
      <c r="C18" s="11"/>
      <c r="D18" s="11"/>
      <c r="E18" s="11"/>
      <c r="F18" s="11"/>
      <c r="G18" s="11"/>
      <c r="H18" s="15"/>
      <c r="I18" s="1"/>
      <c r="J18" s="1"/>
      <c r="K18" s="1"/>
      <c r="L18" s="1"/>
      <c r="M18" s="1"/>
      <c r="N18" s="16"/>
      <c r="O18" s="1"/>
      <c r="P18" s="1"/>
      <c r="Q18" s="1"/>
      <c r="R18" s="1"/>
      <c r="S18" s="1"/>
      <c r="T18" s="1"/>
      <c r="U18" s="1"/>
      <c r="V18" s="1"/>
      <c r="W18" s="1"/>
      <c r="X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</row>
    <row r="19" spans="1:113">
      <c r="A19" s="23">
        <v>16</v>
      </c>
      <c r="B19" s="38"/>
      <c r="C19" s="11"/>
      <c r="D19" s="11"/>
      <c r="E19" s="11"/>
      <c r="F19" s="11"/>
      <c r="G19" s="11"/>
      <c r="H19" s="15"/>
      <c r="I19" s="1"/>
      <c r="J19" s="1"/>
      <c r="K19" s="1"/>
      <c r="L19" s="1"/>
      <c r="M19" s="1"/>
      <c r="N19" s="16"/>
      <c r="O19" s="1"/>
      <c r="P19" s="1"/>
      <c r="Q19" s="1"/>
      <c r="R19" s="1"/>
      <c r="S19" s="1"/>
      <c r="T19" s="1"/>
      <c r="U19" s="1"/>
      <c r="V19" s="1"/>
      <c r="W19" s="1"/>
      <c r="X19" s="1"/>
      <c r="Y19" s="56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</row>
    <row r="20" spans="1:113">
      <c r="A20" s="23">
        <v>17</v>
      </c>
      <c r="B20" s="38"/>
      <c r="C20" s="11"/>
      <c r="D20" s="11"/>
      <c r="E20" s="11"/>
      <c r="F20" s="11"/>
      <c r="G20" s="11"/>
      <c r="H20" s="15"/>
      <c r="I20" s="1"/>
      <c r="J20" s="1"/>
      <c r="K20" s="1"/>
      <c r="L20" s="1"/>
      <c r="M20" s="1"/>
      <c r="N20" s="16"/>
      <c r="O20" s="1"/>
      <c r="P20" s="1"/>
      <c r="Q20" s="1"/>
      <c r="R20" s="1"/>
      <c r="S20" s="1"/>
      <c r="T20" s="1"/>
      <c r="U20" s="1"/>
      <c r="V20" s="1"/>
      <c r="W20" s="1"/>
      <c r="X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</row>
    <row r="21" spans="1:113">
      <c r="A21" s="23">
        <v>18</v>
      </c>
      <c r="B21" s="38"/>
      <c r="C21" s="11"/>
      <c r="D21" s="11"/>
      <c r="E21" s="11"/>
      <c r="F21" s="11"/>
      <c r="G21" s="11"/>
      <c r="H21" s="15"/>
      <c r="I21" s="1"/>
      <c r="J21" s="1"/>
      <c r="K21" s="1"/>
      <c r="L21" s="1"/>
      <c r="M21" s="1"/>
      <c r="N21" s="16"/>
      <c r="O21" s="1"/>
      <c r="P21" s="1"/>
      <c r="Q21" s="1"/>
      <c r="R21" s="1"/>
      <c r="S21" s="1"/>
      <c r="T21" s="1"/>
      <c r="U21" s="1"/>
      <c r="V21" s="1"/>
      <c r="W21" s="1"/>
      <c r="X21" s="1"/>
      <c r="Y21" s="56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</row>
    <row r="22" spans="1:113">
      <c r="A22" s="23">
        <v>19</v>
      </c>
      <c r="B22" s="38"/>
      <c r="C22" s="11"/>
      <c r="D22" s="11"/>
      <c r="E22" s="11"/>
      <c r="F22" s="11"/>
      <c r="G22" s="11"/>
      <c r="H22" s="15"/>
      <c r="I22" s="1"/>
      <c r="J22" s="1"/>
      <c r="K22" s="1"/>
      <c r="L22" s="1"/>
      <c r="M22" s="1"/>
      <c r="N22" s="16"/>
      <c r="O22" s="1"/>
      <c r="P22" s="1"/>
      <c r="Q22" s="1"/>
      <c r="R22" s="1"/>
      <c r="S22" s="1"/>
      <c r="T22" s="1"/>
      <c r="U22" s="1"/>
      <c r="V22" s="1"/>
      <c r="W22" s="1"/>
      <c r="X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</row>
    <row r="23" spans="1:113">
      <c r="A23" s="23">
        <v>20</v>
      </c>
      <c r="B23" s="38"/>
      <c r="C23" s="11"/>
      <c r="D23" s="11"/>
      <c r="E23" s="11"/>
      <c r="F23" s="11"/>
      <c r="G23" s="11"/>
      <c r="H23" s="15"/>
      <c r="I23" s="1"/>
      <c r="J23" s="1"/>
      <c r="K23" s="1"/>
      <c r="L23" s="1"/>
      <c r="M23" s="1"/>
      <c r="N23" s="16"/>
      <c r="O23" s="1"/>
      <c r="P23" s="1"/>
      <c r="Q23" s="1"/>
      <c r="R23" s="1"/>
      <c r="S23" s="1"/>
      <c r="T23" s="1"/>
      <c r="U23" s="1"/>
      <c r="V23" s="1"/>
      <c r="W23" s="1"/>
      <c r="X23" s="1"/>
      <c r="Y23" s="56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</row>
    <row r="24" spans="1:113">
      <c r="A24" s="23">
        <v>21</v>
      </c>
      <c r="B24" s="38"/>
      <c r="C24" s="11"/>
      <c r="D24" s="11"/>
      <c r="E24" s="11"/>
      <c r="F24" s="11"/>
      <c r="G24" s="11"/>
      <c r="H24" s="97"/>
      <c r="I24" s="98"/>
      <c r="J24" s="98"/>
      <c r="K24" s="1"/>
      <c r="L24" s="98"/>
      <c r="M24" s="98"/>
      <c r="N24" s="16"/>
      <c r="O24" s="1"/>
      <c r="P24" s="1"/>
      <c r="Q24" s="98"/>
      <c r="R24" s="98"/>
      <c r="S24" s="98"/>
      <c r="T24" s="98"/>
      <c r="U24" s="98"/>
      <c r="V24" s="98"/>
      <c r="W24" s="98"/>
      <c r="X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</row>
    <row r="25" spans="1:113">
      <c r="A25" s="23">
        <v>22</v>
      </c>
      <c r="B25" s="38"/>
      <c r="C25" s="11"/>
      <c r="D25" s="11"/>
      <c r="E25" s="11"/>
      <c r="F25" s="11"/>
      <c r="G25" s="11"/>
      <c r="H25" s="97"/>
      <c r="I25" s="98"/>
      <c r="J25" s="98"/>
      <c r="K25" s="1"/>
      <c r="L25" s="98"/>
      <c r="M25" s="98"/>
      <c r="N25" s="16"/>
      <c r="O25" s="1"/>
      <c r="P25" s="1"/>
      <c r="Q25" s="98"/>
      <c r="R25" s="98"/>
      <c r="S25" s="98"/>
      <c r="T25" s="98"/>
      <c r="U25" s="98"/>
      <c r="V25" s="98"/>
      <c r="W25" s="98"/>
      <c r="X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</row>
    <row r="26" spans="1:113">
      <c r="A26" s="23">
        <v>23</v>
      </c>
      <c r="B26" s="38"/>
      <c r="C26" s="11"/>
      <c r="D26" s="11"/>
      <c r="E26" s="11"/>
      <c r="F26" s="11"/>
      <c r="G26" s="11"/>
      <c r="H26" s="97"/>
      <c r="I26" s="98"/>
      <c r="J26" s="98"/>
      <c r="K26" s="1"/>
      <c r="L26" s="98"/>
      <c r="M26" s="98"/>
      <c r="N26" s="16"/>
      <c r="O26" s="1"/>
      <c r="P26" s="1"/>
      <c r="Q26" s="98"/>
      <c r="R26" s="98"/>
      <c r="S26" s="98"/>
      <c r="T26" s="98"/>
      <c r="U26" s="98"/>
      <c r="V26" s="98"/>
      <c r="W26" s="98"/>
      <c r="X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</row>
    <row r="27" spans="1:113">
      <c r="A27" s="23">
        <v>24</v>
      </c>
      <c r="B27" s="38"/>
      <c r="C27" s="11"/>
      <c r="D27" s="11"/>
      <c r="E27" s="11"/>
      <c r="F27" s="11"/>
      <c r="G27" s="11"/>
      <c r="H27" s="97"/>
      <c r="I27" s="98"/>
      <c r="J27" s="98"/>
      <c r="K27" s="1"/>
      <c r="L27" s="98"/>
      <c r="M27" s="98"/>
      <c r="N27" s="16"/>
      <c r="O27" s="1"/>
      <c r="P27" s="1"/>
      <c r="Q27" s="98"/>
      <c r="R27" s="98"/>
      <c r="S27" s="98"/>
      <c r="T27" s="98"/>
      <c r="U27" s="98"/>
      <c r="V27" s="98"/>
      <c r="W27" s="98"/>
      <c r="X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</row>
    <row r="28" spans="1:113">
      <c r="A28" s="23">
        <v>25</v>
      </c>
      <c r="B28" s="40"/>
      <c r="C28" s="11"/>
      <c r="D28" s="96"/>
      <c r="E28" s="96"/>
      <c r="F28" s="96"/>
      <c r="G28" s="96"/>
      <c r="H28" s="97"/>
      <c r="I28" s="98"/>
      <c r="J28" s="98"/>
      <c r="K28" s="98"/>
      <c r="L28" s="98"/>
      <c r="M28" s="98"/>
      <c r="N28" s="16"/>
      <c r="O28" s="1"/>
      <c r="P28" s="1"/>
      <c r="Q28" s="98"/>
      <c r="R28" s="98"/>
      <c r="S28" s="98"/>
      <c r="T28" s="98"/>
      <c r="U28" s="98"/>
      <c r="V28" s="98"/>
      <c r="W28" s="98"/>
      <c r="X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</row>
    <row r="29" spans="1:113">
      <c r="A29" s="23">
        <v>26</v>
      </c>
      <c r="B29" s="40"/>
      <c r="C29" s="11"/>
      <c r="D29" s="96"/>
      <c r="E29" s="96"/>
      <c r="F29" s="96"/>
      <c r="G29" s="96"/>
      <c r="H29" s="97"/>
      <c r="I29" s="98"/>
      <c r="J29" s="98"/>
      <c r="K29" s="98"/>
      <c r="L29" s="97"/>
      <c r="M29" s="98"/>
      <c r="N29" s="16"/>
      <c r="O29" s="1"/>
      <c r="P29" s="1"/>
      <c r="Q29" s="98"/>
      <c r="R29" s="98"/>
      <c r="S29" s="98"/>
      <c r="T29" s="98"/>
      <c r="U29" s="98"/>
      <c r="V29" s="98"/>
      <c r="W29" s="98"/>
      <c r="X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</row>
    <row r="30" spans="1:113">
      <c r="A30" s="23">
        <v>27</v>
      </c>
      <c r="B30" s="40"/>
      <c r="C30" s="11"/>
      <c r="D30" s="96"/>
      <c r="E30" s="96"/>
      <c r="F30" s="96"/>
      <c r="G30" s="96"/>
      <c r="H30" s="97"/>
      <c r="I30" s="98"/>
      <c r="J30" s="98"/>
      <c r="K30" s="98"/>
      <c r="L30" s="97"/>
      <c r="M30" s="98"/>
      <c r="N30" s="16"/>
      <c r="O30" s="1"/>
      <c r="P30" s="1"/>
      <c r="Q30" s="97"/>
      <c r="R30" s="97"/>
      <c r="S30" s="97"/>
      <c r="T30" s="97"/>
      <c r="U30" s="98"/>
      <c r="V30" s="98"/>
      <c r="W30" s="98"/>
      <c r="X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</row>
    <row r="31" spans="1:113">
      <c r="A31" s="23">
        <v>28</v>
      </c>
      <c r="B31" s="40"/>
      <c r="C31" s="11"/>
      <c r="D31" s="96"/>
      <c r="E31" s="96"/>
      <c r="F31" s="96"/>
      <c r="G31" s="96"/>
      <c r="H31" s="97"/>
      <c r="I31" s="98"/>
      <c r="J31" s="98"/>
      <c r="K31" s="98"/>
      <c r="L31" s="97"/>
      <c r="M31" s="98"/>
      <c r="N31" s="16"/>
      <c r="O31" s="1"/>
      <c r="P31" s="1"/>
      <c r="Q31" s="97"/>
      <c r="R31" s="97"/>
      <c r="S31" s="97"/>
      <c r="T31" s="97"/>
      <c r="U31" s="98"/>
      <c r="V31" s="98"/>
      <c r="W31" s="98"/>
      <c r="X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</row>
    <row r="32" spans="1:113">
      <c r="A32" s="23">
        <v>29</v>
      </c>
      <c r="B32" s="38"/>
      <c r="C32" s="11"/>
      <c r="D32" s="11"/>
      <c r="E32" s="11"/>
      <c r="F32" s="11"/>
      <c r="G32" s="11"/>
      <c r="H32" s="97"/>
      <c r="I32" s="98"/>
      <c r="J32" s="98"/>
      <c r="K32" s="98"/>
      <c r="L32" s="97"/>
      <c r="M32" s="98"/>
      <c r="N32" s="16"/>
      <c r="O32" s="1"/>
      <c r="P32" s="1"/>
      <c r="Q32" s="97"/>
      <c r="R32" s="97"/>
      <c r="S32" s="97"/>
      <c r="T32" s="97"/>
      <c r="U32" s="98"/>
      <c r="V32" s="98"/>
      <c r="W32" s="98"/>
      <c r="X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</row>
    <row r="33" spans="1:113">
      <c r="A33" s="23">
        <v>30</v>
      </c>
      <c r="B33" s="40"/>
      <c r="C33" s="96"/>
      <c r="D33" s="96"/>
      <c r="E33" s="96"/>
      <c r="F33" s="96"/>
      <c r="G33" s="96"/>
      <c r="H33" s="97"/>
      <c r="I33" s="98"/>
      <c r="J33" s="98"/>
      <c r="K33" s="98"/>
      <c r="L33" s="97"/>
      <c r="M33" s="98"/>
      <c r="N33" s="16"/>
      <c r="O33" s="1"/>
      <c r="P33" s="1"/>
      <c r="Q33" s="97"/>
      <c r="R33" s="97"/>
      <c r="S33" s="97"/>
      <c r="T33" s="97"/>
      <c r="U33" s="98"/>
      <c r="V33" s="98"/>
      <c r="W33" s="98"/>
      <c r="X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</row>
    <row r="34" spans="1:113">
      <c r="A34" s="23">
        <v>31</v>
      </c>
      <c r="B34" s="38"/>
      <c r="C34" s="11"/>
      <c r="D34" s="11"/>
      <c r="E34" s="11"/>
      <c r="F34" s="11"/>
      <c r="G34" s="11"/>
      <c r="H34" s="97"/>
      <c r="I34" s="98"/>
      <c r="J34" s="98"/>
      <c r="K34" s="98"/>
      <c r="L34" s="97"/>
      <c r="M34" s="98"/>
      <c r="N34" s="16"/>
      <c r="O34" s="1"/>
      <c r="P34" s="1"/>
      <c r="Q34" s="97"/>
      <c r="R34" s="97"/>
      <c r="S34" s="97"/>
      <c r="T34" s="97"/>
      <c r="U34" s="98"/>
      <c r="V34" s="98"/>
      <c r="W34" s="98"/>
      <c r="X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</row>
    <row r="35" spans="1:113">
      <c r="A35" s="23">
        <v>32</v>
      </c>
      <c r="B35" s="40"/>
      <c r="C35" s="96"/>
      <c r="D35" s="96"/>
      <c r="E35" s="96"/>
      <c r="F35" s="96"/>
      <c r="G35" s="96"/>
      <c r="H35" s="97"/>
      <c r="I35" s="98"/>
      <c r="J35" s="98"/>
      <c r="K35" s="98"/>
      <c r="L35" s="97"/>
      <c r="M35" s="98"/>
      <c r="N35" s="16"/>
      <c r="O35" s="1"/>
      <c r="P35" s="1"/>
      <c r="Q35" s="97"/>
      <c r="R35" s="97"/>
      <c r="S35" s="97"/>
      <c r="T35" s="97"/>
      <c r="U35" s="98"/>
      <c r="V35" s="98"/>
      <c r="W35" s="98"/>
      <c r="X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</row>
    <row r="36" spans="1:113">
      <c r="A36" s="23"/>
      <c r="B36" s="9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</row>
    <row r="37" spans="1:113">
      <c r="A37" s="23"/>
      <c r="B37" s="9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</row>
    <row r="38" spans="1:113">
      <c r="A38" s="23"/>
      <c r="B38" s="9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</row>
    <row r="39" spans="1:113">
      <c r="A39" s="23"/>
      <c r="B39" s="9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</row>
    <row r="40" spans="1:113">
      <c r="A40" s="23"/>
      <c r="B40" s="9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</row>
    <row r="41" spans="1:113">
      <c r="A41" s="23"/>
      <c r="B41" s="9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</row>
    <row r="42" spans="1:113">
      <c r="A42" s="23"/>
      <c r="B42" s="9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</row>
    <row r="43" spans="1:113">
      <c r="A43" s="23"/>
      <c r="B43" s="9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</row>
    <row r="44" spans="1:113" s="55" customFormat="1">
      <c r="A44" s="23"/>
      <c r="B44" s="10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</row>
    <row r="45" spans="1:113" s="55" customFormat="1">
      <c r="A45" s="23"/>
      <c r="B45" s="10"/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  <c r="V45" s="8"/>
    </row>
  </sheetData>
  <phoneticPr fontId="1" type="noConversion"/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6030A-4514-4409-82C1-125003D3C22F}">
  <sheetPr codeName="Sheet4">
    <tabColor theme="7" tint="-0.499984740745262"/>
  </sheetPr>
  <dimension ref="A1:CF35"/>
  <sheetViews>
    <sheetView workbookViewId="0">
      <pane xSplit="3" topLeftCell="D1" activePane="topRight" state="frozen"/>
      <selection pane="topRight" activeCell="I18" sqref="I18"/>
    </sheetView>
  </sheetViews>
  <sheetFormatPr defaultRowHeight="17.399999999999999"/>
  <cols>
    <col min="1" max="1" width="3.3984375" style="63" bestFit="1" customWidth="1"/>
    <col min="2" max="2" width="8.796875" style="10"/>
    <col min="3" max="3" width="23.8984375" style="10" customWidth="1"/>
    <col min="4" max="4" width="9.19921875" style="51" bestFit="1" customWidth="1"/>
    <col min="5" max="5" width="2.69921875" style="10" customWidth="1"/>
    <col min="6" max="12" width="8.796875" style="10"/>
    <col min="13" max="19" width="0" style="10" hidden="1" customWidth="1"/>
    <col min="20" max="24" width="8.796875" style="10"/>
    <col min="25" max="31" width="0" style="10" hidden="1" customWidth="1"/>
    <col min="32" max="38" width="8.796875" style="10"/>
    <col min="39" max="45" width="0" style="10" hidden="1" customWidth="1"/>
    <col min="46" max="67" width="8.796875" style="10"/>
    <col min="68" max="74" width="0" style="10" hidden="1" customWidth="1"/>
    <col min="75" max="77" width="8.796875" style="10"/>
    <col min="78" max="79" width="14" style="10" customWidth="1"/>
    <col min="80" max="80" width="21" style="10" bestFit="1" customWidth="1"/>
    <col min="81" max="81" width="15.69921875" style="10" customWidth="1"/>
    <col min="82" max="82" width="15.796875" style="10" customWidth="1"/>
    <col min="83" max="83" width="1.796875" style="10" customWidth="1"/>
    <col min="84" max="84" width="17.59765625" style="10" bestFit="1" customWidth="1"/>
    <col min="85" max="16384" width="8.796875" style="10"/>
  </cols>
  <sheetData>
    <row r="1" spans="1:84" ht="18" thickTop="1">
      <c r="A1" s="71"/>
      <c r="B1" s="72"/>
      <c r="C1" s="73"/>
      <c r="D1" s="100"/>
      <c r="E1" s="73"/>
      <c r="F1" s="74" t="s">
        <v>218</v>
      </c>
      <c r="G1" s="75"/>
      <c r="H1" s="75"/>
      <c r="I1" s="75"/>
      <c r="J1" s="75"/>
      <c r="K1" s="75"/>
      <c r="L1" s="75"/>
      <c r="M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Y1" s="75"/>
      <c r="Z1" s="75"/>
      <c r="AA1" s="75"/>
      <c r="AB1" s="75"/>
      <c r="AC1" s="75"/>
      <c r="AD1" s="75"/>
      <c r="AE1" s="75"/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S1" s="75"/>
      <c r="AT1" s="75"/>
      <c r="AU1" s="75"/>
      <c r="AV1" s="75"/>
      <c r="AW1" s="75"/>
      <c r="AX1" s="75"/>
      <c r="AY1" s="75"/>
      <c r="AZ1" s="75"/>
      <c r="BA1" s="75"/>
      <c r="BB1" s="75"/>
      <c r="BC1" s="75"/>
      <c r="BD1" s="75"/>
      <c r="BE1" s="75"/>
      <c r="BF1" s="75"/>
      <c r="BG1" s="75"/>
      <c r="BH1" s="75"/>
      <c r="BI1" s="75"/>
      <c r="BJ1" s="75"/>
      <c r="BK1" s="75"/>
      <c r="BL1" s="75"/>
      <c r="BM1" s="75"/>
      <c r="BN1" s="75"/>
      <c r="BO1" s="75"/>
      <c r="BP1" s="75"/>
      <c r="BQ1" s="75"/>
      <c r="BR1" s="75"/>
      <c r="BS1" s="75"/>
      <c r="BT1" s="75"/>
      <c r="BU1" s="75"/>
      <c r="BV1" s="75"/>
      <c r="BW1" s="75"/>
      <c r="BX1" s="75"/>
      <c r="BY1" s="75"/>
      <c r="BZ1" s="75"/>
      <c r="CA1" s="75"/>
      <c r="CB1" s="75"/>
      <c r="CC1" s="75"/>
      <c r="CD1" s="75"/>
      <c r="CE1" s="73"/>
      <c r="CF1" s="76"/>
    </row>
    <row r="2" spans="1:84" s="63" customFormat="1">
      <c r="A2" s="77"/>
      <c r="B2" s="78" t="s">
        <v>223</v>
      </c>
      <c r="C2" s="78" t="s">
        <v>224</v>
      </c>
      <c r="D2" s="101"/>
      <c r="E2" s="78"/>
      <c r="F2" s="78">
        <v>1</v>
      </c>
      <c r="G2" s="78">
        <f>F2+1</f>
        <v>2</v>
      </c>
      <c r="H2" s="78">
        <f t="shared" ref="H2:BS2" si="0">G2+1</f>
        <v>3</v>
      </c>
      <c r="I2" s="78">
        <f t="shared" si="0"/>
        <v>4</v>
      </c>
      <c r="J2" s="78">
        <f t="shared" si="0"/>
        <v>5</v>
      </c>
      <c r="K2" s="78">
        <f t="shared" si="0"/>
        <v>6</v>
      </c>
      <c r="L2" s="78">
        <f t="shared" si="0"/>
        <v>7</v>
      </c>
      <c r="M2" s="78">
        <f t="shared" si="0"/>
        <v>8</v>
      </c>
      <c r="N2" s="78">
        <f t="shared" si="0"/>
        <v>9</v>
      </c>
      <c r="O2" s="78">
        <f t="shared" si="0"/>
        <v>10</v>
      </c>
      <c r="P2" s="78">
        <f t="shared" si="0"/>
        <v>11</v>
      </c>
      <c r="Q2" s="78">
        <f t="shared" si="0"/>
        <v>12</v>
      </c>
      <c r="R2" s="78">
        <f t="shared" si="0"/>
        <v>13</v>
      </c>
      <c r="S2" s="78">
        <f t="shared" si="0"/>
        <v>14</v>
      </c>
      <c r="T2" s="78">
        <f t="shared" si="0"/>
        <v>15</v>
      </c>
      <c r="U2" s="78">
        <f t="shared" si="0"/>
        <v>16</v>
      </c>
      <c r="V2" s="78">
        <f t="shared" si="0"/>
        <v>17</v>
      </c>
      <c r="W2" s="78">
        <f t="shared" si="0"/>
        <v>18</v>
      </c>
      <c r="X2" s="78">
        <f t="shared" si="0"/>
        <v>19</v>
      </c>
      <c r="Y2" s="78">
        <f t="shared" si="0"/>
        <v>20</v>
      </c>
      <c r="Z2" s="78">
        <f t="shared" si="0"/>
        <v>21</v>
      </c>
      <c r="AA2" s="78">
        <f t="shared" si="0"/>
        <v>22</v>
      </c>
      <c r="AB2" s="78">
        <f t="shared" si="0"/>
        <v>23</v>
      </c>
      <c r="AC2" s="78">
        <f t="shared" si="0"/>
        <v>24</v>
      </c>
      <c r="AD2" s="78">
        <f t="shared" si="0"/>
        <v>25</v>
      </c>
      <c r="AE2" s="78">
        <f t="shared" si="0"/>
        <v>26</v>
      </c>
      <c r="AF2" s="78">
        <f t="shared" si="0"/>
        <v>27</v>
      </c>
      <c r="AG2" s="78">
        <f t="shared" si="0"/>
        <v>28</v>
      </c>
      <c r="AH2" s="78">
        <f t="shared" si="0"/>
        <v>29</v>
      </c>
      <c r="AI2" s="78">
        <f t="shared" si="0"/>
        <v>30</v>
      </c>
      <c r="AJ2" s="78">
        <f t="shared" si="0"/>
        <v>31</v>
      </c>
      <c r="AK2" s="78">
        <f t="shared" si="0"/>
        <v>32</v>
      </c>
      <c r="AL2" s="78">
        <f t="shared" si="0"/>
        <v>33</v>
      </c>
      <c r="AM2" s="78">
        <f t="shared" si="0"/>
        <v>34</v>
      </c>
      <c r="AN2" s="78">
        <f t="shared" si="0"/>
        <v>35</v>
      </c>
      <c r="AO2" s="78">
        <f t="shared" si="0"/>
        <v>36</v>
      </c>
      <c r="AP2" s="78">
        <f t="shared" si="0"/>
        <v>37</v>
      </c>
      <c r="AQ2" s="78">
        <f t="shared" si="0"/>
        <v>38</v>
      </c>
      <c r="AR2" s="78">
        <f t="shared" si="0"/>
        <v>39</v>
      </c>
      <c r="AS2" s="78">
        <f t="shared" si="0"/>
        <v>40</v>
      </c>
      <c r="AT2" s="78">
        <f t="shared" si="0"/>
        <v>41</v>
      </c>
      <c r="AU2" s="78">
        <f t="shared" si="0"/>
        <v>42</v>
      </c>
      <c r="AV2" s="78">
        <f t="shared" si="0"/>
        <v>43</v>
      </c>
      <c r="AW2" s="78">
        <f t="shared" si="0"/>
        <v>44</v>
      </c>
      <c r="AX2" s="78">
        <f t="shared" si="0"/>
        <v>45</v>
      </c>
      <c r="AY2" s="78">
        <f t="shared" si="0"/>
        <v>46</v>
      </c>
      <c r="AZ2" s="78">
        <f t="shared" si="0"/>
        <v>47</v>
      </c>
      <c r="BA2" s="78">
        <f t="shared" si="0"/>
        <v>48</v>
      </c>
      <c r="BB2" s="78">
        <f t="shared" si="0"/>
        <v>49</v>
      </c>
      <c r="BC2" s="78">
        <f t="shared" si="0"/>
        <v>50</v>
      </c>
      <c r="BD2" s="78">
        <f t="shared" si="0"/>
        <v>51</v>
      </c>
      <c r="BE2" s="78">
        <f t="shared" si="0"/>
        <v>52</v>
      </c>
      <c r="BF2" s="78">
        <f t="shared" si="0"/>
        <v>53</v>
      </c>
      <c r="BG2" s="78">
        <f t="shared" si="0"/>
        <v>54</v>
      </c>
      <c r="BH2" s="78">
        <f t="shared" si="0"/>
        <v>55</v>
      </c>
      <c r="BI2" s="78">
        <f t="shared" si="0"/>
        <v>56</v>
      </c>
      <c r="BJ2" s="78">
        <f t="shared" si="0"/>
        <v>57</v>
      </c>
      <c r="BK2" s="78">
        <f t="shared" si="0"/>
        <v>58</v>
      </c>
      <c r="BL2" s="78">
        <f t="shared" si="0"/>
        <v>59</v>
      </c>
      <c r="BM2" s="78">
        <f t="shared" si="0"/>
        <v>60</v>
      </c>
      <c r="BN2" s="78">
        <f t="shared" si="0"/>
        <v>61</v>
      </c>
      <c r="BO2" s="78">
        <f t="shared" si="0"/>
        <v>62</v>
      </c>
      <c r="BP2" s="78">
        <f t="shared" si="0"/>
        <v>63</v>
      </c>
      <c r="BQ2" s="78">
        <f t="shared" si="0"/>
        <v>64</v>
      </c>
      <c r="BR2" s="78">
        <f t="shared" si="0"/>
        <v>65</v>
      </c>
      <c r="BS2" s="78">
        <f t="shared" si="0"/>
        <v>66</v>
      </c>
      <c r="BT2" s="78">
        <f t="shared" ref="BT2:CA2" si="1">BS2+1</f>
        <v>67</v>
      </c>
      <c r="BU2" s="78">
        <f t="shared" si="1"/>
        <v>68</v>
      </c>
      <c r="BV2" s="78">
        <f t="shared" si="1"/>
        <v>69</v>
      </c>
      <c r="BW2" s="78">
        <f t="shared" si="1"/>
        <v>70</v>
      </c>
      <c r="BX2" s="78">
        <f t="shared" si="1"/>
        <v>71</v>
      </c>
      <c r="BY2" s="78">
        <f t="shared" si="1"/>
        <v>72</v>
      </c>
      <c r="BZ2" s="78">
        <f t="shared" si="1"/>
        <v>73</v>
      </c>
      <c r="CA2" s="78">
        <f t="shared" si="1"/>
        <v>74</v>
      </c>
      <c r="CB2" s="78">
        <f t="shared" ref="CB2" si="2">CA2+1</f>
        <v>75</v>
      </c>
      <c r="CC2" s="78">
        <f t="shared" ref="CC2" si="3">CB2+1</f>
        <v>76</v>
      </c>
      <c r="CD2" s="78">
        <f t="shared" ref="CD2" si="4">CC2+1</f>
        <v>77</v>
      </c>
      <c r="CE2" s="78"/>
      <c r="CF2" s="79"/>
    </row>
    <row r="3" spans="1:84">
      <c r="A3" s="77"/>
      <c r="B3" s="62" t="s">
        <v>59</v>
      </c>
      <c r="C3" s="32">
        <v>1</v>
      </c>
      <c r="D3" s="101"/>
      <c r="E3" s="66"/>
      <c r="F3" s="66" t="s">
        <v>147</v>
      </c>
      <c r="G3" s="80" t="s">
        <v>148</v>
      </c>
      <c r="H3" s="80" t="s">
        <v>149</v>
      </c>
      <c r="I3" s="80" t="s">
        <v>150</v>
      </c>
      <c r="J3" s="80" t="s">
        <v>151</v>
      </c>
      <c r="K3" s="80" t="s">
        <v>152</v>
      </c>
      <c r="L3" s="80" t="s">
        <v>153</v>
      </c>
      <c r="M3" s="80" t="s">
        <v>154</v>
      </c>
      <c r="N3" s="80" t="s">
        <v>155</v>
      </c>
      <c r="O3" s="80" t="s">
        <v>156</v>
      </c>
      <c r="P3" s="80" t="s">
        <v>157</v>
      </c>
      <c r="Q3" s="80" t="s">
        <v>158</v>
      </c>
      <c r="R3" s="80" t="s">
        <v>159</v>
      </c>
      <c r="S3" s="80" t="s">
        <v>160</v>
      </c>
      <c r="T3" s="81" t="s">
        <v>161</v>
      </c>
      <c r="U3" s="81" t="s">
        <v>162</v>
      </c>
      <c r="V3" s="81" t="s">
        <v>163</v>
      </c>
      <c r="W3" s="81" t="s">
        <v>164</v>
      </c>
      <c r="X3" s="81" t="s">
        <v>165</v>
      </c>
      <c r="Y3" s="81" t="s">
        <v>166</v>
      </c>
      <c r="Z3" s="81" t="s">
        <v>167</v>
      </c>
      <c r="AA3" s="81" t="s">
        <v>168</v>
      </c>
      <c r="AB3" s="81" t="s">
        <v>169</v>
      </c>
      <c r="AC3" s="81" t="s">
        <v>170</v>
      </c>
      <c r="AD3" s="81" t="s">
        <v>171</v>
      </c>
      <c r="AE3" s="81" t="s">
        <v>172</v>
      </c>
      <c r="AF3" s="82" t="s">
        <v>173</v>
      </c>
      <c r="AG3" s="83" t="s">
        <v>174</v>
      </c>
      <c r="AH3" s="84" t="s">
        <v>175</v>
      </c>
      <c r="AI3" s="84" t="s">
        <v>176</v>
      </c>
      <c r="AJ3" s="84" t="s">
        <v>177</v>
      </c>
      <c r="AK3" s="84" t="s">
        <v>178</v>
      </c>
      <c r="AL3" s="84" t="s">
        <v>179</v>
      </c>
      <c r="AM3" s="84" t="s">
        <v>180</v>
      </c>
      <c r="AN3" s="84" t="s">
        <v>181</v>
      </c>
      <c r="AO3" s="84" t="s">
        <v>182</v>
      </c>
      <c r="AP3" s="84" t="s">
        <v>183</v>
      </c>
      <c r="AQ3" s="84" t="s">
        <v>184</v>
      </c>
      <c r="AR3" s="84" t="s">
        <v>185</v>
      </c>
      <c r="AS3" s="84" t="s">
        <v>186</v>
      </c>
      <c r="AT3" s="84" t="s">
        <v>187</v>
      </c>
      <c r="AU3" s="85" t="s">
        <v>188</v>
      </c>
      <c r="AV3" s="86" t="s">
        <v>189</v>
      </c>
      <c r="AW3" s="86" t="s">
        <v>190</v>
      </c>
      <c r="AX3" s="86" t="s">
        <v>191</v>
      </c>
      <c r="AY3" s="87" t="s">
        <v>192</v>
      </c>
      <c r="AZ3" s="87" t="s">
        <v>193</v>
      </c>
      <c r="BA3" s="87" t="s">
        <v>194</v>
      </c>
      <c r="BB3" s="87" t="s">
        <v>195</v>
      </c>
      <c r="BC3" s="87" t="s">
        <v>196</v>
      </c>
      <c r="BD3" s="87" t="s">
        <v>197</v>
      </c>
      <c r="BE3" s="87" t="s">
        <v>198</v>
      </c>
      <c r="BF3" s="87" t="s">
        <v>199</v>
      </c>
      <c r="BG3" s="87" t="s">
        <v>200</v>
      </c>
      <c r="BH3" s="87" t="s">
        <v>201</v>
      </c>
      <c r="BI3" s="87" t="s">
        <v>202</v>
      </c>
      <c r="BJ3" s="87" t="s">
        <v>203</v>
      </c>
      <c r="BK3" s="87" t="s">
        <v>204</v>
      </c>
      <c r="BL3" s="87" t="s">
        <v>205</v>
      </c>
      <c r="BM3" s="87" t="s">
        <v>206</v>
      </c>
      <c r="BN3" s="87" t="s">
        <v>207</v>
      </c>
      <c r="BO3" s="87" t="s">
        <v>208</v>
      </c>
      <c r="BP3" s="87" t="s">
        <v>209</v>
      </c>
      <c r="BQ3" s="87" t="s">
        <v>210</v>
      </c>
      <c r="BR3" s="87" t="s">
        <v>211</v>
      </c>
      <c r="BS3" s="87" t="s">
        <v>212</v>
      </c>
      <c r="BT3" s="87" t="s">
        <v>213</v>
      </c>
      <c r="BU3" s="87" t="s">
        <v>214</v>
      </c>
      <c r="BV3" s="87" t="s">
        <v>215</v>
      </c>
      <c r="BW3" s="88" t="s">
        <v>216</v>
      </c>
      <c r="BX3" s="85" t="s">
        <v>219</v>
      </c>
      <c r="BY3" s="86" t="s">
        <v>220</v>
      </c>
      <c r="BZ3" s="89" t="s">
        <v>61</v>
      </c>
      <c r="CA3" s="90" t="s">
        <v>62</v>
      </c>
      <c r="CB3" s="90" t="s">
        <v>221</v>
      </c>
      <c r="CC3" s="90" t="s">
        <v>217</v>
      </c>
      <c r="CD3" s="90" t="s">
        <v>63</v>
      </c>
      <c r="CE3" s="66"/>
      <c r="CF3" s="91"/>
    </row>
    <row r="4" spans="1:84">
      <c r="A4" s="77"/>
      <c r="B4" s="66"/>
      <c r="C4" s="66"/>
      <c r="D4" s="101"/>
      <c r="E4" s="66"/>
      <c r="F4" s="66">
        <v>0</v>
      </c>
      <c r="G4" s="66">
        <v>0</v>
      </c>
      <c r="H4" s="66">
        <v>0</v>
      </c>
      <c r="I4" s="66">
        <v>0</v>
      </c>
      <c r="J4" s="66">
        <v>0</v>
      </c>
      <c r="K4" s="66">
        <v>0</v>
      </c>
      <c r="L4" s="66">
        <v>0</v>
      </c>
      <c r="M4" s="66">
        <v>0</v>
      </c>
      <c r="N4" s="66">
        <v>0</v>
      </c>
      <c r="O4" s="66">
        <v>0</v>
      </c>
      <c r="P4" s="66">
        <v>0</v>
      </c>
      <c r="Q4" s="66">
        <v>0</v>
      </c>
      <c r="R4" s="66">
        <v>0</v>
      </c>
      <c r="S4" s="66">
        <v>0</v>
      </c>
      <c r="T4" s="66">
        <v>0.1</v>
      </c>
      <c r="U4" s="66">
        <v>0</v>
      </c>
      <c r="V4" s="66">
        <v>0</v>
      </c>
      <c r="W4" s="66">
        <v>0</v>
      </c>
      <c r="X4" s="66">
        <v>0</v>
      </c>
      <c r="Y4" s="66">
        <v>0</v>
      </c>
      <c r="Z4" s="66">
        <v>0</v>
      </c>
      <c r="AA4" s="66">
        <v>0</v>
      </c>
      <c r="AB4" s="66">
        <v>0</v>
      </c>
      <c r="AC4" s="66">
        <v>0</v>
      </c>
      <c r="AD4" s="66">
        <v>0</v>
      </c>
      <c r="AE4" s="66">
        <v>0</v>
      </c>
      <c r="AF4" s="66">
        <v>0.1</v>
      </c>
      <c r="AG4" s="66">
        <v>100000</v>
      </c>
      <c r="AH4" s="66">
        <v>100000</v>
      </c>
      <c r="AI4" s="66">
        <v>0</v>
      </c>
      <c r="AJ4" s="66">
        <v>0</v>
      </c>
      <c r="AK4" s="66">
        <v>0</v>
      </c>
      <c r="AL4" s="66">
        <v>0</v>
      </c>
      <c r="AM4" s="66">
        <v>0</v>
      </c>
      <c r="AN4" s="66">
        <v>0</v>
      </c>
      <c r="AO4" s="66">
        <v>0</v>
      </c>
      <c r="AP4" s="66">
        <v>0</v>
      </c>
      <c r="AQ4" s="66">
        <v>0</v>
      </c>
      <c r="AR4" s="66">
        <v>0</v>
      </c>
      <c r="AS4" s="66">
        <v>0</v>
      </c>
      <c r="AT4" s="66">
        <v>100000</v>
      </c>
      <c r="AU4" s="66">
        <v>100000</v>
      </c>
      <c r="AV4" s="66">
        <v>100000</v>
      </c>
      <c r="AW4" s="66">
        <v>986621.63488685829</v>
      </c>
      <c r="AX4" s="66">
        <v>644337.48787732131</v>
      </c>
      <c r="AY4" s="66">
        <v>9889.3635286829758</v>
      </c>
      <c r="AZ4" s="66">
        <v>0</v>
      </c>
      <c r="BA4" s="66">
        <v>0</v>
      </c>
      <c r="BB4" s="66">
        <v>0</v>
      </c>
      <c r="BC4" s="66">
        <v>0</v>
      </c>
      <c r="BD4" s="66">
        <v>0</v>
      </c>
      <c r="BE4" s="66">
        <v>0</v>
      </c>
      <c r="BF4" s="66">
        <v>0</v>
      </c>
      <c r="BG4" s="66">
        <v>0</v>
      </c>
      <c r="BH4" s="66">
        <v>0</v>
      </c>
      <c r="BI4" s="66">
        <v>0</v>
      </c>
      <c r="BJ4" s="66">
        <v>0</v>
      </c>
      <c r="BK4" s="66">
        <v>97570.600126596677</v>
      </c>
      <c r="BL4" s="66">
        <v>0</v>
      </c>
      <c r="BM4" s="66">
        <v>0</v>
      </c>
      <c r="BN4" s="66">
        <v>0</v>
      </c>
      <c r="BO4" s="66">
        <v>0</v>
      </c>
      <c r="BP4" s="66">
        <v>0</v>
      </c>
      <c r="BQ4" s="66">
        <v>0</v>
      </c>
      <c r="BR4" s="66">
        <v>0</v>
      </c>
      <c r="BS4" s="66">
        <v>0</v>
      </c>
      <c r="BT4" s="66">
        <v>0</v>
      </c>
      <c r="BU4" s="66">
        <v>0</v>
      </c>
      <c r="BV4" s="66">
        <v>0</v>
      </c>
      <c r="BW4" s="66">
        <v>84709.382657025271</v>
      </c>
      <c r="BX4" s="66">
        <v>0</v>
      </c>
      <c r="BY4" s="66">
        <v>0</v>
      </c>
      <c r="BZ4" s="66">
        <v>1.2108983274209784E-2</v>
      </c>
      <c r="CA4" s="66">
        <v>0.13759338945734487</v>
      </c>
      <c r="CB4" s="66">
        <v>0.13759338945734487</v>
      </c>
      <c r="CC4" s="66">
        <v>0.13759338945734487</v>
      </c>
      <c r="CD4" s="66">
        <v>2.7938804643517862E-2</v>
      </c>
      <c r="CE4" s="66"/>
      <c r="CF4" s="91"/>
    </row>
    <row r="5" spans="1:84">
      <c r="A5" s="77">
        <v>1</v>
      </c>
      <c r="B5" s="61" t="s">
        <v>31</v>
      </c>
      <c r="C5" s="32" cm="1">
        <f t="array" aca="1" ref="C5:C26" ca="1">TRANSPOSE(OFFSET(Tab대상건[[#This Row],[담보코드]], $C$3, 0, 1, 22))</f>
        <v>1</v>
      </c>
      <c r="D5" s="101"/>
      <c r="E5" s="66"/>
      <c r="F5" s="66">
        <v>1</v>
      </c>
      <c r="G5" s="66">
        <v>0</v>
      </c>
      <c r="H5" s="66">
        <v>0</v>
      </c>
      <c r="I5" s="66">
        <v>0</v>
      </c>
      <c r="J5" s="66">
        <v>0</v>
      </c>
      <c r="K5" s="66">
        <v>0</v>
      </c>
      <c r="L5" s="66">
        <v>0</v>
      </c>
      <c r="M5" s="66">
        <v>0</v>
      </c>
      <c r="N5" s="66">
        <v>0</v>
      </c>
      <c r="O5" s="66">
        <v>0</v>
      </c>
      <c r="P5" s="66">
        <v>0</v>
      </c>
      <c r="Q5" s="66">
        <v>0</v>
      </c>
      <c r="R5" s="66">
        <v>0</v>
      </c>
      <c r="S5" s="66">
        <v>0</v>
      </c>
      <c r="T5" s="66">
        <v>0.1</v>
      </c>
      <c r="U5" s="66">
        <v>0</v>
      </c>
      <c r="V5" s="66">
        <v>0</v>
      </c>
      <c r="W5" s="66">
        <v>0</v>
      </c>
      <c r="X5" s="66">
        <v>0</v>
      </c>
      <c r="Y5" s="66">
        <v>0</v>
      </c>
      <c r="Z5" s="66">
        <v>0</v>
      </c>
      <c r="AA5" s="66">
        <v>0</v>
      </c>
      <c r="AB5" s="66">
        <v>0</v>
      </c>
      <c r="AC5" s="66">
        <v>0</v>
      </c>
      <c r="AD5" s="66">
        <v>0</v>
      </c>
      <c r="AE5" s="66">
        <v>0</v>
      </c>
      <c r="AF5" s="66">
        <v>0.1</v>
      </c>
      <c r="AG5" s="66">
        <v>100000</v>
      </c>
      <c r="AH5" s="66">
        <v>100000</v>
      </c>
      <c r="AI5" s="66">
        <v>0</v>
      </c>
      <c r="AJ5" s="66">
        <v>0</v>
      </c>
      <c r="AK5" s="66">
        <v>0</v>
      </c>
      <c r="AL5" s="66">
        <v>0</v>
      </c>
      <c r="AM5" s="66">
        <v>0</v>
      </c>
      <c r="AN5" s="66">
        <v>0</v>
      </c>
      <c r="AO5" s="66">
        <v>0</v>
      </c>
      <c r="AP5" s="66">
        <v>0</v>
      </c>
      <c r="AQ5" s="66">
        <v>0</v>
      </c>
      <c r="AR5" s="66">
        <v>0</v>
      </c>
      <c r="AS5" s="66">
        <v>0</v>
      </c>
      <c r="AT5" s="66">
        <v>92500</v>
      </c>
      <c r="AU5" s="66">
        <v>97799.511002444982</v>
      </c>
      <c r="AV5" s="66">
        <v>90464.547677261609</v>
      </c>
      <c r="AW5" s="66">
        <v>886621.63488685829</v>
      </c>
      <c r="AX5" s="66">
        <v>544337.48787732131</v>
      </c>
      <c r="AY5" s="66">
        <v>9671.7491723060884</v>
      </c>
      <c r="AZ5" s="66">
        <v>0</v>
      </c>
      <c r="BA5" s="66">
        <v>0</v>
      </c>
      <c r="BB5" s="66">
        <v>0</v>
      </c>
      <c r="BC5" s="66">
        <v>0</v>
      </c>
      <c r="BD5" s="66">
        <v>0</v>
      </c>
      <c r="BE5" s="66">
        <v>0</v>
      </c>
      <c r="BF5" s="66">
        <v>0</v>
      </c>
      <c r="BG5" s="66">
        <v>0</v>
      </c>
      <c r="BH5" s="66">
        <v>0</v>
      </c>
      <c r="BI5" s="66">
        <v>0</v>
      </c>
      <c r="BJ5" s="66">
        <v>0</v>
      </c>
      <c r="BK5" s="66">
        <v>87681.236597913696</v>
      </c>
      <c r="BL5" s="66">
        <v>0</v>
      </c>
      <c r="BM5" s="66">
        <v>0</v>
      </c>
      <c r="BN5" s="66">
        <v>0</v>
      </c>
      <c r="BO5" s="66">
        <v>0</v>
      </c>
      <c r="BP5" s="66">
        <v>0</v>
      </c>
      <c r="BQ5" s="66">
        <v>0</v>
      </c>
      <c r="BR5" s="66">
        <v>0</v>
      </c>
      <c r="BS5" s="66">
        <v>0</v>
      </c>
      <c r="BT5" s="66">
        <v>0</v>
      </c>
      <c r="BU5" s="66">
        <v>0</v>
      </c>
      <c r="BV5" s="66">
        <v>0</v>
      </c>
      <c r="BW5" s="66">
        <v>79764.700892683788</v>
      </c>
      <c r="BX5" s="66">
        <v>9.0129869679743541E-2</v>
      </c>
      <c r="BY5" s="66">
        <v>3.0304131340881453E-2</v>
      </c>
      <c r="BZ5" s="41">
        <v>1211</v>
      </c>
      <c r="CA5" s="64">
        <v>13759</v>
      </c>
      <c r="CB5" s="64">
        <v>13759</v>
      </c>
      <c r="CC5" s="64">
        <v>13759</v>
      </c>
      <c r="CD5" s="40">
        <v>2794</v>
      </c>
      <c r="CE5" s="66"/>
      <c r="CF5" s="92" t="s">
        <v>222</v>
      </c>
    </row>
    <row r="6" spans="1:84">
      <c r="A6" s="77">
        <f>A5+1</f>
        <v>2</v>
      </c>
      <c r="B6" s="61" t="s">
        <v>32</v>
      </c>
      <c r="C6" s="105" t="str">
        <f ca="1"/>
        <v>가라로 만든거</v>
      </c>
      <c r="D6" s="101"/>
      <c r="E6" s="66"/>
      <c r="F6" s="66">
        <v>2</v>
      </c>
      <c r="G6" s="66">
        <v>0</v>
      </c>
      <c r="H6" s="66">
        <v>0</v>
      </c>
      <c r="I6" s="66">
        <v>0</v>
      </c>
      <c r="J6" s="66">
        <v>0</v>
      </c>
      <c r="K6" s="66">
        <v>0</v>
      </c>
      <c r="L6" s="66">
        <v>0</v>
      </c>
      <c r="M6" s="66">
        <v>0</v>
      </c>
      <c r="N6" s="66">
        <v>0</v>
      </c>
      <c r="O6" s="66">
        <v>0</v>
      </c>
      <c r="P6" s="66">
        <v>0</v>
      </c>
      <c r="Q6" s="66">
        <v>0</v>
      </c>
      <c r="R6" s="66">
        <v>0</v>
      </c>
      <c r="S6" s="66">
        <v>0</v>
      </c>
      <c r="T6" s="66">
        <v>0.1</v>
      </c>
      <c r="U6" s="66">
        <v>0</v>
      </c>
      <c r="V6" s="66">
        <v>0</v>
      </c>
      <c r="W6" s="66">
        <v>0</v>
      </c>
      <c r="X6" s="66">
        <v>0</v>
      </c>
      <c r="Y6" s="66">
        <v>0</v>
      </c>
      <c r="Z6" s="66">
        <v>0</v>
      </c>
      <c r="AA6" s="66">
        <v>0</v>
      </c>
      <c r="AB6" s="66">
        <v>0</v>
      </c>
      <c r="AC6" s="66">
        <v>0</v>
      </c>
      <c r="AD6" s="66">
        <v>0</v>
      </c>
      <c r="AE6" s="66">
        <v>0</v>
      </c>
      <c r="AF6" s="66">
        <v>0.1</v>
      </c>
      <c r="AG6" s="66">
        <v>100000</v>
      </c>
      <c r="AH6" s="66">
        <v>100000</v>
      </c>
      <c r="AI6" s="66">
        <v>0</v>
      </c>
      <c r="AJ6" s="66">
        <v>0</v>
      </c>
      <c r="AK6" s="66">
        <v>0</v>
      </c>
      <c r="AL6" s="66">
        <v>0</v>
      </c>
      <c r="AM6" s="66">
        <v>0</v>
      </c>
      <c r="AN6" s="66">
        <v>0</v>
      </c>
      <c r="AO6" s="66">
        <v>0</v>
      </c>
      <c r="AP6" s="66">
        <v>0</v>
      </c>
      <c r="AQ6" s="66">
        <v>0</v>
      </c>
      <c r="AR6" s="66">
        <v>0</v>
      </c>
      <c r="AS6" s="66">
        <v>0</v>
      </c>
      <c r="AT6" s="66">
        <v>83250</v>
      </c>
      <c r="AU6" s="66">
        <v>95647.44352317357</v>
      </c>
      <c r="AV6" s="66">
        <v>79626.496733042004</v>
      </c>
      <c r="AW6" s="66">
        <v>788822.12388441327</v>
      </c>
      <c r="AX6" s="66">
        <v>453872.94020005973</v>
      </c>
      <c r="AY6" s="66">
        <v>9458.9233958983732</v>
      </c>
      <c r="AZ6" s="66">
        <v>0</v>
      </c>
      <c r="BA6" s="66">
        <v>0</v>
      </c>
      <c r="BB6" s="66">
        <v>0</v>
      </c>
      <c r="BC6" s="66">
        <v>0</v>
      </c>
      <c r="BD6" s="66">
        <v>0</v>
      </c>
      <c r="BE6" s="66">
        <v>0</v>
      </c>
      <c r="BF6" s="66">
        <v>0</v>
      </c>
      <c r="BG6" s="66">
        <v>0</v>
      </c>
      <c r="BH6" s="66">
        <v>0</v>
      </c>
      <c r="BI6" s="66">
        <v>0</v>
      </c>
      <c r="BJ6" s="66">
        <v>0</v>
      </c>
      <c r="BK6" s="66">
        <v>78009.4874256076</v>
      </c>
      <c r="BL6" s="66">
        <v>0</v>
      </c>
      <c r="BM6" s="66">
        <v>0</v>
      </c>
      <c r="BN6" s="66">
        <v>0</v>
      </c>
      <c r="BO6" s="66">
        <v>0</v>
      </c>
      <c r="BP6" s="66">
        <v>0</v>
      </c>
      <c r="BQ6" s="66">
        <v>0</v>
      </c>
      <c r="BR6" s="66">
        <v>0</v>
      </c>
      <c r="BS6" s="66">
        <v>0</v>
      </c>
      <c r="BT6" s="66">
        <v>0</v>
      </c>
      <c r="BU6" s="66">
        <v>0</v>
      </c>
      <c r="BV6" s="66">
        <v>0</v>
      </c>
      <c r="BW6" s="66">
        <v>70092.951720377692</v>
      </c>
      <c r="BX6" s="66">
        <v>0.12117659733287922</v>
      </c>
      <c r="BY6" s="66">
        <v>7.132181538382748E-2</v>
      </c>
      <c r="BZ6" s="65"/>
      <c r="CA6" s="66"/>
      <c r="CB6" s="66"/>
      <c r="CC6" s="66"/>
      <c r="CD6" s="67"/>
      <c r="CE6" s="66"/>
      <c r="CF6" s="91"/>
    </row>
    <row r="7" spans="1:84">
      <c r="A7" s="77">
        <f t="shared" ref="A7:A26" si="5">A6+1</f>
        <v>3</v>
      </c>
      <c r="B7" s="61" t="s">
        <v>33</v>
      </c>
      <c r="C7" s="32">
        <f ca="1"/>
        <v>0</v>
      </c>
      <c r="D7" s="101"/>
      <c r="E7" s="66"/>
      <c r="F7" s="66">
        <v>3</v>
      </c>
      <c r="G7" s="66">
        <v>0</v>
      </c>
      <c r="H7" s="66">
        <v>0</v>
      </c>
      <c r="I7" s="66">
        <v>0</v>
      </c>
      <c r="J7" s="66">
        <v>0</v>
      </c>
      <c r="K7" s="66">
        <v>0</v>
      </c>
      <c r="L7" s="66">
        <v>0</v>
      </c>
      <c r="M7" s="66">
        <v>0</v>
      </c>
      <c r="N7" s="66">
        <v>0</v>
      </c>
      <c r="O7" s="66">
        <v>0</v>
      </c>
      <c r="P7" s="66">
        <v>0</v>
      </c>
      <c r="Q7" s="66">
        <v>0</v>
      </c>
      <c r="R7" s="66">
        <v>0</v>
      </c>
      <c r="S7" s="66">
        <v>0</v>
      </c>
      <c r="T7" s="66">
        <v>0.1</v>
      </c>
      <c r="U7" s="66">
        <v>0</v>
      </c>
      <c r="V7" s="66">
        <v>0</v>
      </c>
      <c r="W7" s="66">
        <v>0</v>
      </c>
      <c r="X7" s="66">
        <v>0</v>
      </c>
      <c r="Y7" s="66">
        <v>0</v>
      </c>
      <c r="Z7" s="66">
        <v>0</v>
      </c>
      <c r="AA7" s="66">
        <v>0</v>
      </c>
      <c r="AB7" s="66">
        <v>0</v>
      </c>
      <c r="AC7" s="66">
        <v>0</v>
      </c>
      <c r="AD7" s="66">
        <v>0</v>
      </c>
      <c r="AE7" s="66">
        <v>0</v>
      </c>
      <c r="AF7" s="66">
        <v>0.1</v>
      </c>
      <c r="AG7" s="66">
        <v>100000</v>
      </c>
      <c r="AH7" s="66">
        <v>100000</v>
      </c>
      <c r="AI7" s="66">
        <v>0</v>
      </c>
      <c r="AJ7" s="66">
        <v>0</v>
      </c>
      <c r="AK7" s="66">
        <v>0</v>
      </c>
      <c r="AL7" s="66">
        <v>0</v>
      </c>
      <c r="AM7" s="66">
        <v>0</v>
      </c>
      <c r="AN7" s="66">
        <v>0</v>
      </c>
      <c r="AO7" s="66">
        <v>0</v>
      </c>
      <c r="AP7" s="66">
        <v>0</v>
      </c>
      <c r="AQ7" s="66">
        <v>0</v>
      </c>
      <c r="AR7" s="66">
        <v>0</v>
      </c>
      <c r="AS7" s="66">
        <v>0</v>
      </c>
      <c r="AT7" s="66">
        <v>74925</v>
      </c>
      <c r="AU7" s="66">
        <v>93542.732052003485</v>
      </c>
      <c r="AV7" s="66">
        <v>70086.891989963609</v>
      </c>
      <c r="AW7" s="66">
        <v>693174.68036123971</v>
      </c>
      <c r="AX7" s="66">
        <v>374246.44346701773</v>
      </c>
      <c r="AY7" s="66">
        <v>9250.7808272844723</v>
      </c>
      <c r="AZ7" s="66">
        <v>0</v>
      </c>
      <c r="BA7" s="66">
        <v>0</v>
      </c>
      <c r="BB7" s="66">
        <v>0</v>
      </c>
      <c r="BC7" s="66">
        <v>0</v>
      </c>
      <c r="BD7" s="66">
        <v>0</v>
      </c>
      <c r="BE7" s="66">
        <v>0</v>
      </c>
      <c r="BF7" s="66">
        <v>0</v>
      </c>
      <c r="BG7" s="66">
        <v>0</v>
      </c>
      <c r="BH7" s="66">
        <v>0</v>
      </c>
      <c r="BI7" s="66">
        <v>0</v>
      </c>
      <c r="BJ7" s="66">
        <v>0</v>
      </c>
      <c r="BK7" s="66">
        <v>68550.564029709232</v>
      </c>
      <c r="BL7" s="66">
        <v>0</v>
      </c>
      <c r="BM7" s="66">
        <v>0</v>
      </c>
      <c r="BN7" s="66">
        <v>0</v>
      </c>
      <c r="BO7" s="66">
        <v>0</v>
      </c>
      <c r="BP7" s="66">
        <v>0</v>
      </c>
      <c r="BQ7" s="66">
        <v>0</v>
      </c>
      <c r="BR7" s="66">
        <v>0</v>
      </c>
      <c r="BS7" s="66">
        <v>0</v>
      </c>
      <c r="BT7" s="66">
        <v>0</v>
      </c>
      <c r="BU7" s="66">
        <v>0</v>
      </c>
      <c r="BV7" s="66">
        <v>0</v>
      </c>
      <c r="BW7" s="66">
        <v>60634.028324479317</v>
      </c>
      <c r="BX7" s="66">
        <v>0.13990812159159807</v>
      </c>
      <c r="BY7" s="66">
        <v>0.10002429603235669</v>
      </c>
      <c r="BZ7" s="65"/>
      <c r="CA7" s="66"/>
      <c r="CB7" s="66"/>
      <c r="CC7" s="66"/>
      <c r="CD7" s="67"/>
      <c r="CE7" s="66"/>
      <c r="CF7" s="91"/>
    </row>
    <row r="8" spans="1:84">
      <c r="A8" s="77">
        <f t="shared" si="5"/>
        <v>4</v>
      </c>
      <c r="B8" s="61" t="s">
        <v>34</v>
      </c>
      <c r="C8" s="32">
        <f ca="1"/>
        <v>0</v>
      </c>
      <c r="D8" s="101"/>
      <c r="E8" s="66"/>
      <c r="F8" s="66">
        <v>4</v>
      </c>
      <c r="G8" s="66">
        <v>0</v>
      </c>
      <c r="H8" s="66">
        <v>0</v>
      </c>
      <c r="I8" s="66">
        <v>0</v>
      </c>
      <c r="J8" s="66">
        <v>0</v>
      </c>
      <c r="K8" s="66">
        <v>0</v>
      </c>
      <c r="L8" s="66">
        <v>0</v>
      </c>
      <c r="M8" s="66">
        <v>0</v>
      </c>
      <c r="N8" s="66">
        <v>0</v>
      </c>
      <c r="O8" s="66">
        <v>0</v>
      </c>
      <c r="P8" s="66">
        <v>0</v>
      </c>
      <c r="Q8" s="66">
        <v>0</v>
      </c>
      <c r="R8" s="66">
        <v>0</v>
      </c>
      <c r="S8" s="66">
        <v>0</v>
      </c>
      <c r="T8" s="66">
        <v>0.1</v>
      </c>
      <c r="U8" s="66">
        <v>0</v>
      </c>
      <c r="V8" s="66">
        <v>0</v>
      </c>
      <c r="W8" s="66">
        <v>0</v>
      </c>
      <c r="X8" s="66">
        <v>0</v>
      </c>
      <c r="Y8" s="66">
        <v>0</v>
      </c>
      <c r="Z8" s="66">
        <v>0</v>
      </c>
      <c r="AA8" s="66">
        <v>0</v>
      </c>
      <c r="AB8" s="66">
        <v>0</v>
      </c>
      <c r="AC8" s="66">
        <v>0</v>
      </c>
      <c r="AD8" s="66">
        <v>0</v>
      </c>
      <c r="AE8" s="66">
        <v>0</v>
      </c>
      <c r="AF8" s="66">
        <v>0.1</v>
      </c>
      <c r="AG8" s="66">
        <v>100000</v>
      </c>
      <c r="AH8" s="66">
        <v>100000</v>
      </c>
      <c r="AI8" s="66">
        <v>0</v>
      </c>
      <c r="AJ8" s="66">
        <v>0</v>
      </c>
      <c r="AK8" s="66">
        <v>0</v>
      </c>
      <c r="AL8" s="66">
        <v>0</v>
      </c>
      <c r="AM8" s="66">
        <v>0</v>
      </c>
      <c r="AN8" s="66">
        <v>0</v>
      </c>
      <c r="AO8" s="66">
        <v>0</v>
      </c>
      <c r="AP8" s="66">
        <v>0</v>
      </c>
      <c r="AQ8" s="66">
        <v>0</v>
      </c>
      <c r="AR8" s="66">
        <v>0</v>
      </c>
      <c r="AS8" s="66">
        <v>0</v>
      </c>
      <c r="AT8" s="66">
        <v>67432.5</v>
      </c>
      <c r="AU8" s="66">
        <v>91484.334525186787</v>
      </c>
      <c r="AV8" s="66">
        <v>61690.17387869658</v>
      </c>
      <c r="AW8" s="66">
        <v>599631.94830923621</v>
      </c>
      <c r="AX8" s="66">
        <v>304159.55147705413</v>
      </c>
      <c r="AY8" s="66">
        <v>9047.2184129921479</v>
      </c>
      <c r="AZ8" s="66">
        <v>0</v>
      </c>
      <c r="BA8" s="66">
        <v>0</v>
      </c>
      <c r="BB8" s="66">
        <v>0</v>
      </c>
      <c r="BC8" s="66">
        <v>0</v>
      </c>
      <c r="BD8" s="66">
        <v>0</v>
      </c>
      <c r="BE8" s="66">
        <v>0</v>
      </c>
      <c r="BF8" s="66">
        <v>0</v>
      </c>
      <c r="BG8" s="66">
        <v>0</v>
      </c>
      <c r="BH8" s="66">
        <v>0</v>
      </c>
      <c r="BI8" s="66">
        <v>0</v>
      </c>
      <c r="BJ8" s="66">
        <v>0</v>
      </c>
      <c r="BK8" s="66">
        <v>59299.783202424762</v>
      </c>
      <c r="BL8" s="66">
        <v>0</v>
      </c>
      <c r="BM8" s="66">
        <v>0</v>
      </c>
      <c r="BN8" s="66">
        <v>0</v>
      </c>
      <c r="BO8" s="66">
        <v>0</v>
      </c>
      <c r="BP8" s="66">
        <v>0</v>
      </c>
      <c r="BQ8" s="66">
        <v>0</v>
      </c>
      <c r="BR8" s="66">
        <v>0</v>
      </c>
      <c r="BS8" s="66">
        <v>0</v>
      </c>
      <c r="BT8" s="66">
        <v>0</v>
      </c>
      <c r="BU8" s="66">
        <v>0</v>
      </c>
      <c r="BV8" s="66">
        <v>0</v>
      </c>
      <c r="BW8" s="66">
        <v>51383.247497194847</v>
      </c>
      <c r="BX8" s="66">
        <v>0.14734872585618686</v>
      </c>
      <c r="BY8" s="66">
        <v>0.11743585668675581</v>
      </c>
      <c r="BZ8" s="65"/>
      <c r="CA8" s="66"/>
      <c r="CB8" s="66"/>
      <c r="CC8" s="66"/>
      <c r="CD8" s="67"/>
      <c r="CE8" s="66"/>
      <c r="CF8" s="91"/>
    </row>
    <row r="9" spans="1:84">
      <c r="A9" s="77">
        <f t="shared" si="5"/>
        <v>5</v>
      </c>
      <c r="B9" s="61" t="s">
        <v>35</v>
      </c>
      <c r="C9" s="32">
        <f ca="1"/>
        <v>0</v>
      </c>
      <c r="D9" s="101"/>
      <c r="E9" s="66"/>
      <c r="F9" s="66">
        <v>5</v>
      </c>
      <c r="G9" s="66">
        <v>0</v>
      </c>
      <c r="H9" s="66">
        <v>0</v>
      </c>
      <c r="I9" s="66">
        <v>0</v>
      </c>
      <c r="J9" s="66">
        <v>0</v>
      </c>
      <c r="K9" s="66">
        <v>0</v>
      </c>
      <c r="L9" s="66">
        <v>0</v>
      </c>
      <c r="M9" s="66">
        <v>0</v>
      </c>
      <c r="N9" s="66">
        <v>0</v>
      </c>
      <c r="O9" s="66">
        <v>0</v>
      </c>
      <c r="P9" s="66">
        <v>0</v>
      </c>
      <c r="Q9" s="66">
        <v>0</v>
      </c>
      <c r="R9" s="66">
        <v>0</v>
      </c>
      <c r="S9" s="66">
        <v>0</v>
      </c>
      <c r="T9" s="66">
        <v>0.1</v>
      </c>
      <c r="U9" s="66">
        <v>0</v>
      </c>
      <c r="V9" s="66">
        <v>0</v>
      </c>
      <c r="W9" s="66">
        <v>0</v>
      </c>
      <c r="X9" s="66">
        <v>0</v>
      </c>
      <c r="Y9" s="66">
        <v>0</v>
      </c>
      <c r="Z9" s="66">
        <v>0</v>
      </c>
      <c r="AA9" s="66">
        <v>0</v>
      </c>
      <c r="AB9" s="66">
        <v>0</v>
      </c>
      <c r="AC9" s="66">
        <v>0</v>
      </c>
      <c r="AD9" s="66">
        <v>0</v>
      </c>
      <c r="AE9" s="66">
        <v>0</v>
      </c>
      <c r="AF9" s="66">
        <v>0.1</v>
      </c>
      <c r="AG9" s="66">
        <v>100000</v>
      </c>
      <c r="AH9" s="66">
        <v>100000</v>
      </c>
      <c r="AI9" s="66">
        <v>0</v>
      </c>
      <c r="AJ9" s="66">
        <v>0</v>
      </c>
      <c r="AK9" s="66">
        <v>0</v>
      </c>
      <c r="AL9" s="66">
        <v>0</v>
      </c>
      <c r="AM9" s="66">
        <v>0</v>
      </c>
      <c r="AN9" s="66">
        <v>0</v>
      </c>
      <c r="AO9" s="66">
        <v>0</v>
      </c>
      <c r="AP9" s="66">
        <v>0</v>
      </c>
      <c r="AQ9" s="66">
        <v>0</v>
      </c>
      <c r="AR9" s="66">
        <v>0</v>
      </c>
      <c r="AS9" s="66">
        <v>0</v>
      </c>
      <c r="AT9" s="66">
        <v>60689.25</v>
      </c>
      <c r="AU9" s="66">
        <v>89471.231809473611</v>
      </c>
      <c r="AV9" s="66">
        <v>54299.419550930965</v>
      </c>
      <c r="AW9" s="66">
        <v>508147.6137840494</v>
      </c>
      <c r="AX9" s="66">
        <v>242469.37759835756</v>
      </c>
      <c r="AY9" s="66">
        <v>8848.1353672294845</v>
      </c>
      <c r="AZ9" s="66">
        <v>0</v>
      </c>
      <c r="BA9" s="66">
        <v>0</v>
      </c>
      <c r="BB9" s="66">
        <v>0</v>
      </c>
      <c r="BC9" s="66">
        <v>0</v>
      </c>
      <c r="BD9" s="66">
        <v>0</v>
      </c>
      <c r="BE9" s="66">
        <v>0</v>
      </c>
      <c r="BF9" s="66">
        <v>0</v>
      </c>
      <c r="BG9" s="66">
        <v>0</v>
      </c>
      <c r="BH9" s="66">
        <v>0</v>
      </c>
      <c r="BI9" s="66">
        <v>0</v>
      </c>
      <c r="BJ9" s="66">
        <v>0</v>
      </c>
      <c r="BK9" s="66">
        <v>50252.56478943261</v>
      </c>
      <c r="BL9" s="66">
        <v>0</v>
      </c>
      <c r="BM9" s="66">
        <v>0</v>
      </c>
      <c r="BN9" s="66">
        <v>0</v>
      </c>
      <c r="BO9" s="66">
        <v>0</v>
      </c>
      <c r="BP9" s="66">
        <v>0</v>
      </c>
      <c r="BQ9" s="66">
        <v>0</v>
      </c>
      <c r="BR9" s="66">
        <v>0</v>
      </c>
      <c r="BS9" s="66">
        <v>0</v>
      </c>
      <c r="BT9" s="66">
        <v>0</v>
      </c>
      <c r="BU9" s="66">
        <v>0</v>
      </c>
      <c r="BV9" s="66">
        <v>0</v>
      </c>
      <c r="BW9" s="66">
        <v>42336.029084202695</v>
      </c>
      <c r="BX9" s="66">
        <v>0.14441560235577275</v>
      </c>
      <c r="BY9" s="66">
        <v>0.12447368957615206</v>
      </c>
      <c r="BZ9" s="65"/>
      <c r="CA9" s="66"/>
      <c r="CB9" s="66"/>
      <c r="CC9" s="66"/>
      <c r="CD9" s="67"/>
      <c r="CE9" s="66"/>
      <c r="CF9" s="91"/>
    </row>
    <row r="10" spans="1:84">
      <c r="A10" s="77">
        <f t="shared" si="5"/>
        <v>6</v>
      </c>
      <c r="B10" s="61" t="s">
        <v>36</v>
      </c>
      <c r="C10" s="32">
        <f ca="1"/>
        <v>0</v>
      </c>
      <c r="D10" s="103"/>
      <c r="E10" s="66"/>
      <c r="F10" s="66">
        <v>6</v>
      </c>
      <c r="G10" s="66">
        <v>0</v>
      </c>
      <c r="H10" s="66">
        <v>0</v>
      </c>
      <c r="I10" s="66">
        <v>0</v>
      </c>
      <c r="J10" s="66">
        <v>0</v>
      </c>
      <c r="K10" s="66">
        <v>0</v>
      </c>
      <c r="L10" s="66">
        <v>0</v>
      </c>
      <c r="M10" s="66">
        <v>0</v>
      </c>
      <c r="N10" s="66">
        <v>0</v>
      </c>
      <c r="O10" s="66">
        <v>0</v>
      </c>
      <c r="P10" s="66">
        <v>0</v>
      </c>
      <c r="Q10" s="66">
        <v>0</v>
      </c>
      <c r="R10" s="66">
        <v>0</v>
      </c>
      <c r="S10" s="66">
        <v>0</v>
      </c>
      <c r="T10" s="66">
        <v>0.1</v>
      </c>
      <c r="U10" s="66">
        <v>0</v>
      </c>
      <c r="V10" s="66">
        <v>0</v>
      </c>
      <c r="W10" s="66">
        <v>0</v>
      </c>
      <c r="X10" s="66">
        <v>0</v>
      </c>
      <c r="Y10" s="66">
        <v>0</v>
      </c>
      <c r="Z10" s="66">
        <v>0</v>
      </c>
      <c r="AA10" s="66">
        <v>0</v>
      </c>
      <c r="AB10" s="66">
        <v>0</v>
      </c>
      <c r="AC10" s="66">
        <v>0</v>
      </c>
      <c r="AD10" s="66">
        <v>0</v>
      </c>
      <c r="AE10" s="66">
        <v>0</v>
      </c>
      <c r="AF10" s="66">
        <v>0.1</v>
      </c>
      <c r="AG10" s="66">
        <v>100000</v>
      </c>
      <c r="AH10" s="66">
        <v>100000</v>
      </c>
      <c r="AI10" s="66">
        <v>0</v>
      </c>
      <c r="AJ10" s="66">
        <v>0</v>
      </c>
      <c r="AK10" s="66">
        <v>0</v>
      </c>
      <c r="AL10" s="66">
        <v>0</v>
      </c>
      <c r="AM10" s="66">
        <v>0</v>
      </c>
      <c r="AN10" s="66">
        <v>0</v>
      </c>
      <c r="AO10" s="66">
        <v>0</v>
      </c>
      <c r="AP10" s="66">
        <v>0</v>
      </c>
      <c r="AQ10" s="66">
        <v>0</v>
      </c>
      <c r="AR10" s="66">
        <v>0</v>
      </c>
      <c r="AS10" s="66">
        <v>0</v>
      </c>
      <c r="AT10" s="66">
        <v>54620.324999999997</v>
      </c>
      <c r="AU10" s="66">
        <v>87502.427197529207</v>
      </c>
      <c r="AV10" s="66">
        <v>47794.11011817884</v>
      </c>
      <c r="AW10" s="66">
        <v>418676.38197457581</v>
      </c>
      <c r="AX10" s="66">
        <v>188169.9580474266</v>
      </c>
      <c r="AY10" s="66">
        <v>8653.4331219848264</v>
      </c>
      <c r="AZ10" s="66">
        <v>0</v>
      </c>
      <c r="BA10" s="66">
        <v>0</v>
      </c>
      <c r="BB10" s="66">
        <v>0</v>
      </c>
      <c r="BC10" s="66">
        <v>0</v>
      </c>
      <c r="BD10" s="66">
        <v>0</v>
      </c>
      <c r="BE10" s="66">
        <v>0</v>
      </c>
      <c r="BF10" s="66">
        <v>0</v>
      </c>
      <c r="BG10" s="66">
        <v>0</v>
      </c>
      <c r="BH10" s="66">
        <v>0</v>
      </c>
      <c r="BI10" s="66">
        <v>0</v>
      </c>
      <c r="BJ10" s="66">
        <v>0</v>
      </c>
      <c r="BK10" s="66">
        <v>41404.429422203124</v>
      </c>
      <c r="BL10" s="66">
        <v>0</v>
      </c>
      <c r="BM10" s="66">
        <v>0</v>
      </c>
      <c r="BN10" s="66">
        <v>0</v>
      </c>
      <c r="BO10" s="66">
        <v>0</v>
      </c>
      <c r="BP10" s="66">
        <v>0</v>
      </c>
      <c r="BQ10" s="66">
        <v>0</v>
      </c>
      <c r="BR10" s="66">
        <v>0</v>
      </c>
      <c r="BS10" s="66">
        <v>0</v>
      </c>
      <c r="BT10" s="66">
        <v>0</v>
      </c>
      <c r="BU10" s="66">
        <v>0</v>
      </c>
      <c r="BV10" s="66">
        <v>0</v>
      </c>
      <c r="BW10" s="66">
        <v>33487.893716973209</v>
      </c>
      <c r="BX10" s="66">
        <v>0.13192945635173878</v>
      </c>
      <c r="BY10" s="66">
        <v>0.12195849996192842</v>
      </c>
      <c r="BZ10" s="65"/>
      <c r="CA10" s="66"/>
      <c r="CB10" s="66"/>
      <c r="CC10" s="66"/>
      <c r="CD10" s="67"/>
      <c r="CE10" s="66"/>
      <c r="CF10" s="91"/>
    </row>
    <row r="11" spans="1:84">
      <c r="A11" s="77">
        <f t="shared" si="5"/>
        <v>7</v>
      </c>
      <c r="B11" s="61" t="s">
        <v>37</v>
      </c>
      <c r="C11" s="32" t="str">
        <f ca="1"/>
        <v>1</v>
      </c>
      <c r="D11" s="101"/>
      <c r="E11" s="66"/>
      <c r="F11" s="66">
        <v>7</v>
      </c>
      <c r="G11" s="66">
        <v>0</v>
      </c>
      <c r="H11" s="66">
        <v>0</v>
      </c>
      <c r="I11" s="66">
        <v>0</v>
      </c>
      <c r="J11" s="66">
        <v>0</v>
      </c>
      <c r="K11" s="66">
        <v>0</v>
      </c>
      <c r="L11" s="66">
        <v>0</v>
      </c>
      <c r="M11" s="66">
        <v>0</v>
      </c>
      <c r="N11" s="66">
        <v>0</v>
      </c>
      <c r="O11" s="66">
        <v>0</v>
      </c>
      <c r="P11" s="66">
        <v>0</v>
      </c>
      <c r="Q11" s="66">
        <v>0</v>
      </c>
      <c r="R11" s="66">
        <v>0</v>
      </c>
      <c r="S11" s="66">
        <v>0</v>
      </c>
      <c r="T11" s="66">
        <v>0.1</v>
      </c>
      <c r="U11" s="66">
        <v>0</v>
      </c>
      <c r="V11" s="66">
        <v>0</v>
      </c>
      <c r="W11" s="66">
        <v>0</v>
      </c>
      <c r="X11" s="66">
        <v>0</v>
      </c>
      <c r="Y11" s="66">
        <v>0</v>
      </c>
      <c r="Z11" s="66">
        <v>0</v>
      </c>
      <c r="AA11" s="66">
        <v>0</v>
      </c>
      <c r="AB11" s="66">
        <v>0</v>
      </c>
      <c r="AC11" s="66">
        <v>0</v>
      </c>
      <c r="AD11" s="66">
        <v>0</v>
      </c>
      <c r="AE11" s="66">
        <v>0</v>
      </c>
      <c r="AF11" s="66">
        <v>0.1</v>
      </c>
      <c r="AG11" s="66">
        <v>100000</v>
      </c>
      <c r="AH11" s="66">
        <v>100000</v>
      </c>
      <c r="AI11" s="66">
        <v>0</v>
      </c>
      <c r="AJ11" s="66">
        <v>0</v>
      </c>
      <c r="AK11" s="66">
        <v>0</v>
      </c>
      <c r="AL11" s="66">
        <v>0</v>
      </c>
      <c r="AM11" s="66">
        <v>0</v>
      </c>
      <c r="AN11" s="66">
        <v>0</v>
      </c>
      <c r="AO11" s="66">
        <v>0</v>
      </c>
      <c r="AP11" s="66">
        <v>0</v>
      </c>
      <c r="AQ11" s="66">
        <v>0</v>
      </c>
      <c r="AR11" s="66">
        <v>0</v>
      </c>
      <c r="AS11" s="66">
        <v>0</v>
      </c>
      <c r="AT11" s="66">
        <v>49158.292499999996</v>
      </c>
      <c r="AU11" s="66">
        <v>85576.945914454001</v>
      </c>
      <c r="AV11" s="66">
        <v>42068.165385194094</v>
      </c>
      <c r="AW11" s="66">
        <v>331173.95477704663</v>
      </c>
      <c r="AX11" s="66">
        <v>140375.84792924774</v>
      </c>
      <c r="AY11" s="66">
        <v>8463.0152782247678</v>
      </c>
      <c r="AZ11" s="66">
        <v>0</v>
      </c>
      <c r="BA11" s="66">
        <v>0</v>
      </c>
      <c r="BB11" s="66">
        <v>0</v>
      </c>
      <c r="BC11" s="66">
        <v>0</v>
      </c>
      <c r="BD11" s="66">
        <v>0</v>
      </c>
      <c r="BE11" s="66">
        <v>0</v>
      </c>
      <c r="BF11" s="66">
        <v>0</v>
      </c>
      <c r="BG11" s="66">
        <v>0</v>
      </c>
      <c r="BH11" s="66">
        <v>0</v>
      </c>
      <c r="BI11" s="66">
        <v>0</v>
      </c>
      <c r="BJ11" s="66">
        <v>0</v>
      </c>
      <c r="BK11" s="66">
        <v>32750.996300218299</v>
      </c>
      <c r="BL11" s="66">
        <v>0</v>
      </c>
      <c r="BM11" s="66">
        <v>0</v>
      </c>
      <c r="BN11" s="66">
        <v>0</v>
      </c>
      <c r="BO11" s="66">
        <v>0</v>
      </c>
      <c r="BP11" s="66">
        <v>0</v>
      </c>
      <c r="BQ11" s="66">
        <v>0</v>
      </c>
      <c r="BR11" s="66">
        <v>0</v>
      </c>
      <c r="BS11" s="66">
        <v>0</v>
      </c>
      <c r="BT11" s="66">
        <v>0</v>
      </c>
      <c r="BU11" s="66">
        <v>0</v>
      </c>
      <c r="BV11" s="66">
        <v>0</v>
      </c>
      <c r="BW11" s="66">
        <v>24834.460594988388</v>
      </c>
      <c r="BX11" s="66">
        <v>0.11062404756023969</v>
      </c>
      <c r="BY11" s="66">
        <v>0.11062404756023969</v>
      </c>
      <c r="BZ11" s="65"/>
      <c r="CA11" s="66"/>
      <c r="CB11" s="66"/>
      <c r="CC11" s="66"/>
      <c r="CD11" s="67"/>
      <c r="CE11" s="66"/>
      <c r="CF11" s="91"/>
    </row>
    <row r="12" spans="1:84">
      <c r="A12" s="77">
        <f t="shared" si="5"/>
        <v>8</v>
      </c>
      <c r="B12" s="61" t="s">
        <v>229</v>
      </c>
      <c r="C12" s="32">
        <f ca="1"/>
        <v>1</v>
      </c>
      <c r="D12" s="101" t="str">
        <f ca="1">"☜" &amp; IF(C12=1, " ♀"," ♂")</f>
        <v>☜ ♀</v>
      </c>
      <c r="E12" s="66"/>
      <c r="F12" s="66">
        <v>8</v>
      </c>
      <c r="G12" s="66">
        <v>0</v>
      </c>
      <c r="H12" s="66">
        <v>0</v>
      </c>
      <c r="I12" s="66">
        <v>0</v>
      </c>
      <c r="J12" s="66">
        <v>0</v>
      </c>
      <c r="K12" s="66">
        <v>0</v>
      </c>
      <c r="L12" s="66">
        <v>0</v>
      </c>
      <c r="M12" s="66">
        <v>0</v>
      </c>
      <c r="N12" s="66">
        <v>0</v>
      </c>
      <c r="O12" s="66">
        <v>0</v>
      </c>
      <c r="P12" s="66">
        <v>0</v>
      </c>
      <c r="Q12" s="66">
        <v>0</v>
      </c>
      <c r="R12" s="66">
        <v>0</v>
      </c>
      <c r="S12" s="66">
        <v>0</v>
      </c>
      <c r="T12" s="66">
        <v>0.1</v>
      </c>
      <c r="U12" s="66">
        <v>0</v>
      </c>
      <c r="V12" s="66">
        <v>0</v>
      </c>
      <c r="W12" s="66">
        <v>0</v>
      </c>
      <c r="X12" s="66">
        <v>0</v>
      </c>
      <c r="Y12" s="66">
        <v>0</v>
      </c>
      <c r="Z12" s="66">
        <v>0</v>
      </c>
      <c r="AA12" s="66">
        <v>0</v>
      </c>
      <c r="AB12" s="66">
        <v>0</v>
      </c>
      <c r="AC12" s="66">
        <v>0</v>
      </c>
      <c r="AD12" s="66">
        <v>0</v>
      </c>
      <c r="AE12" s="66">
        <v>0</v>
      </c>
      <c r="AF12" s="66">
        <v>0.1</v>
      </c>
      <c r="AG12" s="66">
        <v>100000</v>
      </c>
      <c r="AH12" s="66">
        <v>100000</v>
      </c>
      <c r="AI12" s="66">
        <v>0</v>
      </c>
      <c r="AJ12" s="66">
        <v>0</v>
      </c>
      <c r="AK12" s="66">
        <v>0</v>
      </c>
      <c r="AL12" s="66">
        <v>0</v>
      </c>
      <c r="AM12" s="66">
        <v>0</v>
      </c>
      <c r="AN12" s="66">
        <v>0</v>
      </c>
      <c r="AO12" s="66">
        <v>0</v>
      </c>
      <c r="AP12" s="66">
        <v>0</v>
      </c>
      <c r="AQ12" s="66">
        <v>0</v>
      </c>
      <c r="AR12" s="66">
        <v>0</v>
      </c>
      <c r="AS12" s="66">
        <v>0</v>
      </c>
      <c r="AT12" s="66">
        <v>44242.463249999993</v>
      </c>
      <c r="AU12" s="66">
        <v>83693.834635162828</v>
      </c>
      <c r="AV12" s="66">
        <v>37028.214030977681</v>
      </c>
      <c r="AW12" s="66">
        <v>245597.00886259263</v>
      </c>
      <c r="AX12" s="66">
        <v>98307.682544053649</v>
      </c>
      <c r="AY12" s="66">
        <v>8276.7875581660319</v>
      </c>
      <c r="AZ12" s="66">
        <v>0</v>
      </c>
      <c r="BA12" s="66">
        <v>0</v>
      </c>
      <c r="BB12" s="66">
        <v>0</v>
      </c>
      <c r="BC12" s="66">
        <v>0</v>
      </c>
      <c r="BD12" s="66">
        <v>0</v>
      </c>
      <c r="BE12" s="66">
        <v>0</v>
      </c>
      <c r="BF12" s="66">
        <v>0</v>
      </c>
      <c r="BG12" s="66">
        <v>0</v>
      </c>
      <c r="BH12" s="66">
        <v>0</v>
      </c>
      <c r="BI12" s="66">
        <v>0</v>
      </c>
      <c r="BJ12" s="66">
        <v>0</v>
      </c>
      <c r="BK12" s="66">
        <v>24287.981021993532</v>
      </c>
      <c r="BL12" s="66">
        <v>0</v>
      </c>
      <c r="BM12" s="66">
        <v>0</v>
      </c>
      <c r="BN12" s="66">
        <v>0</v>
      </c>
      <c r="BO12" s="66">
        <v>0</v>
      </c>
      <c r="BP12" s="66">
        <v>0</v>
      </c>
      <c r="BQ12" s="66">
        <v>0</v>
      </c>
      <c r="BR12" s="66">
        <v>0</v>
      </c>
      <c r="BS12" s="66">
        <v>0</v>
      </c>
      <c r="BT12" s="66">
        <v>0</v>
      </c>
      <c r="BU12" s="66">
        <v>0</v>
      </c>
      <c r="BV12" s="66">
        <v>0</v>
      </c>
      <c r="BW12" s="66">
        <v>16371.44531676362</v>
      </c>
      <c r="BX12" s="66">
        <v>8.1154775018794825E-2</v>
      </c>
      <c r="BY12" s="66">
        <v>8.1154775018794825E-2</v>
      </c>
      <c r="BZ12" s="65"/>
      <c r="CA12" s="66"/>
      <c r="CB12" s="66"/>
      <c r="CC12" s="66"/>
      <c r="CD12" s="67"/>
      <c r="CE12" s="66"/>
      <c r="CF12" s="91"/>
    </row>
    <row r="13" spans="1:84">
      <c r="A13" s="77">
        <f t="shared" si="5"/>
        <v>9</v>
      </c>
      <c r="B13" s="61" t="s">
        <v>230</v>
      </c>
      <c r="C13" s="32">
        <f ca="1"/>
        <v>60</v>
      </c>
      <c r="D13" s="101"/>
      <c r="E13" s="66"/>
      <c r="F13" s="66">
        <v>9</v>
      </c>
      <c r="G13" s="66">
        <v>0</v>
      </c>
      <c r="H13" s="66">
        <v>0</v>
      </c>
      <c r="I13" s="66">
        <v>0</v>
      </c>
      <c r="J13" s="66">
        <v>0</v>
      </c>
      <c r="K13" s="66">
        <v>0</v>
      </c>
      <c r="L13" s="66">
        <v>0</v>
      </c>
      <c r="M13" s="66">
        <v>0</v>
      </c>
      <c r="N13" s="66">
        <v>0</v>
      </c>
      <c r="O13" s="66">
        <v>0</v>
      </c>
      <c r="P13" s="66">
        <v>0</v>
      </c>
      <c r="Q13" s="66">
        <v>0</v>
      </c>
      <c r="R13" s="66">
        <v>0</v>
      </c>
      <c r="S13" s="66">
        <v>0</v>
      </c>
      <c r="T13" s="66">
        <v>0.1</v>
      </c>
      <c r="U13" s="66">
        <v>0</v>
      </c>
      <c r="V13" s="66">
        <v>0</v>
      </c>
      <c r="W13" s="66">
        <v>0</v>
      </c>
      <c r="X13" s="66">
        <v>0</v>
      </c>
      <c r="Y13" s="66">
        <v>0</v>
      </c>
      <c r="Z13" s="66">
        <v>0</v>
      </c>
      <c r="AA13" s="66">
        <v>0</v>
      </c>
      <c r="AB13" s="66">
        <v>0</v>
      </c>
      <c r="AC13" s="66">
        <v>0</v>
      </c>
      <c r="AD13" s="66">
        <v>0</v>
      </c>
      <c r="AE13" s="66">
        <v>0</v>
      </c>
      <c r="AF13" s="66">
        <v>0.1</v>
      </c>
      <c r="AG13" s="66">
        <v>100000</v>
      </c>
      <c r="AH13" s="66">
        <v>100000</v>
      </c>
      <c r="AI13" s="66">
        <v>0</v>
      </c>
      <c r="AJ13" s="66">
        <v>0</v>
      </c>
      <c r="AK13" s="66">
        <v>0</v>
      </c>
      <c r="AL13" s="66">
        <v>0</v>
      </c>
      <c r="AM13" s="66">
        <v>0</v>
      </c>
      <c r="AN13" s="66">
        <v>0</v>
      </c>
      <c r="AO13" s="66">
        <v>0</v>
      </c>
      <c r="AP13" s="66">
        <v>0</v>
      </c>
      <c r="AQ13" s="66">
        <v>0</v>
      </c>
      <c r="AR13" s="66">
        <v>0</v>
      </c>
      <c r="AS13" s="66">
        <v>0</v>
      </c>
      <c r="AT13" s="66">
        <v>39818.216924999993</v>
      </c>
      <c r="AU13" s="66">
        <v>81852.161012384167</v>
      </c>
      <c r="AV13" s="66">
        <v>32592.071029711402</v>
      </c>
      <c r="AW13" s="66">
        <v>161903.17422742979</v>
      </c>
      <c r="AX13" s="66">
        <v>61279.468513075961</v>
      </c>
      <c r="AY13" s="66">
        <v>8094.6577585975865</v>
      </c>
      <c r="AZ13" s="66">
        <v>0</v>
      </c>
      <c r="BA13" s="66">
        <v>0</v>
      </c>
      <c r="BB13" s="66">
        <v>0</v>
      </c>
      <c r="BC13" s="66">
        <v>0</v>
      </c>
      <c r="BD13" s="66">
        <v>0</v>
      </c>
      <c r="BE13" s="66">
        <v>0</v>
      </c>
      <c r="BF13" s="66">
        <v>0</v>
      </c>
      <c r="BG13" s="66">
        <v>0</v>
      </c>
      <c r="BH13" s="66">
        <v>0</v>
      </c>
      <c r="BI13" s="66">
        <v>0</v>
      </c>
      <c r="BJ13" s="66">
        <v>0</v>
      </c>
      <c r="BK13" s="66">
        <v>16011.193463827498</v>
      </c>
      <c r="BL13" s="66">
        <v>0</v>
      </c>
      <c r="BM13" s="66">
        <v>0</v>
      </c>
      <c r="BN13" s="66">
        <v>0</v>
      </c>
      <c r="BO13" s="66">
        <v>0</v>
      </c>
      <c r="BP13" s="66">
        <v>0</v>
      </c>
      <c r="BQ13" s="66">
        <v>0</v>
      </c>
      <c r="BR13" s="66">
        <v>0</v>
      </c>
      <c r="BS13" s="66">
        <v>0</v>
      </c>
      <c r="BT13" s="66">
        <v>0</v>
      </c>
      <c r="BU13" s="66">
        <v>0</v>
      </c>
      <c r="BV13" s="66">
        <v>0</v>
      </c>
      <c r="BW13" s="66">
        <v>8094.6577585975856</v>
      </c>
      <c r="BX13" s="66">
        <v>4.4106400998244095E-2</v>
      </c>
      <c r="BY13" s="66">
        <v>4.4106400998244095E-2</v>
      </c>
      <c r="BZ13" s="65"/>
      <c r="CA13" s="66"/>
      <c r="CB13" s="66"/>
      <c r="CC13" s="66"/>
      <c r="CD13" s="67"/>
      <c r="CE13" s="66"/>
      <c r="CF13" s="91"/>
    </row>
    <row r="14" spans="1:84">
      <c r="A14" s="77">
        <f t="shared" si="5"/>
        <v>10</v>
      </c>
      <c r="B14" s="61" t="s">
        <v>231</v>
      </c>
      <c r="C14" s="32">
        <f ca="1"/>
        <v>10</v>
      </c>
      <c r="D14" s="101"/>
      <c r="E14" s="66"/>
      <c r="F14" s="66">
        <v>10</v>
      </c>
      <c r="G14" s="66">
        <v>0</v>
      </c>
      <c r="H14" s="66">
        <v>0</v>
      </c>
      <c r="I14" s="66">
        <v>0</v>
      </c>
      <c r="J14" s="66">
        <v>0</v>
      </c>
      <c r="K14" s="66">
        <v>0</v>
      </c>
      <c r="L14" s="66">
        <v>0</v>
      </c>
      <c r="M14" s="66">
        <v>0</v>
      </c>
      <c r="N14" s="66">
        <v>0</v>
      </c>
      <c r="O14" s="66">
        <v>0</v>
      </c>
      <c r="P14" s="66">
        <v>0</v>
      </c>
      <c r="Q14" s="66">
        <v>0</v>
      </c>
      <c r="R14" s="66">
        <v>0</v>
      </c>
      <c r="S14" s="66">
        <v>0</v>
      </c>
      <c r="T14" s="66">
        <v>0.1</v>
      </c>
      <c r="U14" s="66">
        <v>0</v>
      </c>
      <c r="V14" s="66">
        <v>0</v>
      </c>
      <c r="W14" s="66">
        <v>0</v>
      </c>
      <c r="X14" s="66">
        <v>0</v>
      </c>
      <c r="Y14" s="66">
        <v>0</v>
      </c>
      <c r="Z14" s="66">
        <v>0</v>
      </c>
      <c r="AA14" s="66">
        <v>0</v>
      </c>
      <c r="AB14" s="66">
        <v>0</v>
      </c>
      <c r="AC14" s="66">
        <v>0</v>
      </c>
      <c r="AD14" s="66">
        <v>0</v>
      </c>
      <c r="AE14" s="66">
        <v>0</v>
      </c>
      <c r="AF14" s="66">
        <v>0.1</v>
      </c>
      <c r="AG14" s="66">
        <v>100000</v>
      </c>
      <c r="AH14" s="66">
        <v>100000</v>
      </c>
      <c r="AI14" s="66">
        <v>0</v>
      </c>
      <c r="AJ14" s="66">
        <v>0</v>
      </c>
      <c r="AK14" s="66">
        <v>0</v>
      </c>
      <c r="AL14" s="66">
        <v>0</v>
      </c>
      <c r="AM14" s="66">
        <v>0</v>
      </c>
      <c r="AN14" s="66">
        <v>0</v>
      </c>
      <c r="AO14" s="66">
        <v>0</v>
      </c>
      <c r="AP14" s="66">
        <v>0</v>
      </c>
      <c r="AQ14" s="66">
        <v>0</v>
      </c>
      <c r="AR14" s="66">
        <v>0</v>
      </c>
      <c r="AS14" s="66">
        <v>0</v>
      </c>
      <c r="AT14" s="66">
        <v>35836.395232499992</v>
      </c>
      <c r="AU14" s="66">
        <v>80051.013215045634</v>
      </c>
      <c r="AV14" s="66">
        <v>28687.397483364555</v>
      </c>
      <c r="AW14" s="66">
        <v>80051.013215045634</v>
      </c>
      <c r="AX14" s="66">
        <v>28687.397483364555</v>
      </c>
      <c r="AY14" s="66">
        <v>7916.5357052299123</v>
      </c>
      <c r="AZ14" s="66">
        <v>0</v>
      </c>
      <c r="BA14" s="66">
        <v>0</v>
      </c>
      <c r="BB14" s="66">
        <v>0</v>
      </c>
      <c r="BC14" s="66">
        <v>0</v>
      </c>
      <c r="BD14" s="66">
        <v>0</v>
      </c>
      <c r="BE14" s="66">
        <v>0</v>
      </c>
      <c r="BF14" s="66">
        <v>0</v>
      </c>
      <c r="BG14" s="66">
        <v>0</v>
      </c>
      <c r="BH14" s="66">
        <v>0</v>
      </c>
      <c r="BI14" s="66">
        <v>0</v>
      </c>
      <c r="BJ14" s="66">
        <v>0</v>
      </c>
      <c r="BK14" s="66">
        <v>7916.5357052299123</v>
      </c>
      <c r="BL14" s="66">
        <v>0</v>
      </c>
      <c r="BM14" s="66">
        <v>0</v>
      </c>
      <c r="BN14" s="66">
        <v>0</v>
      </c>
      <c r="BO14" s="66">
        <v>0</v>
      </c>
      <c r="BP14" s="66">
        <v>0</v>
      </c>
      <c r="BQ14" s="66">
        <v>0</v>
      </c>
      <c r="BR14" s="66">
        <v>0</v>
      </c>
      <c r="BS14" s="66">
        <v>0</v>
      </c>
      <c r="BT14" s="66">
        <v>0</v>
      </c>
      <c r="BU14" s="66">
        <v>0</v>
      </c>
      <c r="BV14" s="66">
        <v>0</v>
      </c>
      <c r="BW14" s="66">
        <v>0</v>
      </c>
      <c r="BX14" s="66">
        <v>0</v>
      </c>
      <c r="BY14" s="66">
        <v>0</v>
      </c>
      <c r="BZ14" s="65"/>
      <c r="CA14" s="66"/>
      <c r="CB14" s="66"/>
      <c r="CC14" s="66"/>
      <c r="CD14" s="67"/>
      <c r="CE14" s="66"/>
      <c r="CF14" s="91"/>
    </row>
    <row r="15" spans="1:84">
      <c r="A15" s="77">
        <f t="shared" si="5"/>
        <v>11</v>
      </c>
      <c r="B15" s="61" t="s">
        <v>232</v>
      </c>
      <c r="C15" s="32">
        <f ca="1"/>
        <v>10</v>
      </c>
      <c r="D15" s="101" t="str">
        <f ca="1">"☜" &amp; IF(C14=C15, " 전기납","")</f>
        <v>☜ 전기납</v>
      </c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  <c r="AH15" s="66"/>
      <c r="AI15" s="66"/>
      <c r="AJ15" s="66"/>
      <c r="AK15" s="66"/>
      <c r="AL15" s="66"/>
      <c r="AM15" s="66"/>
      <c r="AN15" s="66"/>
      <c r="AO15" s="66"/>
      <c r="AP15" s="66"/>
      <c r="AQ15" s="66"/>
      <c r="AR15" s="66"/>
      <c r="AS15" s="66"/>
      <c r="AT15" s="66"/>
      <c r="AU15" s="66"/>
      <c r="AV15" s="66"/>
      <c r="AW15" s="66"/>
      <c r="AX15" s="66"/>
      <c r="AY15" s="66"/>
      <c r="AZ15" s="66"/>
      <c r="BA15" s="66"/>
      <c r="BB15" s="66"/>
      <c r="BC15" s="66"/>
      <c r="BD15" s="66"/>
      <c r="BE15" s="66"/>
      <c r="BF15" s="66"/>
      <c r="BG15" s="66"/>
      <c r="BH15" s="66"/>
      <c r="BI15" s="66"/>
      <c r="BJ15" s="66"/>
      <c r="BK15" s="66"/>
      <c r="BL15" s="66"/>
      <c r="BM15" s="66"/>
      <c r="BN15" s="66"/>
      <c r="BO15" s="66"/>
      <c r="BP15" s="66"/>
      <c r="BQ15" s="66"/>
      <c r="BR15" s="66"/>
      <c r="BS15" s="66"/>
      <c r="BT15" s="66"/>
      <c r="BU15" s="66"/>
      <c r="BV15" s="66"/>
      <c r="BW15" s="66"/>
      <c r="BX15" s="66"/>
      <c r="BY15" s="66"/>
      <c r="BZ15" s="65"/>
      <c r="CA15" s="66"/>
      <c r="CB15" s="66"/>
      <c r="CC15" s="66"/>
      <c r="CD15" s="67"/>
      <c r="CE15" s="66"/>
      <c r="CF15" s="91"/>
    </row>
    <row r="16" spans="1:84">
      <c r="A16" s="77">
        <f t="shared" si="5"/>
        <v>12</v>
      </c>
      <c r="B16" s="61" t="s">
        <v>233</v>
      </c>
      <c r="C16" s="32">
        <f ca="1"/>
        <v>0</v>
      </c>
      <c r="D16" s="101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  <c r="AH16" s="66"/>
      <c r="AI16" s="66"/>
      <c r="AJ16" s="66"/>
      <c r="AK16" s="66"/>
      <c r="AL16" s="66"/>
      <c r="AM16" s="66"/>
      <c r="AN16" s="66"/>
      <c r="AO16" s="66"/>
      <c r="AP16" s="66"/>
      <c r="AQ16" s="66"/>
      <c r="AR16" s="66"/>
      <c r="AS16" s="66"/>
      <c r="AT16" s="66"/>
      <c r="AU16" s="66"/>
      <c r="AV16" s="66"/>
      <c r="AW16" s="66"/>
      <c r="AX16" s="66"/>
      <c r="AY16" s="66"/>
      <c r="AZ16" s="66"/>
      <c r="BA16" s="66"/>
      <c r="BB16" s="66"/>
      <c r="BC16" s="66"/>
      <c r="BD16" s="66"/>
      <c r="BE16" s="66"/>
      <c r="BF16" s="66"/>
      <c r="BG16" s="66"/>
      <c r="BH16" s="66"/>
      <c r="BI16" s="66"/>
      <c r="BJ16" s="66"/>
      <c r="BK16" s="66"/>
      <c r="BL16" s="66"/>
      <c r="BM16" s="66"/>
      <c r="BN16" s="66"/>
      <c r="BO16" s="66"/>
      <c r="BP16" s="66"/>
      <c r="BQ16" s="66"/>
      <c r="BR16" s="66"/>
      <c r="BS16" s="66"/>
      <c r="BT16" s="66"/>
      <c r="BU16" s="66"/>
      <c r="BV16" s="66"/>
      <c r="BW16" s="66"/>
      <c r="BX16" s="66"/>
      <c r="BY16" s="66"/>
      <c r="BZ16" s="65"/>
      <c r="CA16" s="66"/>
      <c r="CB16" s="66"/>
      <c r="CC16" s="66"/>
      <c r="CD16" s="67"/>
      <c r="CE16" s="66"/>
      <c r="CF16" s="91"/>
    </row>
    <row r="17" spans="1:84">
      <c r="A17" s="77">
        <f t="shared" si="5"/>
        <v>13</v>
      </c>
      <c r="B17" s="61" t="s">
        <v>47</v>
      </c>
      <c r="C17" s="32">
        <f ca="1"/>
        <v>100000</v>
      </c>
      <c r="D17" s="101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  <c r="AH17" s="66"/>
      <c r="AI17" s="66"/>
      <c r="AJ17" s="66"/>
      <c r="AK17" s="66"/>
      <c r="AL17" s="66"/>
      <c r="AM17" s="66"/>
      <c r="AN17" s="66"/>
      <c r="AO17" s="66"/>
      <c r="AP17" s="66"/>
      <c r="AQ17" s="66"/>
      <c r="AR17" s="66"/>
      <c r="AS17" s="66"/>
      <c r="AT17" s="66"/>
      <c r="AU17" s="66"/>
      <c r="AV17" s="66"/>
      <c r="AW17" s="66"/>
      <c r="AX17" s="66"/>
      <c r="AY17" s="66"/>
      <c r="AZ17" s="66"/>
      <c r="BA17" s="66"/>
      <c r="BB17" s="66"/>
      <c r="BC17" s="66"/>
      <c r="BD17" s="66"/>
      <c r="BE17" s="66"/>
      <c r="BF17" s="66"/>
      <c r="BG17" s="66"/>
      <c r="BH17" s="66"/>
      <c r="BI17" s="66"/>
      <c r="BJ17" s="66"/>
      <c r="BK17" s="66"/>
      <c r="BL17" s="66"/>
      <c r="BM17" s="66"/>
      <c r="BN17" s="66"/>
      <c r="BO17" s="66"/>
      <c r="BP17" s="66"/>
      <c r="BQ17" s="66"/>
      <c r="BR17" s="66"/>
      <c r="BS17" s="66"/>
      <c r="BT17" s="66"/>
      <c r="BU17" s="66"/>
      <c r="BV17" s="66"/>
      <c r="BW17" s="66"/>
      <c r="BX17" s="66"/>
      <c r="BY17" s="66"/>
      <c r="BZ17" s="65"/>
      <c r="CA17" s="66"/>
      <c r="CB17" s="66"/>
      <c r="CC17" s="66"/>
      <c r="CD17" s="67"/>
      <c r="CE17" s="66"/>
      <c r="CF17" s="91"/>
    </row>
    <row r="18" spans="1:84">
      <c r="A18" s="77">
        <f t="shared" si="5"/>
        <v>14</v>
      </c>
      <c r="B18" s="61" t="s">
        <v>38</v>
      </c>
      <c r="C18" s="32">
        <f ca="1"/>
        <v>0.1</v>
      </c>
      <c r="D18" s="101"/>
      <c r="E18" s="66"/>
      <c r="F18" s="66"/>
      <c r="G18" s="66"/>
      <c r="H18" s="66"/>
      <c r="I18" s="66"/>
      <c r="J18" s="66"/>
      <c r="K18" s="66"/>
      <c r="L18" s="66"/>
      <c r="M18" s="66"/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  <c r="AH18" s="66"/>
      <c r="AI18" s="66"/>
      <c r="AJ18" s="66"/>
      <c r="AK18" s="66"/>
      <c r="AL18" s="66"/>
      <c r="AM18" s="66"/>
      <c r="AN18" s="66"/>
      <c r="AO18" s="66"/>
      <c r="AP18" s="66"/>
      <c r="AQ18" s="66"/>
      <c r="AR18" s="66"/>
      <c r="AS18" s="66"/>
      <c r="AT18" s="66"/>
      <c r="AU18" s="66"/>
      <c r="AV18" s="66"/>
      <c r="AW18" s="66"/>
      <c r="AX18" s="66"/>
      <c r="AY18" s="66"/>
      <c r="AZ18" s="66"/>
      <c r="BA18" s="66"/>
      <c r="BB18" s="66"/>
      <c r="BC18" s="66"/>
      <c r="BD18" s="66"/>
      <c r="BE18" s="66"/>
      <c r="BF18" s="66"/>
      <c r="BG18" s="66"/>
      <c r="BH18" s="66"/>
      <c r="BI18" s="66"/>
      <c r="BJ18" s="66"/>
      <c r="BK18" s="66"/>
      <c r="BL18" s="66"/>
      <c r="BM18" s="66"/>
      <c r="BN18" s="66"/>
      <c r="BO18" s="66"/>
      <c r="BP18" s="66"/>
      <c r="BQ18" s="66"/>
      <c r="BR18" s="66"/>
      <c r="BS18" s="66"/>
      <c r="BT18" s="66"/>
      <c r="BU18" s="66"/>
      <c r="BV18" s="66"/>
      <c r="BW18" s="66"/>
      <c r="BX18" s="66"/>
      <c r="BY18" s="66"/>
      <c r="BZ18" s="65"/>
      <c r="CA18" s="66"/>
      <c r="CB18" s="66"/>
      <c r="CC18" s="66"/>
      <c r="CD18" s="67"/>
      <c r="CE18" s="66"/>
      <c r="CF18" s="91"/>
    </row>
    <row r="19" spans="1:84">
      <c r="A19" s="77">
        <f t="shared" si="5"/>
        <v>15</v>
      </c>
      <c r="B19" s="61" t="s">
        <v>39</v>
      </c>
      <c r="C19" s="32">
        <f ca="1"/>
        <v>0.1</v>
      </c>
      <c r="D19" s="101"/>
      <c r="E19" s="66"/>
      <c r="F19" s="66"/>
      <c r="G19" s="99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  <c r="AH19" s="66"/>
      <c r="AI19" s="66"/>
      <c r="AJ19" s="66"/>
      <c r="AK19" s="66"/>
      <c r="AL19" s="66"/>
      <c r="AM19" s="66"/>
      <c r="AN19" s="66"/>
      <c r="AO19" s="66"/>
      <c r="AP19" s="66"/>
      <c r="AQ19" s="66"/>
      <c r="AR19" s="66"/>
      <c r="AS19" s="66"/>
      <c r="AT19" s="66"/>
      <c r="AU19" s="66"/>
      <c r="AV19" s="66"/>
      <c r="AW19" s="66"/>
      <c r="AX19" s="66"/>
      <c r="AY19" s="66"/>
      <c r="AZ19" s="66"/>
      <c r="BA19" s="66"/>
      <c r="BB19" s="66"/>
      <c r="BC19" s="66"/>
      <c r="BD19" s="66"/>
      <c r="BE19" s="66"/>
      <c r="BF19" s="66"/>
      <c r="BG19" s="66"/>
      <c r="BH19" s="66"/>
      <c r="BI19" s="66"/>
      <c r="BJ19" s="66"/>
      <c r="BK19" s="66"/>
      <c r="BL19" s="66"/>
      <c r="BM19" s="66"/>
      <c r="BN19" s="66"/>
      <c r="BO19" s="66"/>
      <c r="BP19" s="66"/>
      <c r="BQ19" s="66"/>
      <c r="BR19" s="66"/>
      <c r="BS19" s="66"/>
      <c r="BT19" s="66"/>
      <c r="BU19" s="66"/>
      <c r="BV19" s="66"/>
      <c r="BW19" s="66"/>
      <c r="BX19" s="66"/>
      <c r="BY19" s="66"/>
      <c r="BZ19" s="65"/>
      <c r="CA19" s="66"/>
      <c r="CB19" s="66"/>
      <c r="CC19" s="66"/>
      <c r="CD19" s="67"/>
      <c r="CE19" s="66"/>
      <c r="CF19" s="91"/>
    </row>
    <row r="20" spans="1:84">
      <c r="A20" s="77">
        <f t="shared" si="5"/>
        <v>16</v>
      </c>
      <c r="B20" s="61" t="s">
        <v>40</v>
      </c>
      <c r="C20" s="32">
        <f ca="1"/>
        <v>0.1</v>
      </c>
      <c r="D20" s="101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  <c r="AH20" s="66"/>
      <c r="AI20" s="66"/>
      <c r="AJ20" s="66"/>
      <c r="AK20" s="66"/>
      <c r="AL20" s="66"/>
      <c r="AM20" s="66"/>
      <c r="AN20" s="66"/>
      <c r="AO20" s="66"/>
      <c r="AP20" s="66"/>
      <c r="AQ20" s="66"/>
      <c r="AR20" s="66"/>
      <c r="AS20" s="66"/>
      <c r="AT20" s="66"/>
      <c r="AU20" s="66"/>
      <c r="AV20" s="66"/>
      <c r="AW20" s="66"/>
      <c r="AX20" s="66"/>
      <c r="AY20" s="66"/>
      <c r="AZ20" s="66"/>
      <c r="BA20" s="66"/>
      <c r="BB20" s="66"/>
      <c r="BC20" s="66"/>
      <c r="BD20" s="66"/>
      <c r="BE20" s="66"/>
      <c r="BF20" s="66"/>
      <c r="BG20" s="66"/>
      <c r="BH20" s="66"/>
      <c r="BI20" s="66"/>
      <c r="BJ20" s="66"/>
      <c r="BK20" s="66"/>
      <c r="BL20" s="66"/>
      <c r="BM20" s="66"/>
      <c r="BN20" s="66"/>
      <c r="BO20" s="66"/>
      <c r="BP20" s="66"/>
      <c r="BQ20" s="66"/>
      <c r="BR20" s="66"/>
      <c r="BS20" s="66"/>
      <c r="BT20" s="66"/>
      <c r="BU20" s="66"/>
      <c r="BV20" s="66"/>
      <c r="BW20" s="66"/>
      <c r="BX20" s="66"/>
      <c r="BY20" s="66"/>
      <c r="BZ20" s="65"/>
      <c r="CA20" s="66"/>
      <c r="CB20" s="66"/>
      <c r="CC20" s="66"/>
      <c r="CD20" s="67"/>
      <c r="CE20" s="66"/>
      <c r="CF20" s="91"/>
    </row>
    <row r="21" spans="1:84">
      <c r="A21" s="77">
        <f t="shared" si="5"/>
        <v>17</v>
      </c>
      <c r="B21" s="61" t="s">
        <v>41</v>
      </c>
      <c r="C21" s="32">
        <f ca="1"/>
        <v>0.1</v>
      </c>
      <c r="D21" s="101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  <c r="AH21" s="66"/>
      <c r="AI21" s="66"/>
      <c r="AJ21" s="66"/>
      <c r="AK21" s="66"/>
      <c r="AL21" s="66"/>
      <c r="AM21" s="66"/>
      <c r="AN21" s="66"/>
      <c r="AO21" s="66"/>
      <c r="AP21" s="66"/>
      <c r="AQ21" s="66"/>
      <c r="AR21" s="66"/>
      <c r="AS21" s="66"/>
      <c r="AT21" s="66"/>
      <c r="AU21" s="66"/>
      <c r="AV21" s="66"/>
      <c r="AW21" s="66"/>
      <c r="AX21" s="66"/>
      <c r="AY21" s="66"/>
      <c r="AZ21" s="66"/>
      <c r="BA21" s="66"/>
      <c r="BB21" s="66"/>
      <c r="BC21" s="66"/>
      <c r="BD21" s="66"/>
      <c r="BE21" s="66"/>
      <c r="BF21" s="66"/>
      <c r="BG21" s="66"/>
      <c r="BH21" s="66"/>
      <c r="BI21" s="66"/>
      <c r="BJ21" s="66"/>
      <c r="BK21" s="66"/>
      <c r="BL21" s="66"/>
      <c r="BM21" s="66"/>
      <c r="BN21" s="66"/>
      <c r="BO21" s="66"/>
      <c r="BP21" s="66"/>
      <c r="BQ21" s="66"/>
      <c r="BR21" s="66"/>
      <c r="BS21" s="66"/>
      <c r="BT21" s="66"/>
      <c r="BU21" s="66"/>
      <c r="BV21" s="66"/>
      <c r="BW21" s="66"/>
      <c r="BX21" s="66"/>
      <c r="BY21" s="66"/>
      <c r="BZ21" s="65"/>
      <c r="CA21" s="66"/>
      <c r="CB21" s="66"/>
      <c r="CC21" s="66"/>
      <c r="CD21" s="67"/>
      <c r="CE21" s="66"/>
      <c r="CF21" s="91"/>
    </row>
    <row r="22" spans="1:84">
      <c r="A22" s="77">
        <f t="shared" si="5"/>
        <v>18</v>
      </c>
      <c r="B22" s="61" t="s">
        <v>42</v>
      </c>
      <c r="C22" s="32">
        <f ca="1"/>
        <v>0.1</v>
      </c>
      <c r="D22" s="101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  <c r="AH22" s="66"/>
      <c r="AI22" s="66"/>
      <c r="AJ22" s="66"/>
      <c r="AK22" s="66"/>
      <c r="AL22" s="66"/>
      <c r="AM22" s="66"/>
      <c r="AN22" s="66"/>
      <c r="AO22" s="66"/>
      <c r="AP22" s="66"/>
      <c r="AQ22" s="66"/>
      <c r="AR22" s="66"/>
      <c r="AS22" s="66"/>
      <c r="AT22" s="66"/>
      <c r="AU22" s="66"/>
      <c r="AV22" s="66"/>
      <c r="AW22" s="66"/>
      <c r="AX22" s="66"/>
      <c r="AY22" s="66"/>
      <c r="AZ22" s="66"/>
      <c r="BA22" s="66"/>
      <c r="BB22" s="66"/>
      <c r="BC22" s="66"/>
      <c r="BD22" s="66"/>
      <c r="BE22" s="66"/>
      <c r="BF22" s="66"/>
      <c r="BG22" s="66"/>
      <c r="BH22" s="66"/>
      <c r="BI22" s="66"/>
      <c r="BJ22" s="66"/>
      <c r="BK22" s="66"/>
      <c r="BL22" s="66"/>
      <c r="BM22" s="66"/>
      <c r="BN22" s="66"/>
      <c r="BO22" s="66"/>
      <c r="BP22" s="66"/>
      <c r="BQ22" s="66"/>
      <c r="BR22" s="66"/>
      <c r="BS22" s="66"/>
      <c r="BT22" s="66"/>
      <c r="BU22" s="66"/>
      <c r="BV22" s="66"/>
      <c r="BW22" s="66"/>
      <c r="BX22" s="66"/>
      <c r="BY22" s="66"/>
      <c r="BZ22" s="65"/>
      <c r="CA22" s="66"/>
      <c r="CB22" s="66"/>
      <c r="CC22" s="66"/>
      <c r="CD22" s="67"/>
      <c r="CE22" s="66"/>
      <c r="CF22" s="91"/>
    </row>
    <row r="23" spans="1:84">
      <c r="A23" s="77">
        <f t="shared" si="5"/>
        <v>19</v>
      </c>
      <c r="B23" s="61" t="s">
        <v>43</v>
      </c>
      <c r="C23" s="32">
        <f ca="1"/>
        <v>0.1</v>
      </c>
      <c r="D23" s="101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  <c r="AH23" s="66"/>
      <c r="AI23" s="66"/>
      <c r="AJ23" s="66"/>
      <c r="AK23" s="66"/>
      <c r="AL23" s="66"/>
      <c r="AM23" s="66"/>
      <c r="AN23" s="66"/>
      <c r="AO23" s="66"/>
      <c r="AP23" s="66"/>
      <c r="AQ23" s="66"/>
      <c r="AR23" s="66"/>
      <c r="AS23" s="66"/>
      <c r="AT23" s="66"/>
      <c r="AU23" s="66"/>
      <c r="AV23" s="66"/>
      <c r="AW23" s="66"/>
      <c r="AX23" s="66"/>
      <c r="AY23" s="66"/>
      <c r="AZ23" s="66"/>
      <c r="BA23" s="66"/>
      <c r="BB23" s="66"/>
      <c r="BC23" s="66"/>
      <c r="BD23" s="66"/>
      <c r="BE23" s="66"/>
      <c r="BF23" s="66"/>
      <c r="BG23" s="66"/>
      <c r="BH23" s="66"/>
      <c r="BI23" s="66"/>
      <c r="BJ23" s="66"/>
      <c r="BK23" s="66"/>
      <c r="BL23" s="66"/>
      <c r="BM23" s="66"/>
      <c r="BN23" s="66"/>
      <c r="BO23" s="66"/>
      <c r="BP23" s="66"/>
      <c r="BQ23" s="66"/>
      <c r="BR23" s="66"/>
      <c r="BS23" s="66"/>
      <c r="BT23" s="66"/>
      <c r="BU23" s="66"/>
      <c r="BV23" s="66"/>
      <c r="BW23" s="66"/>
      <c r="BX23" s="66"/>
      <c r="BY23" s="66"/>
      <c r="BZ23" s="65"/>
      <c r="CA23" s="66"/>
      <c r="CB23" s="66"/>
      <c r="CC23" s="66"/>
      <c r="CD23" s="67"/>
      <c r="CE23" s="66"/>
      <c r="CF23" s="91"/>
    </row>
    <row r="24" spans="1:84">
      <c r="A24" s="77">
        <f t="shared" si="5"/>
        <v>20</v>
      </c>
      <c r="B24" s="61" t="s">
        <v>44</v>
      </c>
      <c r="C24" s="32">
        <f ca="1"/>
        <v>0.1</v>
      </c>
      <c r="D24" s="101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  <c r="AH24" s="66"/>
      <c r="AI24" s="66"/>
      <c r="AJ24" s="66"/>
      <c r="AK24" s="66"/>
      <c r="AL24" s="66"/>
      <c r="AM24" s="66"/>
      <c r="AN24" s="66"/>
      <c r="AO24" s="66"/>
      <c r="AP24" s="66"/>
      <c r="AQ24" s="66"/>
      <c r="AR24" s="66"/>
      <c r="AS24" s="66"/>
      <c r="AT24" s="66"/>
      <c r="AU24" s="66"/>
      <c r="AV24" s="66"/>
      <c r="AW24" s="66"/>
      <c r="AX24" s="66"/>
      <c r="AY24" s="66"/>
      <c r="AZ24" s="66"/>
      <c r="BA24" s="66"/>
      <c r="BB24" s="66"/>
      <c r="BC24" s="66"/>
      <c r="BD24" s="66"/>
      <c r="BE24" s="66"/>
      <c r="BF24" s="66"/>
      <c r="BG24" s="66"/>
      <c r="BH24" s="66"/>
      <c r="BI24" s="66"/>
      <c r="BJ24" s="66"/>
      <c r="BK24" s="66"/>
      <c r="BL24" s="66"/>
      <c r="BM24" s="66"/>
      <c r="BN24" s="66"/>
      <c r="BO24" s="66"/>
      <c r="BP24" s="66"/>
      <c r="BQ24" s="66"/>
      <c r="BR24" s="66"/>
      <c r="BS24" s="66"/>
      <c r="BT24" s="66"/>
      <c r="BU24" s="66"/>
      <c r="BV24" s="66"/>
      <c r="BW24" s="66"/>
      <c r="BX24" s="66"/>
      <c r="BY24" s="66"/>
      <c r="BZ24" s="65"/>
      <c r="CA24" s="66"/>
      <c r="CB24" s="66"/>
      <c r="CC24" s="66"/>
      <c r="CD24" s="67"/>
      <c r="CE24" s="66"/>
      <c r="CF24" s="91"/>
    </row>
    <row r="25" spans="1:84">
      <c r="A25" s="77">
        <f t="shared" si="5"/>
        <v>21</v>
      </c>
      <c r="B25" s="61" t="s">
        <v>45</v>
      </c>
      <c r="C25" s="32">
        <f ca="1"/>
        <v>0.1</v>
      </c>
      <c r="D25" s="101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  <c r="AH25" s="66"/>
      <c r="AI25" s="66"/>
      <c r="AJ25" s="66"/>
      <c r="AK25" s="66"/>
      <c r="AL25" s="66"/>
      <c r="AM25" s="66"/>
      <c r="AN25" s="66"/>
      <c r="AO25" s="66"/>
      <c r="AP25" s="66"/>
      <c r="AQ25" s="66"/>
      <c r="AR25" s="66"/>
      <c r="AS25" s="66"/>
      <c r="AT25" s="66"/>
      <c r="AU25" s="66"/>
      <c r="AV25" s="66"/>
      <c r="AW25" s="66"/>
      <c r="AX25" s="66"/>
      <c r="AY25" s="66"/>
      <c r="AZ25" s="66"/>
      <c r="BA25" s="66"/>
      <c r="BB25" s="66"/>
      <c r="BC25" s="66"/>
      <c r="BD25" s="66"/>
      <c r="BE25" s="66"/>
      <c r="BF25" s="66"/>
      <c r="BG25" s="66"/>
      <c r="BH25" s="66"/>
      <c r="BI25" s="66"/>
      <c r="BJ25" s="66"/>
      <c r="BK25" s="66"/>
      <c r="BL25" s="66"/>
      <c r="BM25" s="66"/>
      <c r="BN25" s="66"/>
      <c r="BO25" s="66"/>
      <c r="BP25" s="66"/>
      <c r="BQ25" s="66"/>
      <c r="BR25" s="66"/>
      <c r="BS25" s="66"/>
      <c r="BT25" s="66"/>
      <c r="BU25" s="66"/>
      <c r="BV25" s="66"/>
      <c r="BW25" s="66"/>
      <c r="BX25" s="66"/>
      <c r="BY25" s="66"/>
      <c r="BZ25" s="65"/>
      <c r="CA25" s="66"/>
      <c r="CB25" s="66"/>
      <c r="CC25" s="66"/>
      <c r="CD25" s="67"/>
      <c r="CE25" s="66"/>
      <c r="CF25" s="91"/>
    </row>
    <row r="26" spans="1:84">
      <c r="A26" s="77">
        <f t="shared" si="5"/>
        <v>22</v>
      </c>
      <c r="B26" s="61" t="s">
        <v>46</v>
      </c>
      <c r="C26" s="32">
        <f ca="1"/>
        <v>0.1</v>
      </c>
      <c r="D26" s="101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  <c r="AH26" s="66"/>
      <c r="AI26" s="66"/>
      <c r="AJ26" s="66"/>
      <c r="AK26" s="66"/>
      <c r="AL26" s="66"/>
      <c r="AM26" s="66"/>
      <c r="AN26" s="66"/>
      <c r="AO26" s="66"/>
      <c r="AP26" s="66"/>
      <c r="AQ26" s="66"/>
      <c r="AR26" s="66"/>
      <c r="AS26" s="66"/>
      <c r="AT26" s="66"/>
      <c r="AU26" s="66"/>
      <c r="AV26" s="66"/>
      <c r="AW26" s="66"/>
      <c r="AX26" s="66"/>
      <c r="AY26" s="66"/>
      <c r="AZ26" s="66"/>
      <c r="BA26" s="66"/>
      <c r="BB26" s="66"/>
      <c r="BC26" s="66"/>
      <c r="BD26" s="66"/>
      <c r="BE26" s="66"/>
      <c r="BF26" s="66"/>
      <c r="BG26" s="66"/>
      <c r="BH26" s="66"/>
      <c r="BI26" s="66"/>
      <c r="BJ26" s="66"/>
      <c r="BK26" s="66"/>
      <c r="BL26" s="66"/>
      <c r="BM26" s="66"/>
      <c r="BN26" s="66"/>
      <c r="BO26" s="66"/>
      <c r="BP26" s="66"/>
      <c r="BQ26" s="66"/>
      <c r="BR26" s="66"/>
      <c r="BS26" s="66"/>
      <c r="BT26" s="66"/>
      <c r="BU26" s="66"/>
      <c r="BV26" s="66"/>
      <c r="BW26" s="66"/>
      <c r="BX26" s="66"/>
      <c r="BY26" s="66"/>
      <c r="BZ26" s="65"/>
      <c r="CA26" s="66"/>
      <c r="CB26" s="66"/>
      <c r="CC26" s="66"/>
      <c r="CD26" s="67"/>
      <c r="CE26" s="66"/>
      <c r="CF26" s="91"/>
    </row>
    <row r="27" spans="1:84">
      <c r="A27" s="77"/>
      <c r="B27" s="66"/>
      <c r="C27" s="66"/>
      <c r="D27" s="101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  <c r="AH27" s="66"/>
      <c r="AI27" s="66"/>
      <c r="AJ27" s="66"/>
      <c r="AK27" s="66"/>
      <c r="AL27" s="66"/>
      <c r="AM27" s="66"/>
      <c r="AN27" s="66"/>
      <c r="AO27" s="66"/>
      <c r="AP27" s="66"/>
      <c r="AQ27" s="66"/>
      <c r="AR27" s="66"/>
      <c r="AS27" s="66"/>
      <c r="AT27" s="66"/>
      <c r="AU27" s="66"/>
      <c r="AV27" s="66"/>
      <c r="AW27" s="66"/>
      <c r="AX27" s="66"/>
      <c r="AY27" s="66"/>
      <c r="AZ27" s="66"/>
      <c r="BA27" s="66"/>
      <c r="BB27" s="66"/>
      <c r="BC27" s="66"/>
      <c r="BD27" s="66"/>
      <c r="BE27" s="66"/>
      <c r="BF27" s="66"/>
      <c r="BG27" s="66"/>
      <c r="BH27" s="66"/>
      <c r="BI27" s="66"/>
      <c r="BJ27" s="66"/>
      <c r="BK27" s="66"/>
      <c r="BL27" s="66"/>
      <c r="BM27" s="66"/>
      <c r="BN27" s="66"/>
      <c r="BO27" s="66"/>
      <c r="BP27" s="66"/>
      <c r="BQ27" s="66"/>
      <c r="BR27" s="66"/>
      <c r="BS27" s="66"/>
      <c r="BT27" s="66"/>
      <c r="BU27" s="66"/>
      <c r="BV27" s="66"/>
      <c r="BW27" s="66"/>
      <c r="BX27" s="66"/>
      <c r="BY27" s="66"/>
      <c r="BZ27" s="65"/>
      <c r="CA27" s="66"/>
      <c r="CB27" s="66"/>
      <c r="CC27" s="66"/>
      <c r="CD27" s="67"/>
      <c r="CE27" s="66"/>
      <c r="CF27" s="91"/>
    </row>
    <row r="28" spans="1:84">
      <c r="A28" s="77"/>
      <c r="B28" s="66"/>
      <c r="C28" s="66"/>
      <c r="D28" s="101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  <c r="AH28" s="66"/>
      <c r="AI28" s="66"/>
      <c r="AJ28" s="66"/>
      <c r="AK28" s="66"/>
      <c r="AL28" s="66"/>
      <c r="AM28" s="66"/>
      <c r="AN28" s="66"/>
      <c r="AO28" s="66"/>
      <c r="AP28" s="66"/>
      <c r="AQ28" s="66"/>
      <c r="AR28" s="66"/>
      <c r="AS28" s="66"/>
      <c r="AT28" s="66"/>
      <c r="AU28" s="66"/>
      <c r="AV28" s="66"/>
      <c r="AW28" s="66"/>
      <c r="AX28" s="66"/>
      <c r="AY28" s="66"/>
      <c r="AZ28" s="66"/>
      <c r="BA28" s="66"/>
      <c r="BB28" s="66"/>
      <c r="BC28" s="66"/>
      <c r="BD28" s="66"/>
      <c r="BE28" s="66"/>
      <c r="BF28" s="66"/>
      <c r="BG28" s="66"/>
      <c r="BH28" s="66"/>
      <c r="BI28" s="66"/>
      <c r="BJ28" s="66"/>
      <c r="BK28" s="66"/>
      <c r="BL28" s="66"/>
      <c r="BM28" s="66"/>
      <c r="BN28" s="66"/>
      <c r="BO28" s="66"/>
      <c r="BP28" s="66"/>
      <c r="BQ28" s="66"/>
      <c r="BR28" s="66"/>
      <c r="BS28" s="66"/>
      <c r="BT28" s="66"/>
      <c r="BU28" s="66"/>
      <c r="BV28" s="66"/>
      <c r="BW28" s="66"/>
      <c r="BX28" s="66"/>
      <c r="BY28" s="66"/>
      <c r="BZ28" s="65"/>
      <c r="CA28" s="66"/>
      <c r="CB28" s="66"/>
      <c r="CC28" s="66"/>
      <c r="CD28" s="67"/>
      <c r="CE28" s="66"/>
      <c r="CF28" s="91"/>
    </row>
    <row r="29" spans="1:84">
      <c r="A29" s="77"/>
      <c r="B29" s="66"/>
      <c r="C29" s="66"/>
      <c r="D29" s="101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  <c r="AH29" s="66"/>
      <c r="AI29" s="66"/>
      <c r="AJ29" s="66"/>
      <c r="AK29" s="66"/>
      <c r="AL29" s="66"/>
      <c r="AM29" s="66"/>
      <c r="AN29" s="66"/>
      <c r="AO29" s="66"/>
      <c r="AP29" s="66"/>
      <c r="AQ29" s="66"/>
      <c r="AR29" s="66"/>
      <c r="AS29" s="66"/>
      <c r="AT29" s="66"/>
      <c r="AU29" s="66"/>
      <c r="AV29" s="66"/>
      <c r="AW29" s="66"/>
      <c r="AX29" s="66"/>
      <c r="AY29" s="66"/>
      <c r="AZ29" s="66"/>
      <c r="BA29" s="66"/>
      <c r="BB29" s="66"/>
      <c r="BC29" s="66"/>
      <c r="BD29" s="66"/>
      <c r="BE29" s="66"/>
      <c r="BF29" s="66"/>
      <c r="BG29" s="66"/>
      <c r="BH29" s="66"/>
      <c r="BI29" s="66"/>
      <c r="BJ29" s="66"/>
      <c r="BK29" s="66"/>
      <c r="BL29" s="66"/>
      <c r="BM29" s="66"/>
      <c r="BN29" s="66"/>
      <c r="BO29" s="66"/>
      <c r="BP29" s="66"/>
      <c r="BQ29" s="66"/>
      <c r="BR29" s="66"/>
      <c r="BS29" s="66"/>
      <c r="BT29" s="66"/>
      <c r="BU29" s="66"/>
      <c r="BV29" s="66"/>
      <c r="BW29" s="66"/>
      <c r="BX29" s="66"/>
      <c r="BY29" s="66"/>
      <c r="BZ29" s="68"/>
      <c r="CA29" s="69"/>
      <c r="CB29" s="69"/>
      <c r="CC29" s="69"/>
      <c r="CD29" s="70"/>
      <c r="CE29" s="66"/>
      <c r="CF29" s="91"/>
    </row>
    <row r="30" spans="1:84">
      <c r="A30" s="77"/>
      <c r="B30" s="66"/>
      <c r="C30" s="66"/>
      <c r="D30" s="101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  <c r="AH30" s="66"/>
      <c r="AI30" s="66"/>
      <c r="AJ30" s="66"/>
      <c r="AK30" s="66"/>
      <c r="AL30" s="66"/>
      <c r="AM30" s="66"/>
      <c r="AN30" s="66"/>
      <c r="AO30" s="66"/>
      <c r="AP30" s="66"/>
      <c r="AQ30" s="66"/>
      <c r="AR30" s="66"/>
      <c r="AS30" s="66"/>
      <c r="AT30" s="66"/>
      <c r="AU30" s="66"/>
      <c r="AV30" s="66"/>
      <c r="AW30" s="66"/>
      <c r="AX30" s="66"/>
      <c r="AY30" s="66"/>
      <c r="AZ30" s="66"/>
      <c r="BA30" s="66"/>
      <c r="BB30" s="66"/>
      <c r="BC30" s="66"/>
      <c r="BD30" s="66"/>
      <c r="BE30" s="66"/>
      <c r="BF30" s="66"/>
      <c r="BG30" s="66"/>
      <c r="BH30" s="66"/>
      <c r="BI30" s="66"/>
      <c r="BJ30" s="66"/>
      <c r="BK30" s="66"/>
      <c r="BL30" s="66"/>
      <c r="BM30" s="66"/>
      <c r="BN30" s="66"/>
      <c r="BO30" s="66"/>
      <c r="BP30" s="66"/>
      <c r="BQ30" s="66"/>
      <c r="BR30" s="66"/>
      <c r="BS30" s="66"/>
      <c r="BT30" s="66"/>
      <c r="BU30" s="66"/>
      <c r="BV30" s="66"/>
      <c r="BW30" s="66"/>
      <c r="BX30" s="66"/>
      <c r="BY30" s="66"/>
      <c r="BZ30" s="66"/>
      <c r="CA30" s="66"/>
      <c r="CB30" s="66"/>
      <c r="CC30" s="66"/>
      <c r="CD30" s="66"/>
      <c r="CE30" s="66"/>
      <c r="CF30" s="91"/>
    </row>
    <row r="31" spans="1:84">
      <c r="A31" s="77"/>
      <c r="B31" s="66"/>
      <c r="C31" s="66"/>
      <c r="D31" s="101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  <c r="AH31" s="66"/>
      <c r="AI31" s="66"/>
      <c r="AJ31" s="66"/>
      <c r="AK31" s="66"/>
      <c r="AL31" s="66"/>
      <c r="AM31" s="66"/>
      <c r="AN31" s="66"/>
      <c r="AO31" s="66"/>
      <c r="AP31" s="66"/>
      <c r="AQ31" s="66"/>
      <c r="AR31" s="66"/>
      <c r="AS31" s="66"/>
      <c r="AT31" s="66"/>
      <c r="AU31" s="66"/>
      <c r="AV31" s="66"/>
      <c r="AW31" s="66"/>
      <c r="AX31" s="66"/>
      <c r="AY31" s="66"/>
      <c r="AZ31" s="66"/>
      <c r="BA31" s="66"/>
      <c r="BB31" s="66"/>
      <c r="BC31" s="66"/>
      <c r="BD31" s="66"/>
      <c r="BE31" s="66"/>
      <c r="BF31" s="66"/>
      <c r="BG31" s="66"/>
      <c r="BH31" s="66"/>
      <c r="BI31" s="66"/>
      <c r="BJ31" s="66"/>
      <c r="BK31" s="66"/>
      <c r="BL31" s="66"/>
      <c r="BM31" s="66"/>
      <c r="BN31" s="66"/>
      <c r="BO31" s="66"/>
      <c r="BP31" s="66"/>
      <c r="BQ31" s="66"/>
      <c r="BR31" s="66"/>
      <c r="BS31" s="66"/>
      <c r="BT31" s="66"/>
      <c r="BU31" s="66"/>
      <c r="BV31" s="66"/>
      <c r="BW31" s="66"/>
      <c r="BX31" s="66"/>
      <c r="BY31" s="66"/>
      <c r="BZ31" s="66"/>
      <c r="CA31" s="66"/>
      <c r="CB31" s="66"/>
      <c r="CC31" s="66"/>
      <c r="CD31" s="66"/>
      <c r="CE31" s="66"/>
      <c r="CF31" s="91"/>
    </row>
    <row r="32" spans="1:84">
      <c r="A32" s="77"/>
      <c r="B32" s="66"/>
      <c r="C32" s="66"/>
      <c r="D32" s="101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  <c r="AH32" s="66"/>
      <c r="AI32" s="66"/>
      <c r="AJ32" s="66"/>
      <c r="AK32" s="66"/>
      <c r="AL32" s="66"/>
      <c r="AM32" s="66"/>
      <c r="AN32" s="66"/>
      <c r="AO32" s="66"/>
      <c r="AP32" s="66"/>
      <c r="AQ32" s="66"/>
      <c r="AR32" s="66"/>
      <c r="AS32" s="66"/>
      <c r="AT32" s="66"/>
      <c r="AU32" s="66"/>
      <c r="AV32" s="66"/>
      <c r="AW32" s="66"/>
      <c r="AX32" s="66"/>
      <c r="AY32" s="66"/>
      <c r="AZ32" s="66"/>
      <c r="BA32" s="66"/>
      <c r="BB32" s="66"/>
      <c r="BC32" s="66"/>
      <c r="BD32" s="66"/>
      <c r="BE32" s="66"/>
      <c r="BF32" s="66"/>
      <c r="BG32" s="66"/>
      <c r="BH32" s="66"/>
      <c r="BI32" s="66"/>
      <c r="BJ32" s="66"/>
      <c r="BK32" s="66"/>
      <c r="BL32" s="66"/>
      <c r="BM32" s="66"/>
      <c r="BN32" s="66"/>
      <c r="BO32" s="66"/>
      <c r="BP32" s="66"/>
      <c r="BQ32" s="66"/>
      <c r="BR32" s="66"/>
      <c r="BS32" s="66"/>
      <c r="BT32" s="66"/>
      <c r="BU32" s="66"/>
      <c r="BV32" s="66"/>
      <c r="BW32" s="66"/>
      <c r="BX32" s="66"/>
      <c r="BY32" s="66"/>
      <c r="BZ32" s="66"/>
      <c r="CA32" s="66"/>
      <c r="CB32" s="66"/>
      <c r="CC32" s="66"/>
      <c r="CD32" s="66"/>
      <c r="CE32" s="66"/>
      <c r="CF32" s="91"/>
    </row>
    <row r="33" spans="1:84">
      <c r="A33" s="77"/>
      <c r="B33" s="66"/>
      <c r="C33" s="66"/>
      <c r="D33" s="101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6"/>
      <c r="AR33" s="66"/>
      <c r="AS33" s="66"/>
      <c r="AT33" s="66"/>
      <c r="AU33" s="66"/>
      <c r="AV33" s="66"/>
      <c r="AW33" s="66"/>
      <c r="AX33" s="66"/>
      <c r="AY33" s="66"/>
      <c r="AZ33" s="66"/>
      <c r="BA33" s="66"/>
      <c r="BB33" s="66"/>
      <c r="BC33" s="66"/>
      <c r="BD33" s="66"/>
      <c r="BE33" s="66"/>
      <c r="BF33" s="66"/>
      <c r="BG33" s="66"/>
      <c r="BH33" s="66"/>
      <c r="BI33" s="66"/>
      <c r="BJ33" s="66"/>
      <c r="BK33" s="66"/>
      <c r="BL33" s="66"/>
      <c r="BM33" s="66"/>
      <c r="BN33" s="66"/>
      <c r="BO33" s="66"/>
      <c r="BP33" s="66"/>
      <c r="BQ33" s="66"/>
      <c r="BR33" s="66"/>
      <c r="BS33" s="66"/>
      <c r="BT33" s="66"/>
      <c r="BU33" s="66"/>
      <c r="BV33" s="66"/>
      <c r="BW33" s="66"/>
      <c r="BX33" s="66"/>
      <c r="BY33" s="66"/>
      <c r="BZ33" s="66"/>
      <c r="CA33" s="66"/>
      <c r="CB33" s="66"/>
      <c r="CC33" s="66"/>
      <c r="CD33" s="66"/>
      <c r="CE33" s="66"/>
      <c r="CF33" s="91"/>
    </row>
    <row r="34" spans="1:84" ht="18" thickBot="1">
      <c r="A34" s="93"/>
      <c r="B34" s="94"/>
      <c r="C34" s="94"/>
      <c r="D34" s="102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P34" s="94"/>
      <c r="Q34" s="94"/>
      <c r="R34" s="94"/>
      <c r="S34" s="94"/>
      <c r="T34" s="94"/>
      <c r="U34" s="94"/>
      <c r="V34" s="94"/>
      <c r="W34" s="94"/>
      <c r="X34" s="94"/>
      <c r="Y34" s="94"/>
      <c r="Z34" s="94"/>
      <c r="AA34" s="94"/>
      <c r="AB34" s="94"/>
      <c r="AC34" s="94"/>
      <c r="AD34" s="94"/>
      <c r="AE34" s="94"/>
      <c r="AF34" s="94"/>
      <c r="AG34" s="94"/>
      <c r="AH34" s="94"/>
      <c r="AI34" s="94"/>
      <c r="AJ34" s="94"/>
      <c r="AK34" s="94"/>
      <c r="AL34" s="94"/>
      <c r="AM34" s="94"/>
      <c r="AN34" s="94"/>
      <c r="AO34" s="94"/>
      <c r="AP34" s="94"/>
      <c r="AQ34" s="94"/>
      <c r="AR34" s="94"/>
      <c r="AS34" s="94"/>
      <c r="AT34" s="94"/>
      <c r="AU34" s="94"/>
      <c r="AV34" s="94"/>
      <c r="AW34" s="94"/>
      <c r="AX34" s="94"/>
      <c r="AY34" s="94"/>
      <c r="AZ34" s="94"/>
      <c r="BA34" s="94"/>
      <c r="BB34" s="94"/>
      <c r="BC34" s="94"/>
      <c r="BD34" s="94"/>
      <c r="BE34" s="94"/>
      <c r="BF34" s="94"/>
      <c r="BG34" s="94"/>
      <c r="BH34" s="94"/>
      <c r="BI34" s="94"/>
      <c r="BJ34" s="94"/>
      <c r="BK34" s="94"/>
      <c r="BL34" s="94"/>
      <c r="BM34" s="94"/>
      <c r="BN34" s="94"/>
      <c r="BO34" s="94"/>
      <c r="BP34" s="94"/>
      <c r="BQ34" s="94"/>
      <c r="BR34" s="94"/>
      <c r="BS34" s="94"/>
      <c r="BT34" s="94"/>
      <c r="BU34" s="94"/>
      <c r="BV34" s="94"/>
      <c r="BW34" s="94"/>
      <c r="BX34" s="94"/>
      <c r="BY34" s="94"/>
      <c r="BZ34" s="94"/>
      <c r="CA34" s="94"/>
      <c r="CB34" s="94"/>
      <c r="CC34" s="94"/>
      <c r="CD34" s="94"/>
      <c r="CE34" s="94"/>
      <c r="CF34" s="95"/>
    </row>
    <row r="35" spans="1:84" ht="18" thickTop="1"/>
  </sheetData>
  <phoneticPr fontId="1" type="noConversion"/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위험률</vt:lpstr>
      <vt:lpstr>코드</vt:lpstr>
      <vt:lpstr>결과</vt:lpstr>
      <vt:lpstr>샘플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</dc:creator>
  <cp:lastModifiedBy>N</cp:lastModifiedBy>
  <dcterms:created xsi:type="dcterms:W3CDTF">2021-09-07T12:51:28Z</dcterms:created>
  <dcterms:modified xsi:type="dcterms:W3CDTF">2021-09-10T08:36:38Z</dcterms:modified>
</cp:coreProperties>
</file>